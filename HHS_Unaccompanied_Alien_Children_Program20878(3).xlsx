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jin\Downloads\"/>
    </mc:Choice>
  </mc:AlternateContent>
  <xr:revisionPtr revIDLastSave="0" documentId="8_{ECD70EBA-24A2-4A2F-84C0-8E9A4B8642AB}" xr6:coauthVersionLast="47" xr6:coauthVersionMax="47" xr10:uidLastSave="{00000000-0000-0000-0000-000000000000}"/>
  <bookViews>
    <workbookView xWindow="-108" yWindow="-108" windowWidth="23256" windowHeight="14616" firstSheet="1" activeTab="4" xr2:uid="{2AF2CA24-790D-41F0-B6D1-23641E3FEDC4}"/>
  </bookViews>
  <sheets>
    <sheet name="Date loads" sheetId="2" r:id="rId1"/>
    <sheet name="Total loads" sheetId="4" r:id="rId2"/>
    <sheet name="weekly, monthly intakes" sheetId="6" r:id="rId3"/>
    <sheet name="Bar graph" sheetId="10" r:id="rId4"/>
    <sheet name="HHS_Unaccompanied_Alien_Childre" sheetId="1" r:id="rId5"/>
    <sheet name="Daily Care Load" sheetId="9" r:id="rId6"/>
  </sheets>
  <definedNames>
    <definedName name="NativeTimeline_Date">#N/A</definedName>
  </definedNames>
  <calcPr calcId="191029"/>
  <pivotCaches>
    <pivotCache cacheId="0" r:id="rId7"/>
    <pivotCache cacheId="1" r:id="rId8"/>
    <pivotCache cacheId="2" r:id="rId9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0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6" i="1" l="1"/>
  <c r="S47" i="1"/>
  <c r="S49" i="1"/>
  <c r="S70" i="1"/>
  <c r="S71" i="1"/>
  <c r="S72" i="1"/>
  <c r="S82" i="1"/>
  <c r="S92" i="1"/>
  <c r="S93" i="1"/>
  <c r="S94" i="1"/>
  <c r="S118" i="1"/>
  <c r="S119" i="1"/>
  <c r="S121" i="1"/>
  <c r="S128" i="1"/>
  <c r="S141" i="1"/>
  <c r="S142" i="1"/>
  <c r="S143" i="1"/>
  <c r="S144" i="1"/>
  <c r="S154" i="1"/>
  <c r="S166" i="1"/>
  <c r="S190" i="1"/>
  <c r="S191" i="1"/>
  <c r="S193" i="1"/>
  <c r="S214" i="1"/>
  <c r="S215" i="1"/>
  <c r="S216" i="1"/>
  <c r="S226" i="1"/>
  <c r="S236" i="1"/>
  <c r="S237" i="1"/>
  <c r="S238" i="1"/>
  <c r="S262" i="1"/>
  <c r="S263" i="1"/>
  <c r="S265" i="1"/>
  <c r="S272" i="1"/>
  <c r="S285" i="1"/>
  <c r="S286" i="1"/>
  <c r="S287" i="1"/>
  <c r="S288" i="1"/>
  <c r="S298" i="1"/>
  <c r="S310" i="1"/>
  <c r="S334" i="1"/>
  <c r="S335" i="1"/>
  <c r="S356" i="1"/>
  <c r="S358" i="1"/>
  <c r="S371" i="1"/>
  <c r="S372" i="1"/>
  <c r="S373" i="1"/>
  <c r="S382" i="1"/>
  <c r="S383" i="1"/>
  <c r="S395" i="1"/>
  <c r="S404" i="1"/>
  <c r="S416" i="1"/>
  <c r="S417" i="1"/>
  <c r="S418" i="1"/>
  <c r="S419" i="1"/>
  <c r="S438" i="1"/>
  <c r="S443" i="1"/>
  <c r="S466" i="1"/>
  <c r="S467" i="1"/>
  <c r="S479" i="1"/>
  <c r="S481" i="1"/>
  <c r="S482" i="1"/>
  <c r="S486" i="1"/>
  <c r="S491" i="1"/>
  <c r="S502" i="1"/>
  <c r="S526" i="1"/>
  <c r="S527" i="1"/>
  <c r="S550" i="1"/>
  <c r="S554" i="1"/>
  <c r="S563" i="1"/>
  <c r="S564" i="1"/>
  <c r="S565" i="1"/>
  <c r="S574" i="1"/>
  <c r="S575" i="1"/>
  <c r="S587" i="1"/>
  <c r="S594" i="1"/>
  <c r="S608" i="1"/>
  <c r="S609" i="1"/>
  <c r="S610" i="1"/>
  <c r="S611" i="1"/>
  <c r="S612" i="1"/>
  <c r="S635" i="1"/>
  <c r="S657" i="1"/>
  <c r="S658" i="1"/>
  <c r="S659" i="1"/>
  <c r="S671" i="1"/>
  <c r="S674" i="1"/>
  <c r="S683" i="1"/>
  <c r="S694" i="1"/>
  <c r="S718" i="1"/>
  <c r="S719" i="1"/>
  <c r="S2" i="1"/>
  <c r="R115" i="1"/>
  <c r="R302" i="1"/>
  <c r="R362" i="1"/>
  <c r="R545" i="1"/>
  <c r="R602" i="1"/>
  <c r="R66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I22" i="1" s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I51" i="1" s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I77" i="1" s="1"/>
  <c r="H79" i="1"/>
  <c r="H80" i="1"/>
  <c r="I79" i="1" s="1"/>
  <c r="H81" i="1"/>
  <c r="H82" i="1"/>
  <c r="H83" i="1"/>
  <c r="H84" i="1"/>
  <c r="H85" i="1"/>
  <c r="H86" i="1"/>
  <c r="H87" i="1"/>
  <c r="H88" i="1"/>
  <c r="I87" i="1" s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I113" i="1" s="1"/>
  <c r="H115" i="1"/>
  <c r="H116" i="1"/>
  <c r="I115" i="1" s="1"/>
  <c r="J115" i="1" s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I139" i="1" s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I220" i="1" s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I242" i="1" s="1"/>
  <c r="J242" i="1" s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I281" i="1" s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I302" i="1" s="1"/>
  <c r="J302" i="1" s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K320" i="1" s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I341" i="1" s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I362" i="1" s="1"/>
  <c r="J362" i="1" s="1"/>
  <c r="H364" i="1"/>
  <c r="H365" i="1"/>
  <c r="H366" i="1"/>
  <c r="I365" i="1" s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I403" i="1" s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I425" i="1" s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I461" i="1" s="1"/>
  <c r="H463" i="1"/>
  <c r="H464" i="1"/>
  <c r="H465" i="1"/>
  <c r="H466" i="1"/>
  <c r="H467" i="1"/>
  <c r="I466" i="1" s="1"/>
  <c r="H468" i="1"/>
  <c r="H469" i="1"/>
  <c r="H470" i="1"/>
  <c r="H471" i="1"/>
  <c r="H472" i="1"/>
  <c r="H473" i="1"/>
  <c r="H474" i="1"/>
  <c r="H475" i="1"/>
  <c r="H476" i="1"/>
  <c r="H477" i="1"/>
  <c r="I477" i="1" s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I497" i="1" s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I531" i="1" s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I545" i="1" s="1"/>
  <c r="J545" i="1" s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I602" i="1" s="1"/>
  <c r="J602" i="1" s="1"/>
  <c r="H604" i="1"/>
  <c r="I603" i="1" s="1"/>
  <c r="H605" i="1"/>
  <c r="H606" i="1"/>
  <c r="H607" i="1"/>
  <c r="H608" i="1"/>
  <c r="H609" i="1"/>
  <c r="H610" i="1"/>
  <c r="H611" i="1"/>
  <c r="I610" i="1" s="1"/>
  <c r="H612" i="1"/>
  <c r="H613" i="1"/>
  <c r="H614" i="1"/>
  <c r="H615" i="1"/>
  <c r="H616" i="1"/>
  <c r="H617" i="1"/>
  <c r="H618" i="1"/>
  <c r="I617" i="1" s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I662" i="1" s="1"/>
  <c r="J662" i="1" s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I675" i="1" s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I716" i="1" s="1"/>
  <c r="H718" i="1"/>
  <c r="H719" i="1"/>
  <c r="H720" i="1"/>
  <c r="H721" i="1"/>
  <c r="H2" i="1"/>
  <c r="G23" i="1"/>
  <c r="S23" i="1" s="1"/>
  <c r="G24" i="1"/>
  <c r="S24" i="1" s="1"/>
  <c r="G25" i="1"/>
  <c r="S25" i="1" s="1"/>
  <c r="G26" i="1"/>
  <c r="S26" i="1" s="1"/>
  <c r="G27" i="1"/>
  <c r="S27" i="1" s="1"/>
  <c r="G28" i="1"/>
  <c r="S28" i="1" s="1"/>
  <c r="G29" i="1"/>
  <c r="S29" i="1" s="1"/>
  <c r="G30" i="1"/>
  <c r="S30" i="1" s="1"/>
  <c r="G31" i="1"/>
  <c r="S31" i="1" s="1"/>
  <c r="G32" i="1"/>
  <c r="S32" i="1" s="1"/>
  <c r="G33" i="1"/>
  <c r="S33" i="1" s="1"/>
  <c r="G34" i="1"/>
  <c r="S34" i="1" s="1"/>
  <c r="G35" i="1"/>
  <c r="S35" i="1" s="1"/>
  <c r="G36" i="1"/>
  <c r="S36" i="1" s="1"/>
  <c r="G37" i="1"/>
  <c r="S37" i="1" s="1"/>
  <c r="G38" i="1"/>
  <c r="S38" i="1" s="1"/>
  <c r="G39" i="1"/>
  <c r="S39" i="1" s="1"/>
  <c r="G40" i="1"/>
  <c r="S40" i="1" s="1"/>
  <c r="G41" i="1"/>
  <c r="S41" i="1" s="1"/>
  <c r="G42" i="1"/>
  <c r="S42" i="1" s="1"/>
  <c r="G43" i="1"/>
  <c r="S43" i="1" s="1"/>
  <c r="G44" i="1"/>
  <c r="S44" i="1" s="1"/>
  <c r="G45" i="1"/>
  <c r="S45" i="1" s="1"/>
  <c r="G46" i="1"/>
  <c r="G47" i="1"/>
  <c r="G48" i="1"/>
  <c r="S48" i="1" s="1"/>
  <c r="G49" i="1"/>
  <c r="G50" i="1"/>
  <c r="S50" i="1" s="1"/>
  <c r="G51" i="1"/>
  <c r="S51" i="1" s="1"/>
  <c r="G52" i="1"/>
  <c r="S52" i="1" s="1"/>
  <c r="G53" i="1"/>
  <c r="S53" i="1" s="1"/>
  <c r="G54" i="1"/>
  <c r="S54" i="1" s="1"/>
  <c r="G55" i="1"/>
  <c r="S55" i="1" s="1"/>
  <c r="G56" i="1"/>
  <c r="S56" i="1" s="1"/>
  <c r="G57" i="1"/>
  <c r="S57" i="1" s="1"/>
  <c r="G58" i="1"/>
  <c r="S58" i="1" s="1"/>
  <c r="G59" i="1"/>
  <c r="S59" i="1" s="1"/>
  <c r="G60" i="1"/>
  <c r="S60" i="1" s="1"/>
  <c r="G61" i="1"/>
  <c r="S61" i="1" s="1"/>
  <c r="G62" i="1"/>
  <c r="S62" i="1" s="1"/>
  <c r="G63" i="1"/>
  <c r="S63" i="1" s="1"/>
  <c r="G64" i="1"/>
  <c r="S64" i="1" s="1"/>
  <c r="G65" i="1"/>
  <c r="S65" i="1" s="1"/>
  <c r="G66" i="1"/>
  <c r="S66" i="1" s="1"/>
  <c r="G67" i="1"/>
  <c r="S67" i="1" s="1"/>
  <c r="G68" i="1"/>
  <c r="S68" i="1" s="1"/>
  <c r="G69" i="1"/>
  <c r="S69" i="1" s="1"/>
  <c r="G70" i="1"/>
  <c r="G71" i="1"/>
  <c r="G72" i="1"/>
  <c r="G73" i="1"/>
  <c r="S73" i="1" s="1"/>
  <c r="G74" i="1"/>
  <c r="S74" i="1" s="1"/>
  <c r="G75" i="1"/>
  <c r="S75" i="1" s="1"/>
  <c r="G76" i="1"/>
  <c r="S76" i="1" s="1"/>
  <c r="G77" i="1"/>
  <c r="S77" i="1" s="1"/>
  <c r="G78" i="1"/>
  <c r="S78" i="1" s="1"/>
  <c r="G79" i="1"/>
  <c r="S79" i="1" s="1"/>
  <c r="G80" i="1"/>
  <c r="S80" i="1" s="1"/>
  <c r="G81" i="1"/>
  <c r="S81" i="1" s="1"/>
  <c r="G82" i="1"/>
  <c r="G83" i="1"/>
  <c r="S83" i="1" s="1"/>
  <c r="G84" i="1"/>
  <c r="S84" i="1" s="1"/>
  <c r="G85" i="1"/>
  <c r="S85" i="1" s="1"/>
  <c r="G86" i="1"/>
  <c r="S86" i="1" s="1"/>
  <c r="G87" i="1"/>
  <c r="S87" i="1" s="1"/>
  <c r="G88" i="1"/>
  <c r="S88" i="1" s="1"/>
  <c r="G89" i="1"/>
  <c r="S89" i="1" s="1"/>
  <c r="G90" i="1"/>
  <c r="S90" i="1" s="1"/>
  <c r="G91" i="1"/>
  <c r="S91" i="1" s="1"/>
  <c r="G92" i="1"/>
  <c r="G93" i="1"/>
  <c r="G94" i="1"/>
  <c r="G95" i="1"/>
  <c r="S95" i="1" s="1"/>
  <c r="G96" i="1"/>
  <c r="S96" i="1" s="1"/>
  <c r="G97" i="1"/>
  <c r="S97" i="1" s="1"/>
  <c r="G98" i="1"/>
  <c r="S98" i="1" s="1"/>
  <c r="G99" i="1"/>
  <c r="S99" i="1" s="1"/>
  <c r="G100" i="1"/>
  <c r="S100" i="1" s="1"/>
  <c r="G101" i="1"/>
  <c r="S101" i="1" s="1"/>
  <c r="G102" i="1"/>
  <c r="S102" i="1" s="1"/>
  <c r="G103" i="1"/>
  <c r="S103" i="1" s="1"/>
  <c r="G104" i="1"/>
  <c r="S104" i="1" s="1"/>
  <c r="G105" i="1"/>
  <c r="S105" i="1" s="1"/>
  <c r="G106" i="1"/>
  <c r="S106" i="1" s="1"/>
  <c r="G107" i="1"/>
  <c r="S107" i="1" s="1"/>
  <c r="G108" i="1"/>
  <c r="S108" i="1" s="1"/>
  <c r="G109" i="1"/>
  <c r="S109" i="1" s="1"/>
  <c r="G110" i="1"/>
  <c r="S110" i="1" s="1"/>
  <c r="G111" i="1"/>
  <c r="S111" i="1" s="1"/>
  <c r="G112" i="1"/>
  <c r="S112" i="1" s="1"/>
  <c r="G113" i="1"/>
  <c r="S113" i="1" s="1"/>
  <c r="G114" i="1"/>
  <c r="S114" i="1" s="1"/>
  <c r="G115" i="1"/>
  <c r="S115" i="1" s="1"/>
  <c r="G116" i="1"/>
  <c r="S116" i="1" s="1"/>
  <c r="G117" i="1"/>
  <c r="S117" i="1" s="1"/>
  <c r="G118" i="1"/>
  <c r="G119" i="1"/>
  <c r="G120" i="1"/>
  <c r="S120" i="1" s="1"/>
  <c r="G121" i="1"/>
  <c r="G122" i="1"/>
  <c r="S122" i="1" s="1"/>
  <c r="G123" i="1"/>
  <c r="S123" i="1" s="1"/>
  <c r="G124" i="1"/>
  <c r="S124" i="1" s="1"/>
  <c r="G125" i="1"/>
  <c r="S125" i="1" s="1"/>
  <c r="G126" i="1"/>
  <c r="S126" i="1" s="1"/>
  <c r="G127" i="1"/>
  <c r="S127" i="1" s="1"/>
  <c r="G128" i="1"/>
  <c r="G129" i="1"/>
  <c r="S129" i="1" s="1"/>
  <c r="G130" i="1"/>
  <c r="S130" i="1" s="1"/>
  <c r="G131" i="1"/>
  <c r="S131" i="1" s="1"/>
  <c r="G132" i="1"/>
  <c r="S132" i="1" s="1"/>
  <c r="G133" i="1"/>
  <c r="S133" i="1" s="1"/>
  <c r="G134" i="1"/>
  <c r="S134" i="1" s="1"/>
  <c r="G135" i="1"/>
  <c r="S135" i="1" s="1"/>
  <c r="G136" i="1"/>
  <c r="S136" i="1" s="1"/>
  <c r="G137" i="1"/>
  <c r="S137" i="1" s="1"/>
  <c r="G138" i="1"/>
  <c r="S138" i="1" s="1"/>
  <c r="G139" i="1"/>
  <c r="S139" i="1" s="1"/>
  <c r="G140" i="1"/>
  <c r="S140" i="1" s="1"/>
  <c r="G141" i="1"/>
  <c r="G142" i="1"/>
  <c r="G143" i="1"/>
  <c r="G144" i="1"/>
  <c r="G145" i="1"/>
  <c r="S145" i="1" s="1"/>
  <c r="G146" i="1"/>
  <c r="S146" i="1" s="1"/>
  <c r="G147" i="1"/>
  <c r="S147" i="1" s="1"/>
  <c r="G148" i="1"/>
  <c r="S148" i="1" s="1"/>
  <c r="G149" i="1"/>
  <c r="S149" i="1" s="1"/>
  <c r="G150" i="1"/>
  <c r="S150" i="1" s="1"/>
  <c r="G151" i="1"/>
  <c r="S151" i="1" s="1"/>
  <c r="G152" i="1"/>
  <c r="S152" i="1" s="1"/>
  <c r="G153" i="1"/>
  <c r="S153" i="1" s="1"/>
  <c r="G154" i="1"/>
  <c r="G155" i="1"/>
  <c r="S155" i="1" s="1"/>
  <c r="G156" i="1"/>
  <c r="S156" i="1" s="1"/>
  <c r="G157" i="1"/>
  <c r="S157" i="1" s="1"/>
  <c r="G158" i="1"/>
  <c r="S158" i="1" s="1"/>
  <c r="G159" i="1"/>
  <c r="S159" i="1" s="1"/>
  <c r="G160" i="1"/>
  <c r="S160" i="1" s="1"/>
  <c r="G161" i="1"/>
  <c r="S161" i="1" s="1"/>
  <c r="G162" i="1"/>
  <c r="S162" i="1" s="1"/>
  <c r="G163" i="1"/>
  <c r="S163" i="1" s="1"/>
  <c r="G164" i="1"/>
  <c r="S164" i="1" s="1"/>
  <c r="G165" i="1"/>
  <c r="S165" i="1" s="1"/>
  <c r="G166" i="1"/>
  <c r="G167" i="1"/>
  <c r="S167" i="1" s="1"/>
  <c r="G168" i="1"/>
  <c r="S168" i="1" s="1"/>
  <c r="G169" i="1"/>
  <c r="S169" i="1" s="1"/>
  <c r="G170" i="1"/>
  <c r="S170" i="1" s="1"/>
  <c r="G171" i="1"/>
  <c r="S171" i="1" s="1"/>
  <c r="G172" i="1"/>
  <c r="S172" i="1" s="1"/>
  <c r="G173" i="1"/>
  <c r="S173" i="1" s="1"/>
  <c r="G174" i="1"/>
  <c r="S174" i="1" s="1"/>
  <c r="G175" i="1"/>
  <c r="S175" i="1" s="1"/>
  <c r="G176" i="1"/>
  <c r="S176" i="1" s="1"/>
  <c r="G177" i="1"/>
  <c r="S177" i="1" s="1"/>
  <c r="G178" i="1"/>
  <c r="S178" i="1" s="1"/>
  <c r="G179" i="1"/>
  <c r="S179" i="1" s="1"/>
  <c r="G180" i="1"/>
  <c r="S180" i="1" s="1"/>
  <c r="G181" i="1"/>
  <c r="S181" i="1" s="1"/>
  <c r="G182" i="1"/>
  <c r="S182" i="1" s="1"/>
  <c r="G183" i="1"/>
  <c r="S183" i="1" s="1"/>
  <c r="G184" i="1"/>
  <c r="S184" i="1" s="1"/>
  <c r="G185" i="1"/>
  <c r="S185" i="1" s="1"/>
  <c r="G186" i="1"/>
  <c r="S186" i="1" s="1"/>
  <c r="G187" i="1"/>
  <c r="S187" i="1" s="1"/>
  <c r="G188" i="1"/>
  <c r="S188" i="1" s="1"/>
  <c r="G189" i="1"/>
  <c r="S189" i="1" s="1"/>
  <c r="G190" i="1"/>
  <c r="G191" i="1"/>
  <c r="G192" i="1"/>
  <c r="S192" i="1" s="1"/>
  <c r="G193" i="1"/>
  <c r="G194" i="1"/>
  <c r="S194" i="1" s="1"/>
  <c r="G195" i="1"/>
  <c r="S195" i="1" s="1"/>
  <c r="G196" i="1"/>
  <c r="S196" i="1" s="1"/>
  <c r="G197" i="1"/>
  <c r="S197" i="1" s="1"/>
  <c r="G198" i="1"/>
  <c r="S198" i="1" s="1"/>
  <c r="G199" i="1"/>
  <c r="S199" i="1" s="1"/>
  <c r="G200" i="1"/>
  <c r="S200" i="1" s="1"/>
  <c r="G201" i="1"/>
  <c r="S201" i="1" s="1"/>
  <c r="G202" i="1"/>
  <c r="S202" i="1" s="1"/>
  <c r="G203" i="1"/>
  <c r="S203" i="1" s="1"/>
  <c r="G204" i="1"/>
  <c r="S204" i="1" s="1"/>
  <c r="G205" i="1"/>
  <c r="S205" i="1" s="1"/>
  <c r="G206" i="1"/>
  <c r="S206" i="1" s="1"/>
  <c r="G207" i="1"/>
  <c r="S207" i="1" s="1"/>
  <c r="G208" i="1"/>
  <c r="S208" i="1" s="1"/>
  <c r="G209" i="1"/>
  <c r="S209" i="1" s="1"/>
  <c r="G210" i="1"/>
  <c r="S210" i="1" s="1"/>
  <c r="G211" i="1"/>
  <c r="S211" i="1" s="1"/>
  <c r="G212" i="1"/>
  <c r="S212" i="1" s="1"/>
  <c r="G213" i="1"/>
  <c r="S213" i="1" s="1"/>
  <c r="G214" i="1"/>
  <c r="G215" i="1"/>
  <c r="G216" i="1"/>
  <c r="G217" i="1"/>
  <c r="S217" i="1" s="1"/>
  <c r="G218" i="1"/>
  <c r="S218" i="1" s="1"/>
  <c r="G219" i="1"/>
  <c r="S219" i="1" s="1"/>
  <c r="G220" i="1"/>
  <c r="S220" i="1" s="1"/>
  <c r="G221" i="1"/>
  <c r="S221" i="1" s="1"/>
  <c r="G222" i="1"/>
  <c r="S222" i="1" s="1"/>
  <c r="G223" i="1"/>
  <c r="S223" i="1" s="1"/>
  <c r="G224" i="1"/>
  <c r="S224" i="1" s="1"/>
  <c r="G225" i="1"/>
  <c r="S225" i="1" s="1"/>
  <c r="G226" i="1"/>
  <c r="G227" i="1"/>
  <c r="S227" i="1" s="1"/>
  <c r="G228" i="1"/>
  <c r="S228" i="1" s="1"/>
  <c r="G229" i="1"/>
  <c r="S229" i="1" s="1"/>
  <c r="G230" i="1"/>
  <c r="S230" i="1" s="1"/>
  <c r="G231" i="1"/>
  <c r="S231" i="1" s="1"/>
  <c r="G232" i="1"/>
  <c r="S232" i="1" s="1"/>
  <c r="G233" i="1"/>
  <c r="S233" i="1" s="1"/>
  <c r="G234" i="1"/>
  <c r="S234" i="1" s="1"/>
  <c r="G235" i="1"/>
  <c r="S235" i="1" s="1"/>
  <c r="G236" i="1"/>
  <c r="G237" i="1"/>
  <c r="G238" i="1"/>
  <c r="G239" i="1"/>
  <c r="S239" i="1" s="1"/>
  <c r="G240" i="1"/>
  <c r="S240" i="1" s="1"/>
  <c r="G241" i="1"/>
  <c r="S241" i="1" s="1"/>
  <c r="G242" i="1"/>
  <c r="S242" i="1" s="1"/>
  <c r="G243" i="1"/>
  <c r="S243" i="1" s="1"/>
  <c r="G244" i="1"/>
  <c r="S244" i="1" s="1"/>
  <c r="G245" i="1"/>
  <c r="S245" i="1" s="1"/>
  <c r="G246" i="1"/>
  <c r="S246" i="1" s="1"/>
  <c r="G247" i="1"/>
  <c r="S247" i="1" s="1"/>
  <c r="G248" i="1"/>
  <c r="S248" i="1" s="1"/>
  <c r="G249" i="1"/>
  <c r="S249" i="1" s="1"/>
  <c r="G250" i="1"/>
  <c r="S250" i="1" s="1"/>
  <c r="G251" i="1"/>
  <c r="S251" i="1" s="1"/>
  <c r="G252" i="1"/>
  <c r="S252" i="1" s="1"/>
  <c r="G253" i="1"/>
  <c r="S253" i="1" s="1"/>
  <c r="G254" i="1"/>
  <c r="S254" i="1" s="1"/>
  <c r="G255" i="1"/>
  <c r="S255" i="1" s="1"/>
  <c r="G256" i="1"/>
  <c r="S256" i="1" s="1"/>
  <c r="G257" i="1"/>
  <c r="S257" i="1" s="1"/>
  <c r="G258" i="1"/>
  <c r="S258" i="1" s="1"/>
  <c r="G259" i="1"/>
  <c r="S259" i="1" s="1"/>
  <c r="G260" i="1"/>
  <c r="S260" i="1" s="1"/>
  <c r="G261" i="1"/>
  <c r="S261" i="1" s="1"/>
  <c r="G262" i="1"/>
  <c r="G263" i="1"/>
  <c r="G264" i="1"/>
  <c r="S264" i="1" s="1"/>
  <c r="G265" i="1"/>
  <c r="G266" i="1"/>
  <c r="S266" i="1" s="1"/>
  <c r="G267" i="1"/>
  <c r="S267" i="1" s="1"/>
  <c r="G268" i="1"/>
  <c r="S268" i="1" s="1"/>
  <c r="G269" i="1"/>
  <c r="S269" i="1" s="1"/>
  <c r="G270" i="1"/>
  <c r="S270" i="1" s="1"/>
  <c r="G271" i="1"/>
  <c r="S271" i="1" s="1"/>
  <c r="G272" i="1"/>
  <c r="G273" i="1"/>
  <c r="S273" i="1" s="1"/>
  <c r="G274" i="1"/>
  <c r="S274" i="1" s="1"/>
  <c r="G275" i="1"/>
  <c r="S275" i="1" s="1"/>
  <c r="G276" i="1"/>
  <c r="S276" i="1" s="1"/>
  <c r="G277" i="1"/>
  <c r="S277" i="1" s="1"/>
  <c r="G278" i="1"/>
  <c r="S278" i="1" s="1"/>
  <c r="G279" i="1"/>
  <c r="S279" i="1" s="1"/>
  <c r="G280" i="1"/>
  <c r="S280" i="1" s="1"/>
  <c r="G281" i="1"/>
  <c r="S281" i="1" s="1"/>
  <c r="G282" i="1"/>
  <c r="S282" i="1" s="1"/>
  <c r="G283" i="1"/>
  <c r="S283" i="1" s="1"/>
  <c r="G284" i="1"/>
  <c r="S284" i="1" s="1"/>
  <c r="G285" i="1"/>
  <c r="G286" i="1"/>
  <c r="G287" i="1"/>
  <c r="G288" i="1"/>
  <c r="G289" i="1"/>
  <c r="S289" i="1" s="1"/>
  <c r="G290" i="1"/>
  <c r="S290" i="1" s="1"/>
  <c r="G291" i="1"/>
  <c r="S291" i="1" s="1"/>
  <c r="G292" i="1"/>
  <c r="S292" i="1" s="1"/>
  <c r="G293" i="1"/>
  <c r="S293" i="1" s="1"/>
  <c r="G294" i="1"/>
  <c r="S294" i="1" s="1"/>
  <c r="G295" i="1"/>
  <c r="S295" i="1" s="1"/>
  <c r="G296" i="1"/>
  <c r="S296" i="1" s="1"/>
  <c r="G297" i="1"/>
  <c r="S297" i="1" s="1"/>
  <c r="G298" i="1"/>
  <c r="G299" i="1"/>
  <c r="S299" i="1" s="1"/>
  <c r="G300" i="1"/>
  <c r="S300" i="1" s="1"/>
  <c r="G301" i="1"/>
  <c r="S301" i="1" s="1"/>
  <c r="G302" i="1"/>
  <c r="S302" i="1" s="1"/>
  <c r="G303" i="1"/>
  <c r="S303" i="1" s="1"/>
  <c r="G304" i="1"/>
  <c r="S304" i="1" s="1"/>
  <c r="G305" i="1"/>
  <c r="S305" i="1" s="1"/>
  <c r="G306" i="1"/>
  <c r="S306" i="1" s="1"/>
  <c r="G307" i="1"/>
  <c r="S307" i="1" s="1"/>
  <c r="G308" i="1"/>
  <c r="S308" i="1" s="1"/>
  <c r="G309" i="1"/>
  <c r="S309" i="1" s="1"/>
  <c r="G310" i="1"/>
  <c r="G311" i="1"/>
  <c r="S311" i="1" s="1"/>
  <c r="G312" i="1"/>
  <c r="S312" i="1" s="1"/>
  <c r="G313" i="1"/>
  <c r="S313" i="1" s="1"/>
  <c r="G314" i="1"/>
  <c r="S314" i="1" s="1"/>
  <c r="G315" i="1"/>
  <c r="S315" i="1" s="1"/>
  <c r="G316" i="1"/>
  <c r="S316" i="1" s="1"/>
  <c r="G317" i="1"/>
  <c r="S317" i="1" s="1"/>
  <c r="G318" i="1"/>
  <c r="S318" i="1" s="1"/>
  <c r="G319" i="1"/>
  <c r="S319" i="1" s="1"/>
  <c r="G320" i="1"/>
  <c r="S320" i="1" s="1"/>
  <c r="G321" i="1"/>
  <c r="S321" i="1" s="1"/>
  <c r="G322" i="1"/>
  <c r="S322" i="1" s="1"/>
  <c r="G323" i="1"/>
  <c r="S323" i="1" s="1"/>
  <c r="G324" i="1"/>
  <c r="S324" i="1" s="1"/>
  <c r="G325" i="1"/>
  <c r="S325" i="1" s="1"/>
  <c r="G326" i="1"/>
  <c r="S326" i="1" s="1"/>
  <c r="G327" i="1"/>
  <c r="S327" i="1" s="1"/>
  <c r="G328" i="1"/>
  <c r="S328" i="1" s="1"/>
  <c r="G329" i="1"/>
  <c r="S329" i="1" s="1"/>
  <c r="G330" i="1"/>
  <c r="S330" i="1" s="1"/>
  <c r="G331" i="1"/>
  <c r="S331" i="1" s="1"/>
  <c r="G332" i="1"/>
  <c r="S332" i="1" s="1"/>
  <c r="G333" i="1"/>
  <c r="S333" i="1" s="1"/>
  <c r="G334" i="1"/>
  <c r="G335" i="1"/>
  <c r="G336" i="1"/>
  <c r="S336" i="1" s="1"/>
  <c r="G337" i="1"/>
  <c r="S337" i="1" s="1"/>
  <c r="G338" i="1"/>
  <c r="S338" i="1" s="1"/>
  <c r="G339" i="1"/>
  <c r="S339" i="1" s="1"/>
  <c r="G340" i="1"/>
  <c r="S340" i="1" s="1"/>
  <c r="G341" i="1"/>
  <c r="S341" i="1" s="1"/>
  <c r="G342" i="1"/>
  <c r="S342" i="1" s="1"/>
  <c r="G343" i="1"/>
  <c r="S343" i="1" s="1"/>
  <c r="G344" i="1"/>
  <c r="S344" i="1" s="1"/>
  <c r="G345" i="1"/>
  <c r="S345" i="1" s="1"/>
  <c r="G346" i="1"/>
  <c r="S346" i="1" s="1"/>
  <c r="G347" i="1"/>
  <c r="S347" i="1" s="1"/>
  <c r="G348" i="1"/>
  <c r="S348" i="1" s="1"/>
  <c r="G349" i="1"/>
  <c r="S349" i="1" s="1"/>
  <c r="G350" i="1"/>
  <c r="S350" i="1" s="1"/>
  <c r="G351" i="1"/>
  <c r="S351" i="1" s="1"/>
  <c r="G352" i="1"/>
  <c r="S352" i="1" s="1"/>
  <c r="G353" i="1"/>
  <c r="S353" i="1" s="1"/>
  <c r="G354" i="1"/>
  <c r="S354" i="1" s="1"/>
  <c r="G355" i="1"/>
  <c r="S355" i="1" s="1"/>
  <c r="G356" i="1"/>
  <c r="G357" i="1"/>
  <c r="S357" i="1" s="1"/>
  <c r="G358" i="1"/>
  <c r="G359" i="1"/>
  <c r="S359" i="1" s="1"/>
  <c r="G360" i="1"/>
  <c r="S360" i="1" s="1"/>
  <c r="G361" i="1"/>
  <c r="S361" i="1" s="1"/>
  <c r="G362" i="1"/>
  <c r="S362" i="1" s="1"/>
  <c r="G363" i="1"/>
  <c r="S363" i="1" s="1"/>
  <c r="G364" i="1"/>
  <c r="S364" i="1" s="1"/>
  <c r="G365" i="1"/>
  <c r="S365" i="1" s="1"/>
  <c r="G366" i="1"/>
  <c r="S366" i="1" s="1"/>
  <c r="G367" i="1"/>
  <c r="S367" i="1" s="1"/>
  <c r="G368" i="1"/>
  <c r="S368" i="1" s="1"/>
  <c r="G369" i="1"/>
  <c r="S369" i="1" s="1"/>
  <c r="G370" i="1"/>
  <c r="S370" i="1" s="1"/>
  <c r="G371" i="1"/>
  <c r="G372" i="1"/>
  <c r="G373" i="1"/>
  <c r="G374" i="1"/>
  <c r="S374" i="1" s="1"/>
  <c r="G375" i="1"/>
  <c r="S375" i="1" s="1"/>
  <c r="G376" i="1"/>
  <c r="S376" i="1" s="1"/>
  <c r="G377" i="1"/>
  <c r="S377" i="1" s="1"/>
  <c r="G378" i="1"/>
  <c r="S378" i="1" s="1"/>
  <c r="G379" i="1"/>
  <c r="S379" i="1" s="1"/>
  <c r="G380" i="1"/>
  <c r="S380" i="1" s="1"/>
  <c r="G381" i="1"/>
  <c r="S381" i="1" s="1"/>
  <c r="G382" i="1"/>
  <c r="G383" i="1"/>
  <c r="G384" i="1"/>
  <c r="S384" i="1" s="1"/>
  <c r="G385" i="1"/>
  <c r="S385" i="1" s="1"/>
  <c r="G386" i="1"/>
  <c r="S386" i="1" s="1"/>
  <c r="G387" i="1"/>
  <c r="S387" i="1" s="1"/>
  <c r="G388" i="1"/>
  <c r="S388" i="1" s="1"/>
  <c r="G389" i="1"/>
  <c r="S389" i="1" s="1"/>
  <c r="G390" i="1"/>
  <c r="S390" i="1" s="1"/>
  <c r="G391" i="1"/>
  <c r="S391" i="1" s="1"/>
  <c r="G392" i="1"/>
  <c r="S392" i="1" s="1"/>
  <c r="G393" i="1"/>
  <c r="S393" i="1" s="1"/>
  <c r="G394" i="1"/>
  <c r="S394" i="1" s="1"/>
  <c r="G395" i="1"/>
  <c r="G396" i="1"/>
  <c r="S396" i="1" s="1"/>
  <c r="G397" i="1"/>
  <c r="S397" i="1" s="1"/>
  <c r="G398" i="1"/>
  <c r="S398" i="1" s="1"/>
  <c r="G399" i="1"/>
  <c r="S399" i="1" s="1"/>
  <c r="G400" i="1"/>
  <c r="S400" i="1" s="1"/>
  <c r="G401" i="1"/>
  <c r="S401" i="1" s="1"/>
  <c r="G402" i="1"/>
  <c r="S402" i="1" s="1"/>
  <c r="G403" i="1"/>
  <c r="S403" i="1" s="1"/>
  <c r="G404" i="1"/>
  <c r="G405" i="1"/>
  <c r="S405" i="1" s="1"/>
  <c r="G406" i="1"/>
  <c r="S406" i="1" s="1"/>
  <c r="G407" i="1"/>
  <c r="S407" i="1" s="1"/>
  <c r="G408" i="1"/>
  <c r="S408" i="1" s="1"/>
  <c r="G409" i="1"/>
  <c r="S409" i="1" s="1"/>
  <c r="G410" i="1"/>
  <c r="S410" i="1" s="1"/>
  <c r="G411" i="1"/>
  <c r="S411" i="1" s="1"/>
  <c r="G412" i="1"/>
  <c r="S412" i="1" s="1"/>
  <c r="G413" i="1"/>
  <c r="S413" i="1" s="1"/>
  <c r="G414" i="1"/>
  <c r="S414" i="1" s="1"/>
  <c r="G415" i="1"/>
  <c r="S415" i="1" s="1"/>
  <c r="G416" i="1"/>
  <c r="G417" i="1"/>
  <c r="G418" i="1"/>
  <c r="G419" i="1"/>
  <c r="G420" i="1"/>
  <c r="S420" i="1" s="1"/>
  <c r="G421" i="1"/>
  <c r="S421" i="1" s="1"/>
  <c r="G422" i="1"/>
  <c r="S422" i="1" s="1"/>
  <c r="G423" i="1"/>
  <c r="S423" i="1" s="1"/>
  <c r="G424" i="1"/>
  <c r="S424" i="1" s="1"/>
  <c r="G425" i="1"/>
  <c r="S425" i="1" s="1"/>
  <c r="G426" i="1"/>
  <c r="S426" i="1" s="1"/>
  <c r="G427" i="1"/>
  <c r="S427" i="1" s="1"/>
  <c r="G428" i="1"/>
  <c r="S428" i="1" s="1"/>
  <c r="G429" i="1"/>
  <c r="S429" i="1" s="1"/>
  <c r="G430" i="1"/>
  <c r="S430" i="1" s="1"/>
  <c r="G431" i="1"/>
  <c r="S431" i="1" s="1"/>
  <c r="G432" i="1"/>
  <c r="S432" i="1" s="1"/>
  <c r="G433" i="1"/>
  <c r="S433" i="1" s="1"/>
  <c r="G434" i="1"/>
  <c r="S434" i="1" s="1"/>
  <c r="G435" i="1"/>
  <c r="S435" i="1" s="1"/>
  <c r="G436" i="1"/>
  <c r="S436" i="1" s="1"/>
  <c r="G437" i="1"/>
  <c r="S437" i="1" s="1"/>
  <c r="G438" i="1"/>
  <c r="G439" i="1"/>
  <c r="S439" i="1" s="1"/>
  <c r="G440" i="1"/>
  <c r="S440" i="1" s="1"/>
  <c r="G441" i="1"/>
  <c r="S441" i="1" s="1"/>
  <c r="G442" i="1"/>
  <c r="S442" i="1" s="1"/>
  <c r="G443" i="1"/>
  <c r="G444" i="1"/>
  <c r="S444" i="1" s="1"/>
  <c r="G445" i="1"/>
  <c r="S445" i="1" s="1"/>
  <c r="G446" i="1"/>
  <c r="S446" i="1" s="1"/>
  <c r="G447" i="1"/>
  <c r="S447" i="1" s="1"/>
  <c r="G448" i="1"/>
  <c r="S448" i="1" s="1"/>
  <c r="G449" i="1"/>
  <c r="S449" i="1" s="1"/>
  <c r="G450" i="1"/>
  <c r="S450" i="1" s="1"/>
  <c r="G451" i="1"/>
  <c r="S451" i="1" s="1"/>
  <c r="G452" i="1"/>
  <c r="S452" i="1" s="1"/>
  <c r="G453" i="1"/>
  <c r="S453" i="1" s="1"/>
  <c r="G454" i="1"/>
  <c r="S454" i="1" s="1"/>
  <c r="G455" i="1"/>
  <c r="S455" i="1" s="1"/>
  <c r="G456" i="1"/>
  <c r="S456" i="1" s="1"/>
  <c r="G457" i="1"/>
  <c r="S457" i="1" s="1"/>
  <c r="G458" i="1"/>
  <c r="S458" i="1" s="1"/>
  <c r="G459" i="1"/>
  <c r="S459" i="1" s="1"/>
  <c r="G460" i="1"/>
  <c r="S460" i="1" s="1"/>
  <c r="G461" i="1"/>
  <c r="S461" i="1" s="1"/>
  <c r="G462" i="1"/>
  <c r="S462" i="1" s="1"/>
  <c r="G463" i="1"/>
  <c r="S463" i="1" s="1"/>
  <c r="G464" i="1"/>
  <c r="S464" i="1" s="1"/>
  <c r="G465" i="1"/>
  <c r="S465" i="1" s="1"/>
  <c r="G466" i="1"/>
  <c r="G467" i="1"/>
  <c r="G468" i="1"/>
  <c r="S468" i="1" s="1"/>
  <c r="G469" i="1"/>
  <c r="S469" i="1" s="1"/>
  <c r="G470" i="1"/>
  <c r="S470" i="1" s="1"/>
  <c r="G471" i="1"/>
  <c r="S471" i="1" s="1"/>
  <c r="G472" i="1"/>
  <c r="S472" i="1" s="1"/>
  <c r="G473" i="1"/>
  <c r="S473" i="1" s="1"/>
  <c r="G474" i="1"/>
  <c r="S474" i="1" s="1"/>
  <c r="G475" i="1"/>
  <c r="S475" i="1" s="1"/>
  <c r="G476" i="1"/>
  <c r="S476" i="1" s="1"/>
  <c r="G477" i="1"/>
  <c r="S477" i="1" s="1"/>
  <c r="G478" i="1"/>
  <c r="S478" i="1" s="1"/>
  <c r="G479" i="1"/>
  <c r="G480" i="1"/>
  <c r="S480" i="1" s="1"/>
  <c r="G481" i="1"/>
  <c r="G482" i="1"/>
  <c r="G483" i="1"/>
  <c r="S483" i="1" s="1"/>
  <c r="G484" i="1"/>
  <c r="S484" i="1" s="1"/>
  <c r="G485" i="1"/>
  <c r="S485" i="1" s="1"/>
  <c r="G486" i="1"/>
  <c r="G487" i="1"/>
  <c r="S487" i="1" s="1"/>
  <c r="G488" i="1"/>
  <c r="S488" i="1" s="1"/>
  <c r="G489" i="1"/>
  <c r="S489" i="1" s="1"/>
  <c r="G490" i="1"/>
  <c r="S490" i="1" s="1"/>
  <c r="G491" i="1"/>
  <c r="G492" i="1"/>
  <c r="S492" i="1" s="1"/>
  <c r="G493" i="1"/>
  <c r="S493" i="1" s="1"/>
  <c r="G494" i="1"/>
  <c r="S494" i="1" s="1"/>
  <c r="G495" i="1"/>
  <c r="S495" i="1" s="1"/>
  <c r="G496" i="1"/>
  <c r="S496" i="1" s="1"/>
  <c r="G497" i="1"/>
  <c r="S497" i="1" s="1"/>
  <c r="G498" i="1"/>
  <c r="S498" i="1" s="1"/>
  <c r="G499" i="1"/>
  <c r="S499" i="1" s="1"/>
  <c r="G500" i="1"/>
  <c r="S500" i="1" s="1"/>
  <c r="G501" i="1"/>
  <c r="S501" i="1" s="1"/>
  <c r="G502" i="1"/>
  <c r="G503" i="1"/>
  <c r="S503" i="1" s="1"/>
  <c r="G504" i="1"/>
  <c r="S504" i="1" s="1"/>
  <c r="G505" i="1"/>
  <c r="S505" i="1" s="1"/>
  <c r="G506" i="1"/>
  <c r="S506" i="1" s="1"/>
  <c r="G507" i="1"/>
  <c r="S507" i="1" s="1"/>
  <c r="G508" i="1"/>
  <c r="S508" i="1" s="1"/>
  <c r="G509" i="1"/>
  <c r="S509" i="1" s="1"/>
  <c r="G510" i="1"/>
  <c r="S510" i="1" s="1"/>
  <c r="G511" i="1"/>
  <c r="S511" i="1" s="1"/>
  <c r="G512" i="1"/>
  <c r="S512" i="1" s="1"/>
  <c r="G513" i="1"/>
  <c r="S513" i="1" s="1"/>
  <c r="G514" i="1"/>
  <c r="S514" i="1" s="1"/>
  <c r="G515" i="1"/>
  <c r="S515" i="1" s="1"/>
  <c r="G516" i="1"/>
  <c r="S516" i="1" s="1"/>
  <c r="G517" i="1"/>
  <c r="S517" i="1" s="1"/>
  <c r="G518" i="1"/>
  <c r="S518" i="1" s="1"/>
  <c r="G519" i="1"/>
  <c r="S519" i="1" s="1"/>
  <c r="G520" i="1"/>
  <c r="S520" i="1" s="1"/>
  <c r="G521" i="1"/>
  <c r="S521" i="1" s="1"/>
  <c r="G522" i="1"/>
  <c r="S522" i="1" s="1"/>
  <c r="G523" i="1"/>
  <c r="S523" i="1" s="1"/>
  <c r="G524" i="1"/>
  <c r="S524" i="1" s="1"/>
  <c r="G525" i="1"/>
  <c r="S525" i="1" s="1"/>
  <c r="G526" i="1"/>
  <c r="G527" i="1"/>
  <c r="G528" i="1"/>
  <c r="S528" i="1" s="1"/>
  <c r="G529" i="1"/>
  <c r="S529" i="1" s="1"/>
  <c r="G530" i="1"/>
  <c r="S530" i="1" s="1"/>
  <c r="G531" i="1"/>
  <c r="S531" i="1" s="1"/>
  <c r="G532" i="1"/>
  <c r="S532" i="1" s="1"/>
  <c r="G533" i="1"/>
  <c r="S533" i="1" s="1"/>
  <c r="G534" i="1"/>
  <c r="S534" i="1" s="1"/>
  <c r="G535" i="1"/>
  <c r="S535" i="1" s="1"/>
  <c r="G536" i="1"/>
  <c r="S536" i="1" s="1"/>
  <c r="G537" i="1"/>
  <c r="S537" i="1" s="1"/>
  <c r="G538" i="1"/>
  <c r="S538" i="1" s="1"/>
  <c r="G539" i="1"/>
  <c r="S539" i="1" s="1"/>
  <c r="G540" i="1"/>
  <c r="S540" i="1" s="1"/>
  <c r="G541" i="1"/>
  <c r="S541" i="1" s="1"/>
  <c r="G542" i="1"/>
  <c r="S542" i="1" s="1"/>
  <c r="G543" i="1"/>
  <c r="S543" i="1" s="1"/>
  <c r="G544" i="1"/>
  <c r="S544" i="1" s="1"/>
  <c r="G545" i="1"/>
  <c r="S545" i="1" s="1"/>
  <c r="G546" i="1"/>
  <c r="S546" i="1" s="1"/>
  <c r="G547" i="1"/>
  <c r="S547" i="1" s="1"/>
  <c r="G548" i="1"/>
  <c r="S548" i="1" s="1"/>
  <c r="G549" i="1"/>
  <c r="S549" i="1" s="1"/>
  <c r="G550" i="1"/>
  <c r="G551" i="1"/>
  <c r="S551" i="1" s="1"/>
  <c r="G552" i="1"/>
  <c r="S552" i="1" s="1"/>
  <c r="G553" i="1"/>
  <c r="S553" i="1" s="1"/>
  <c r="G554" i="1"/>
  <c r="G555" i="1"/>
  <c r="S555" i="1" s="1"/>
  <c r="G556" i="1"/>
  <c r="S556" i="1" s="1"/>
  <c r="G557" i="1"/>
  <c r="S557" i="1" s="1"/>
  <c r="G558" i="1"/>
  <c r="S558" i="1" s="1"/>
  <c r="G559" i="1"/>
  <c r="S559" i="1" s="1"/>
  <c r="G560" i="1"/>
  <c r="S560" i="1" s="1"/>
  <c r="G561" i="1"/>
  <c r="S561" i="1" s="1"/>
  <c r="G562" i="1"/>
  <c r="S562" i="1" s="1"/>
  <c r="G563" i="1"/>
  <c r="G564" i="1"/>
  <c r="G565" i="1"/>
  <c r="G566" i="1"/>
  <c r="S566" i="1" s="1"/>
  <c r="G567" i="1"/>
  <c r="S567" i="1" s="1"/>
  <c r="G568" i="1"/>
  <c r="S568" i="1" s="1"/>
  <c r="G569" i="1"/>
  <c r="S569" i="1" s="1"/>
  <c r="G570" i="1"/>
  <c r="S570" i="1" s="1"/>
  <c r="G571" i="1"/>
  <c r="S571" i="1" s="1"/>
  <c r="G572" i="1"/>
  <c r="S572" i="1" s="1"/>
  <c r="G573" i="1"/>
  <c r="S573" i="1" s="1"/>
  <c r="G574" i="1"/>
  <c r="G575" i="1"/>
  <c r="G576" i="1"/>
  <c r="S576" i="1" s="1"/>
  <c r="G577" i="1"/>
  <c r="S577" i="1" s="1"/>
  <c r="G578" i="1"/>
  <c r="S578" i="1" s="1"/>
  <c r="G579" i="1"/>
  <c r="S579" i="1" s="1"/>
  <c r="G580" i="1"/>
  <c r="S580" i="1" s="1"/>
  <c r="G581" i="1"/>
  <c r="S581" i="1" s="1"/>
  <c r="G582" i="1"/>
  <c r="S582" i="1" s="1"/>
  <c r="G583" i="1"/>
  <c r="S583" i="1" s="1"/>
  <c r="G584" i="1"/>
  <c r="S584" i="1" s="1"/>
  <c r="G585" i="1"/>
  <c r="S585" i="1" s="1"/>
  <c r="G586" i="1"/>
  <c r="S586" i="1" s="1"/>
  <c r="G587" i="1"/>
  <c r="G588" i="1"/>
  <c r="S588" i="1" s="1"/>
  <c r="G589" i="1"/>
  <c r="S589" i="1" s="1"/>
  <c r="G590" i="1"/>
  <c r="S590" i="1" s="1"/>
  <c r="G591" i="1"/>
  <c r="S591" i="1" s="1"/>
  <c r="G592" i="1"/>
  <c r="S592" i="1" s="1"/>
  <c r="G593" i="1"/>
  <c r="S593" i="1" s="1"/>
  <c r="G594" i="1"/>
  <c r="G595" i="1"/>
  <c r="S595" i="1" s="1"/>
  <c r="G596" i="1"/>
  <c r="S596" i="1" s="1"/>
  <c r="G597" i="1"/>
  <c r="S597" i="1" s="1"/>
  <c r="G598" i="1"/>
  <c r="S598" i="1" s="1"/>
  <c r="G599" i="1"/>
  <c r="S599" i="1" s="1"/>
  <c r="G600" i="1"/>
  <c r="S600" i="1" s="1"/>
  <c r="G601" i="1"/>
  <c r="S601" i="1" s="1"/>
  <c r="G602" i="1"/>
  <c r="S602" i="1" s="1"/>
  <c r="G603" i="1"/>
  <c r="S603" i="1" s="1"/>
  <c r="G604" i="1"/>
  <c r="S604" i="1" s="1"/>
  <c r="G605" i="1"/>
  <c r="S605" i="1" s="1"/>
  <c r="G606" i="1"/>
  <c r="S606" i="1" s="1"/>
  <c r="G607" i="1"/>
  <c r="S607" i="1" s="1"/>
  <c r="G608" i="1"/>
  <c r="G609" i="1"/>
  <c r="G610" i="1"/>
  <c r="G611" i="1"/>
  <c r="G612" i="1"/>
  <c r="G613" i="1"/>
  <c r="S613" i="1" s="1"/>
  <c r="G614" i="1"/>
  <c r="S614" i="1" s="1"/>
  <c r="G615" i="1"/>
  <c r="S615" i="1" s="1"/>
  <c r="G616" i="1"/>
  <c r="S616" i="1" s="1"/>
  <c r="G617" i="1"/>
  <c r="S617" i="1" s="1"/>
  <c r="G618" i="1"/>
  <c r="S618" i="1" s="1"/>
  <c r="G619" i="1"/>
  <c r="S619" i="1" s="1"/>
  <c r="G620" i="1"/>
  <c r="S620" i="1" s="1"/>
  <c r="G621" i="1"/>
  <c r="S621" i="1" s="1"/>
  <c r="G622" i="1"/>
  <c r="S622" i="1" s="1"/>
  <c r="G623" i="1"/>
  <c r="S623" i="1" s="1"/>
  <c r="G624" i="1"/>
  <c r="S624" i="1" s="1"/>
  <c r="G625" i="1"/>
  <c r="S625" i="1" s="1"/>
  <c r="G626" i="1"/>
  <c r="S626" i="1" s="1"/>
  <c r="G627" i="1"/>
  <c r="S627" i="1" s="1"/>
  <c r="G628" i="1"/>
  <c r="S628" i="1" s="1"/>
  <c r="G629" i="1"/>
  <c r="S629" i="1" s="1"/>
  <c r="G630" i="1"/>
  <c r="S630" i="1" s="1"/>
  <c r="G631" i="1"/>
  <c r="S631" i="1" s="1"/>
  <c r="G632" i="1"/>
  <c r="S632" i="1" s="1"/>
  <c r="G633" i="1"/>
  <c r="S633" i="1" s="1"/>
  <c r="G634" i="1"/>
  <c r="S634" i="1" s="1"/>
  <c r="G635" i="1"/>
  <c r="G636" i="1"/>
  <c r="S636" i="1" s="1"/>
  <c r="G637" i="1"/>
  <c r="S637" i="1" s="1"/>
  <c r="G638" i="1"/>
  <c r="S638" i="1" s="1"/>
  <c r="G639" i="1"/>
  <c r="S639" i="1" s="1"/>
  <c r="G640" i="1"/>
  <c r="S640" i="1" s="1"/>
  <c r="G641" i="1"/>
  <c r="S641" i="1" s="1"/>
  <c r="G642" i="1"/>
  <c r="S642" i="1" s="1"/>
  <c r="G643" i="1"/>
  <c r="S643" i="1" s="1"/>
  <c r="G644" i="1"/>
  <c r="S644" i="1" s="1"/>
  <c r="G645" i="1"/>
  <c r="S645" i="1" s="1"/>
  <c r="G646" i="1"/>
  <c r="S646" i="1" s="1"/>
  <c r="G647" i="1"/>
  <c r="S647" i="1" s="1"/>
  <c r="G648" i="1"/>
  <c r="S648" i="1" s="1"/>
  <c r="G649" i="1"/>
  <c r="S649" i="1" s="1"/>
  <c r="G650" i="1"/>
  <c r="S650" i="1" s="1"/>
  <c r="G651" i="1"/>
  <c r="S651" i="1" s="1"/>
  <c r="G652" i="1"/>
  <c r="S652" i="1" s="1"/>
  <c r="G653" i="1"/>
  <c r="S653" i="1" s="1"/>
  <c r="G654" i="1"/>
  <c r="S654" i="1" s="1"/>
  <c r="G655" i="1"/>
  <c r="S655" i="1" s="1"/>
  <c r="G656" i="1"/>
  <c r="S656" i="1" s="1"/>
  <c r="G657" i="1"/>
  <c r="G658" i="1"/>
  <c r="G659" i="1"/>
  <c r="G660" i="1"/>
  <c r="S660" i="1" s="1"/>
  <c r="G661" i="1"/>
  <c r="S661" i="1" s="1"/>
  <c r="G662" i="1"/>
  <c r="S662" i="1" s="1"/>
  <c r="G663" i="1"/>
  <c r="S663" i="1" s="1"/>
  <c r="G664" i="1"/>
  <c r="S664" i="1" s="1"/>
  <c r="G665" i="1"/>
  <c r="S665" i="1" s="1"/>
  <c r="G666" i="1"/>
  <c r="S666" i="1" s="1"/>
  <c r="G667" i="1"/>
  <c r="S667" i="1" s="1"/>
  <c r="G668" i="1"/>
  <c r="S668" i="1" s="1"/>
  <c r="G669" i="1"/>
  <c r="S669" i="1" s="1"/>
  <c r="G670" i="1"/>
  <c r="S670" i="1" s="1"/>
  <c r="G671" i="1"/>
  <c r="G672" i="1"/>
  <c r="S672" i="1" s="1"/>
  <c r="G673" i="1"/>
  <c r="S673" i="1" s="1"/>
  <c r="G674" i="1"/>
  <c r="G675" i="1"/>
  <c r="S675" i="1" s="1"/>
  <c r="G676" i="1"/>
  <c r="S676" i="1" s="1"/>
  <c r="G677" i="1"/>
  <c r="S677" i="1" s="1"/>
  <c r="G678" i="1"/>
  <c r="S678" i="1" s="1"/>
  <c r="G679" i="1"/>
  <c r="S679" i="1" s="1"/>
  <c r="G680" i="1"/>
  <c r="S680" i="1" s="1"/>
  <c r="G681" i="1"/>
  <c r="S681" i="1" s="1"/>
  <c r="G682" i="1"/>
  <c r="S682" i="1" s="1"/>
  <c r="G683" i="1"/>
  <c r="G684" i="1"/>
  <c r="S684" i="1" s="1"/>
  <c r="G685" i="1"/>
  <c r="S685" i="1" s="1"/>
  <c r="G686" i="1"/>
  <c r="S686" i="1" s="1"/>
  <c r="G687" i="1"/>
  <c r="S687" i="1" s="1"/>
  <c r="G688" i="1"/>
  <c r="S688" i="1" s="1"/>
  <c r="G689" i="1"/>
  <c r="S689" i="1" s="1"/>
  <c r="G690" i="1"/>
  <c r="S690" i="1" s="1"/>
  <c r="G691" i="1"/>
  <c r="S691" i="1" s="1"/>
  <c r="G692" i="1"/>
  <c r="S692" i="1" s="1"/>
  <c r="G693" i="1"/>
  <c r="S693" i="1" s="1"/>
  <c r="G694" i="1"/>
  <c r="G695" i="1"/>
  <c r="S695" i="1" s="1"/>
  <c r="G696" i="1"/>
  <c r="S696" i="1" s="1"/>
  <c r="G697" i="1"/>
  <c r="S697" i="1" s="1"/>
  <c r="G698" i="1"/>
  <c r="S698" i="1" s="1"/>
  <c r="G699" i="1"/>
  <c r="S699" i="1" s="1"/>
  <c r="G700" i="1"/>
  <c r="S700" i="1" s="1"/>
  <c r="G701" i="1"/>
  <c r="S701" i="1" s="1"/>
  <c r="G702" i="1"/>
  <c r="S702" i="1" s="1"/>
  <c r="G703" i="1"/>
  <c r="S703" i="1" s="1"/>
  <c r="G704" i="1"/>
  <c r="S704" i="1" s="1"/>
  <c r="G705" i="1"/>
  <c r="S705" i="1" s="1"/>
  <c r="G706" i="1"/>
  <c r="S706" i="1" s="1"/>
  <c r="G707" i="1"/>
  <c r="S707" i="1" s="1"/>
  <c r="G708" i="1"/>
  <c r="S708" i="1" s="1"/>
  <c r="G709" i="1"/>
  <c r="S709" i="1" s="1"/>
  <c r="G710" i="1"/>
  <c r="S710" i="1" s="1"/>
  <c r="G711" i="1"/>
  <c r="S711" i="1" s="1"/>
  <c r="G712" i="1"/>
  <c r="S712" i="1" s="1"/>
  <c r="G713" i="1"/>
  <c r="S713" i="1" s="1"/>
  <c r="G714" i="1"/>
  <c r="S714" i="1" s="1"/>
  <c r="G715" i="1"/>
  <c r="S715" i="1" s="1"/>
  <c r="G716" i="1"/>
  <c r="S716" i="1" s="1"/>
  <c r="G717" i="1"/>
  <c r="S717" i="1" s="1"/>
  <c r="G718" i="1"/>
  <c r="G719" i="1"/>
  <c r="G720" i="1"/>
  <c r="S720" i="1" s="1"/>
  <c r="G721" i="1"/>
  <c r="S721" i="1" s="1"/>
  <c r="G3" i="1"/>
  <c r="G4" i="1"/>
  <c r="G5" i="1"/>
  <c r="G6" i="1"/>
  <c r="G7" i="1"/>
  <c r="S7" i="1" s="1"/>
  <c r="G8" i="1"/>
  <c r="G9" i="1"/>
  <c r="S9" i="1" s="1"/>
  <c r="G10" i="1"/>
  <c r="G11" i="1"/>
  <c r="S11" i="1" s="1"/>
  <c r="G12" i="1"/>
  <c r="S12" i="1" s="1"/>
  <c r="G13" i="1"/>
  <c r="S13" i="1" s="1"/>
  <c r="G14" i="1"/>
  <c r="S14" i="1" s="1"/>
  <c r="G15" i="1"/>
  <c r="G16" i="1"/>
  <c r="G17" i="1"/>
  <c r="G18" i="1"/>
  <c r="G19" i="1"/>
  <c r="S19" i="1" s="1"/>
  <c r="G20" i="1"/>
  <c r="S20" i="1" s="1"/>
  <c r="G21" i="1"/>
  <c r="S21" i="1" s="1"/>
  <c r="G22" i="1"/>
  <c r="S22" i="1" s="1"/>
  <c r="G2" i="1"/>
  <c r="K2" i="1" s="1"/>
  <c r="J461" i="1" l="1"/>
  <c r="R461" i="1"/>
  <c r="J220" i="1"/>
  <c r="R220" i="1"/>
  <c r="J87" i="1"/>
  <c r="R87" i="1"/>
  <c r="K5" i="1"/>
  <c r="M5" i="1" s="1"/>
  <c r="S5" i="1"/>
  <c r="J79" i="1"/>
  <c r="R79" i="1"/>
  <c r="K4" i="1"/>
  <c r="S4" i="1"/>
  <c r="J365" i="1"/>
  <c r="R365" i="1"/>
  <c r="J51" i="1"/>
  <c r="R51" i="1"/>
  <c r="K6" i="1"/>
  <c r="S6" i="1"/>
  <c r="J716" i="1"/>
  <c r="R716" i="1"/>
  <c r="J403" i="1"/>
  <c r="R403" i="1"/>
  <c r="J139" i="1"/>
  <c r="R139" i="1"/>
  <c r="K15" i="1"/>
  <c r="S15" i="1"/>
  <c r="J617" i="1"/>
  <c r="R617" i="1"/>
  <c r="J675" i="1"/>
  <c r="R675" i="1"/>
  <c r="J603" i="1"/>
  <c r="R603" i="1"/>
  <c r="J531" i="1"/>
  <c r="R531" i="1"/>
  <c r="K10" i="1"/>
  <c r="S10" i="1"/>
  <c r="I342" i="1"/>
  <c r="K17" i="1"/>
  <c r="S17" i="1"/>
  <c r="J497" i="1"/>
  <c r="R497" i="1"/>
  <c r="J113" i="1"/>
  <c r="R113" i="1"/>
  <c r="I707" i="1"/>
  <c r="I695" i="1"/>
  <c r="I683" i="1"/>
  <c r="I659" i="1"/>
  <c r="I635" i="1"/>
  <c r="I623" i="1"/>
  <c r="I611" i="1"/>
  <c r="I563" i="1"/>
  <c r="I551" i="1"/>
  <c r="I539" i="1"/>
  <c r="I503" i="1"/>
  <c r="I491" i="1"/>
  <c r="I467" i="1"/>
  <c r="I455" i="1"/>
  <c r="K432" i="1"/>
  <c r="M432" i="1" s="1"/>
  <c r="K396" i="1"/>
  <c r="K216" i="1"/>
  <c r="J425" i="1"/>
  <c r="R425" i="1"/>
  <c r="J341" i="1"/>
  <c r="R341" i="1"/>
  <c r="J77" i="1"/>
  <c r="R77" i="1"/>
  <c r="K8" i="1"/>
  <c r="P2" i="1" s="1"/>
  <c r="S8" i="1"/>
  <c r="J610" i="1"/>
  <c r="R610" i="1"/>
  <c r="J466" i="1"/>
  <c r="R466" i="1"/>
  <c r="J22" i="1"/>
  <c r="R22" i="1"/>
  <c r="K18" i="1"/>
  <c r="S18" i="1"/>
  <c r="J477" i="1"/>
  <c r="R477" i="1"/>
  <c r="K16" i="1"/>
  <c r="Q4" i="1" s="1"/>
  <c r="S16" i="1"/>
  <c r="K3" i="1"/>
  <c r="L3" i="1" s="1"/>
  <c r="S3" i="1"/>
  <c r="J281" i="1"/>
  <c r="R281" i="1"/>
  <c r="I688" i="1"/>
  <c r="I676" i="1"/>
  <c r="I628" i="1"/>
  <c r="I616" i="1"/>
  <c r="I604" i="1"/>
  <c r="I556" i="1"/>
  <c r="I544" i="1"/>
  <c r="I508" i="1"/>
  <c r="I496" i="1"/>
  <c r="I460" i="1"/>
  <c r="I424" i="1"/>
  <c r="I400" i="1"/>
  <c r="I388" i="1"/>
  <c r="I364" i="1"/>
  <c r="I340" i="1"/>
  <c r="I316" i="1"/>
  <c r="I304" i="1"/>
  <c r="I280" i="1"/>
  <c r="I702" i="1"/>
  <c r="I690" i="1"/>
  <c r="I462" i="1"/>
  <c r="I426" i="1"/>
  <c r="I402" i="1"/>
  <c r="I318" i="1"/>
  <c r="I282" i="1"/>
  <c r="I258" i="1"/>
  <c r="I222" i="1"/>
  <c r="I138" i="1"/>
  <c r="I114" i="1"/>
  <c r="I6" i="1"/>
  <c r="I256" i="1"/>
  <c r="I196" i="1"/>
  <c r="I172" i="1"/>
  <c r="I76" i="1"/>
  <c r="I16" i="1"/>
  <c r="I4" i="1"/>
  <c r="R242" i="1"/>
  <c r="I50" i="1"/>
  <c r="I697" i="1"/>
  <c r="I685" i="1"/>
  <c r="I673" i="1"/>
  <c r="I661" i="1"/>
  <c r="I625" i="1"/>
  <c r="I613" i="1"/>
  <c r="I601" i="1"/>
  <c r="I589" i="1"/>
  <c r="I553" i="1"/>
  <c r="I530" i="1"/>
  <c r="I482" i="1"/>
  <c r="I446" i="1"/>
  <c r="I386" i="1"/>
  <c r="I49" i="1"/>
  <c r="I37" i="1"/>
  <c r="I13" i="1"/>
  <c r="I48" i="1"/>
  <c r="I12" i="1"/>
  <c r="I590" i="1"/>
  <c r="I319" i="1"/>
  <c r="I674" i="1"/>
  <c r="K7" i="1"/>
  <c r="L7" i="1" s="1"/>
  <c r="K318" i="1"/>
  <c r="K718" i="1"/>
  <c r="I705" i="1"/>
  <c r="K646" i="1"/>
  <c r="M646" i="1" s="1"/>
  <c r="K574" i="1"/>
  <c r="K514" i="1"/>
  <c r="L514" i="1" s="1"/>
  <c r="K478" i="1"/>
  <c r="Q478" i="1" s="1"/>
  <c r="K442" i="1"/>
  <c r="L442" i="1" s="1"/>
  <c r="K382" i="1"/>
  <c r="Q382" i="1" s="1"/>
  <c r="K322" i="1"/>
  <c r="M322" i="1" s="1"/>
  <c r="K298" i="1"/>
  <c r="K238" i="1"/>
  <c r="L238" i="1" s="1"/>
  <c r="K214" i="1"/>
  <c r="K190" i="1"/>
  <c r="K717" i="1"/>
  <c r="K705" i="1"/>
  <c r="M705" i="1" s="1"/>
  <c r="K645" i="1"/>
  <c r="K633" i="1"/>
  <c r="Q633" i="1" s="1"/>
  <c r="K573" i="1"/>
  <c r="K561" i="1"/>
  <c r="L561" i="1" s="1"/>
  <c r="K513" i="1"/>
  <c r="L513" i="1" s="1"/>
  <c r="K405" i="1"/>
  <c r="L405" i="1" s="1"/>
  <c r="K381" i="1"/>
  <c r="K321" i="1"/>
  <c r="L321" i="1" s="1"/>
  <c r="K261" i="1"/>
  <c r="K237" i="1"/>
  <c r="K213" i="1"/>
  <c r="K189" i="1"/>
  <c r="M189" i="1" s="1"/>
  <c r="K165" i="1"/>
  <c r="Q165" i="1" s="1"/>
  <c r="K141" i="1"/>
  <c r="K716" i="1"/>
  <c r="K704" i="1"/>
  <c r="Q704" i="1" s="1"/>
  <c r="K692" i="1"/>
  <c r="M692" i="1" s="1"/>
  <c r="K668" i="1"/>
  <c r="L668" i="1" s="1"/>
  <c r="K656" i="1"/>
  <c r="K644" i="1"/>
  <c r="K632" i="1"/>
  <c r="K620" i="1"/>
  <c r="K608" i="1"/>
  <c r="K596" i="1"/>
  <c r="K584" i="1"/>
  <c r="L584" i="1" s="1"/>
  <c r="K572" i="1"/>
  <c r="Q572" i="1" s="1"/>
  <c r="K560" i="1"/>
  <c r="L560" i="1" s="1"/>
  <c r="K548" i="1"/>
  <c r="Q548" i="1" s="1"/>
  <c r="K536" i="1"/>
  <c r="L536" i="1" s="1"/>
  <c r="K524" i="1"/>
  <c r="Q524" i="1" s="1"/>
  <c r="K512" i="1"/>
  <c r="K500" i="1"/>
  <c r="Q500" i="1" s="1"/>
  <c r="K488" i="1"/>
  <c r="K476" i="1"/>
  <c r="K464" i="1"/>
  <c r="K452" i="1"/>
  <c r="Q452" i="1" s="1"/>
  <c r="K440" i="1"/>
  <c r="K428" i="1"/>
  <c r="K416" i="1"/>
  <c r="L416" i="1" s="1"/>
  <c r="K404" i="1"/>
  <c r="Q404" i="1" s="1"/>
  <c r="K392" i="1"/>
  <c r="Q392" i="1" s="1"/>
  <c r="K380" i="1"/>
  <c r="Q380" i="1" s="1"/>
  <c r="K368" i="1"/>
  <c r="K356" i="1"/>
  <c r="Q356" i="1" s="1"/>
  <c r="K344" i="1"/>
  <c r="K332" i="1"/>
  <c r="I307" i="1"/>
  <c r="K296" i="1"/>
  <c r="M296" i="1" s="1"/>
  <c r="K284" i="1"/>
  <c r="Q284" i="1" s="1"/>
  <c r="K272" i="1"/>
  <c r="Q272" i="1" s="1"/>
  <c r="K260" i="1"/>
  <c r="K248" i="1"/>
  <c r="L248" i="1" s="1"/>
  <c r="K236" i="1"/>
  <c r="Q236" i="1" s="1"/>
  <c r="K224" i="1"/>
  <c r="Q224" i="1" s="1"/>
  <c r="K212" i="1"/>
  <c r="K200" i="1"/>
  <c r="Q188" i="1" s="1"/>
  <c r="K188" i="1"/>
  <c r="K176" i="1"/>
  <c r="K164" i="1"/>
  <c r="K152" i="1"/>
  <c r="M152" i="1" s="1"/>
  <c r="K140" i="1"/>
  <c r="Q140" i="1" s="1"/>
  <c r="K128" i="1"/>
  <c r="Q128" i="1" s="1"/>
  <c r="K116" i="1"/>
  <c r="K612" i="1"/>
  <c r="M612" i="1" s="1"/>
  <c r="I629" i="1"/>
  <c r="I557" i="1"/>
  <c r="I401" i="1"/>
  <c r="I317" i="1"/>
  <c r="I257" i="1"/>
  <c r="I137" i="1"/>
  <c r="I259" i="1"/>
  <c r="K308" i="1"/>
  <c r="K13" i="1"/>
  <c r="M13" i="1" s="1"/>
  <c r="I699" i="1"/>
  <c r="I663" i="1"/>
  <c r="I627" i="1"/>
  <c r="I615" i="1"/>
  <c r="I555" i="1"/>
  <c r="I543" i="1"/>
  <c r="I507" i="1"/>
  <c r="I495" i="1"/>
  <c r="I75" i="1"/>
  <c r="I39" i="1"/>
  <c r="I15" i="1"/>
  <c r="I3" i="1"/>
  <c r="I463" i="1"/>
  <c r="K14" i="1"/>
  <c r="L14" i="1" s="1"/>
  <c r="K12" i="1"/>
  <c r="M12" i="1" s="1"/>
  <c r="I698" i="1"/>
  <c r="I626" i="1"/>
  <c r="I614" i="1"/>
  <c r="I554" i="1"/>
  <c r="I506" i="1"/>
  <c r="I494" i="1"/>
  <c r="I458" i="1"/>
  <c r="I422" i="1"/>
  <c r="I398" i="1"/>
  <c r="I374" i="1"/>
  <c r="I338" i="1"/>
  <c r="I314" i="1"/>
  <c r="I278" i="1"/>
  <c r="I254" i="1"/>
  <c r="I218" i="1"/>
  <c r="I74" i="1"/>
  <c r="I38" i="1"/>
  <c r="I14" i="1"/>
  <c r="I2" i="1"/>
  <c r="I343" i="1"/>
  <c r="I236" i="1"/>
  <c r="M318" i="1"/>
  <c r="L318" i="1"/>
  <c r="Q705" i="1"/>
  <c r="I718" i="1"/>
  <c r="K719" i="1"/>
  <c r="K707" i="1"/>
  <c r="I706" i="1"/>
  <c r="K695" i="1"/>
  <c r="I694" i="1"/>
  <c r="K683" i="1"/>
  <c r="I682" i="1"/>
  <c r="K671" i="1"/>
  <c r="I670" i="1"/>
  <c r="I671" i="1"/>
  <c r="K659" i="1"/>
  <c r="I658" i="1"/>
  <c r="I646" i="1"/>
  <c r="K647" i="1"/>
  <c r="I634" i="1"/>
  <c r="K635" i="1"/>
  <c r="K623" i="1"/>
  <c r="I622" i="1"/>
  <c r="I598" i="1"/>
  <c r="K599" i="1"/>
  <c r="I599" i="1"/>
  <c r="I586" i="1"/>
  <c r="K587" i="1"/>
  <c r="K575" i="1"/>
  <c r="I574" i="1"/>
  <c r="K563" i="1"/>
  <c r="I562" i="1"/>
  <c r="K551" i="1"/>
  <c r="I550" i="1"/>
  <c r="I538" i="1"/>
  <c r="K539" i="1"/>
  <c r="I526" i="1"/>
  <c r="K527" i="1"/>
  <c r="I514" i="1"/>
  <c r="K515" i="1"/>
  <c r="K503" i="1"/>
  <c r="I502" i="1"/>
  <c r="K491" i="1"/>
  <c r="I490" i="1"/>
  <c r="I478" i="1"/>
  <c r="K479" i="1"/>
  <c r="K455" i="1"/>
  <c r="I454" i="1"/>
  <c r="K443" i="1"/>
  <c r="I442" i="1"/>
  <c r="I430" i="1"/>
  <c r="K431" i="1"/>
  <c r="I418" i="1"/>
  <c r="K419" i="1"/>
  <c r="K407" i="1"/>
  <c r="I406" i="1"/>
  <c r="K395" i="1"/>
  <c r="I394" i="1"/>
  <c r="I382" i="1"/>
  <c r="K383" i="1"/>
  <c r="I370" i="1"/>
  <c r="K371" i="1"/>
  <c r="K359" i="1"/>
  <c r="I358" i="1"/>
  <c r="K347" i="1"/>
  <c r="I346" i="1"/>
  <c r="I334" i="1"/>
  <c r="K335" i="1"/>
  <c r="I322" i="1"/>
  <c r="K323" i="1"/>
  <c r="K311" i="1"/>
  <c r="I310" i="1"/>
  <c r="K299" i="1"/>
  <c r="I298" i="1"/>
  <c r="I286" i="1"/>
  <c r="K287" i="1"/>
  <c r="I274" i="1"/>
  <c r="K275" i="1"/>
  <c r="K263" i="1"/>
  <c r="I262" i="1"/>
  <c r="K251" i="1"/>
  <c r="I250" i="1"/>
  <c r="I238" i="1"/>
  <c r="K239" i="1"/>
  <c r="K227" i="1"/>
  <c r="I226" i="1"/>
  <c r="K215" i="1"/>
  <c r="I214" i="1"/>
  <c r="I202" i="1"/>
  <c r="K203" i="1"/>
  <c r="K191" i="1"/>
  <c r="I190" i="1"/>
  <c r="K179" i="1"/>
  <c r="I178" i="1"/>
  <c r="I166" i="1"/>
  <c r="K167" i="1"/>
  <c r="K155" i="1"/>
  <c r="I154" i="1"/>
  <c r="K143" i="1"/>
  <c r="I142" i="1"/>
  <c r="I130" i="1"/>
  <c r="K131" i="1"/>
  <c r="K119" i="1"/>
  <c r="I118" i="1"/>
  <c r="K107" i="1"/>
  <c r="I106" i="1"/>
  <c r="I94" i="1"/>
  <c r="K95" i="1"/>
  <c r="K83" i="1"/>
  <c r="I82" i="1"/>
  <c r="K71" i="1"/>
  <c r="I70" i="1"/>
  <c r="K59" i="1"/>
  <c r="I58" i="1"/>
  <c r="K47" i="1"/>
  <c r="I46" i="1"/>
  <c r="K35" i="1"/>
  <c r="I34" i="1"/>
  <c r="I35" i="1"/>
  <c r="I10" i="1"/>
  <c r="I11" i="1"/>
  <c r="I704" i="1"/>
  <c r="I647" i="1"/>
  <c r="K706" i="1"/>
  <c r="M216" i="1"/>
  <c r="L216" i="1"/>
  <c r="Q718" i="1"/>
  <c r="M718" i="1"/>
  <c r="P718" i="1"/>
  <c r="L718" i="1"/>
  <c r="K694" i="1"/>
  <c r="I693" i="1"/>
  <c r="K682" i="1"/>
  <c r="I681" i="1"/>
  <c r="K670" i="1"/>
  <c r="I669" i="1"/>
  <c r="K658" i="1"/>
  <c r="I657" i="1"/>
  <c r="L646" i="1"/>
  <c r="K634" i="1"/>
  <c r="I633" i="1"/>
  <c r="K622" i="1"/>
  <c r="I621" i="1"/>
  <c r="K610" i="1"/>
  <c r="I609" i="1"/>
  <c r="K598" i="1"/>
  <c r="I597" i="1"/>
  <c r="K586" i="1"/>
  <c r="Q574" i="1" s="1"/>
  <c r="I585" i="1"/>
  <c r="M574" i="1"/>
  <c r="L574" i="1"/>
  <c r="K562" i="1"/>
  <c r="I561" i="1"/>
  <c r="K550" i="1"/>
  <c r="I549" i="1"/>
  <c r="K538" i="1"/>
  <c r="I537" i="1"/>
  <c r="K526" i="1"/>
  <c r="I525" i="1"/>
  <c r="Q514" i="1"/>
  <c r="M514" i="1"/>
  <c r="K502" i="1"/>
  <c r="I501" i="1"/>
  <c r="K490" i="1"/>
  <c r="I489" i="1"/>
  <c r="I465" i="1"/>
  <c r="K454" i="1"/>
  <c r="Q442" i="1" s="1"/>
  <c r="I453" i="1"/>
  <c r="M442" i="1"/>
  <c r="K430" i="1"/>
  <c r="I429" i="1"/>
  <c r="K418" i="1"/>
  <c r="I417" i="1"/>
  <c r="K406" i="1"/>
  <c r="I405" i="1"/>
  <c r="K394" i="1"/>
  <c r="I393" i="1"/>
  <c r="M382" i="1"/>
  <c r="L382" i="1"/>
  <c r="K370" i="1"/>
  <c r="I369" i="1"/>
  <c r="K358" i="1"/>
  <c r="I357" i="1"/>
  <c r="K346" i="1"/>
  <c r="I345" i="1"/>
  <c r="K334" i="1"/>
  <c r="I333" i="1"/>
  <c r="K310" i="1"/>
  <c r="Q298" i="1" s="1"/>
  <c r="I309" i="1"/>
  <c r="M298" i="1"/>
  <c r="L298" i="1"/>
  <c r="K286" i="1"/>
  <c r="I285" i="1"/>
  <c r="K274" i="1"/>
  <c r="I273" i="1"/>
  <c r="K262" i="1"/>
  <c r="I261" i="1"/>
  <c r="K250" i="1"/>
  <c r="I249" i="1"/>
  <c r="M238" i="1"/>
  <c r="K226" i="1"/>
  <c r="I225" i="1"/>
  <c r="Q214" i="1"/>
  <c r="M214" i="1"/>
  <c r="L214" i="1"/>
  <c r="K202" i="1"/>
  <c r="Q190" i="1" s="1"/>
  <c r="I201" i="1"/>
  <c r="M190" i="1"/>
  <c r="L190" i="1"/>
  <c r="K178" i="1"/>
  <c r="I177" i="1"/>
  <c r="I81" i="1"/>
  <c r="I69" i="1"/>
  <c r="I57" i="1"/>
  <c r="I33" i="1"/>
  <c r="I703" i="1"/>
  <c r="I645" i="1"/>
  <c r="I381" i="1"/>
  <c r="I213" i="1"/>
  <c r="K693" i="1"/>
  <c r="I692" i="1"/>
  <c r="K621" i="1"/>
  <c r="I620" i="1"/>
  <c r="K537" i="1"/>
  <c r="I536" i="1"/>
  <c r="K525" i="1"/>
  <c r="I524" i="1"/>
  <c r="K501" i="1"/>
  <c r="I500" i="1"/>
  <c r="K489" i="1"/>
  <c r="I488" i="1"/>
  <c r="K369" i="1"/>
  <c r="I368" i="1"/>
  <c r="K357" i="1"/>
  <c r="I356" i="1"/>
  <c r="K345" i="1"/>
  <c r="I344" i="1"/>
  <c r="K333" i="1"/>
  <c r="I332" i="1"/>
  <c r="Q321" i="1"/>
  <c r="M321" i="1"/>
  <c r="K309" i="1"/>
  <c r="I308" i="1"/>
  <c r="K297" i="1"/>
  <c r="I296" i="1"/>
  <c r="K285" i="1"/>
  <c r="I284" i="1"/>
  <c r="K273" i="1"/>
  <c r="I272" i="1"/>
  <c r="Q261" i="1"/>
  <c r="L261" i="1"/>
  <c r="M261" i="1"/>
  <c r="K249" i="1"/>
  <c r="I248" i="1"/>
  <c r="Q237" i="1"/>
  <c r="M237" i="1"/>
  <c r="L237" i="1"/>
  <c r="K225" i="1"/>
  <c r="Q213" i="1" s="1"/>
  <c r="I224" i="1"/>
  <c r="M213" i="1"/>
  <c r="L213" i="1"/>
  <c r="K201" i="1"/>
  <c r="I200" i="1"/>
  <c r="L189" i="1"/>
  <c r="K177" i="1"/>
  <c r="I176" i="1"/>
  <c r="M165" i="1"/>
  <c r="K153" i="1"/>
  <c r="I152" i="1"/>
  <c r="I153" i="1"/>
  <c r="M141" i="1"/>
  <c r="L141" i="1"/>
  <c r="K129" i="1"/>
  <c r="I128" i="1"/>
  <c r="I129" i="1"/>
  <c r="K117" i="1"/>
  <c r="I116" i="1"/>
  <c r="I117" i="1"/>
  <c r="K105" i="1"/>
  <c r="I104" i="1"/>
  <c r="I105" i="1"/>
  <c r="K93" i="1"/>
  <c r="I92" i="1"/>
  <c r="K81" i="1"/>
  <c r="I80" i="1"/>
  <c r="K69" i="1"/>
  <c r="I68" i="1"/>
  <c r="K57" i="1"/>
  <c r="I56" i="1"/>
  <c r="K45" i="1"/>
  <c r="I44" i="1"/>
  <c r="I45" i="1"/>
  <c r="K33" i="1"/>
  <c r="I32" i="1"/>
  <c r="I20" i="1"/>
  <c r="I21" i="1"/>
  <c r="I8" i="1"/>
  <c r="I9" i="1"/>
  <c r="I644" i="1"/>
  <c r="I587" i="1"/>
  <c r="I527" i="1"/>
  <c r="I380" i="1"/>
  <c r="I297" i="1"/>
  <c r="I212" i="1"/>
  <c r="L8" i="1"/>
  <c r="P8" i="1"/>
  <c r="M8" i="1"/>
  <c r="K393" i="1"/>
  <c r="Q381" i="1" s="1"/>
  <c r="I392" i="1"/>
  <c r="M17" i="1"/>
  <c r="M704" i="1"/>
  <c r="L704" i="1"/>
  <c r="I679" i="1"/>
  <c r="M512" i="1"/>
  <c r="L512" i="1"/>
  <c r="I632" i="1"/>
  <c r="I575" i="1"/>
  <c r="I513" i="1"/>
  <c r="K611" i="1"/>
  <c r="P7" i="1"/>
  <c r="M7" i="1"/>
  <c r="K669" i="1"/>
  <c r="I668" i="1"/>
  <c r="K585" i="1"/>
  <c r="I584" i="1"/>
  <c r="K453" i="1"/>
  <c r="I452" i="1"/>
  <c r="P4" i="1"/>
  <c r="M4" i="1"/>
  <c r="K715" i="1"/>
  <c r="I714" i="1"/>
  <c r="K703" i="1"/>
  <c r="K691" i="1"/>
  <c r="K679" i="1"/>
  <c r="I678" i="1"/>
  <c r="K667" i="1"/>
  <c r="I666" i="1"/>
  <c r="K655" i="1"/>
  <c r="I654" i="1"/>
  <c r="K643" i="1"/>
  <c r="I642" i="1"/>
  <c r="K631" i="1"/>
  <c r="K619" i="1"/>
  <c r="K607" i="1"/>
  <c r="I606" i="1"/>
  <c r="K595" i="1"/>
  <c r="I594" i="1"/>
  <c r="I582" i="1"/>
  <c r="K583" i="1"/>
  <c r="K571" i="1"/>
  <c r="I570" i="1"/>
  <c r="K559" i="1"/>
  <c r="K547" i="1"/>
  <c r="K535" i="1"/>
  <c r="I534" i="1"/>
  <c r="K523" i="1"/>
  <c r="I522" i="1"/>
  <c r="K511" i="1"/>
  <c r="I510" i="1"/>
  <c r="K499" i="1"/>
  <c r="K487" i="1"/>
  <c r="I486" i="1"/>
  <c r="K355" i="1"/>
  <c r="K115" i="1"/>
  <c r="I689" i="1"/>
  <c r="I631" i="1"/>
  <c r="I573" i="1"/>
  <c r="I512" i="1"/>
  <c r="I443" i="1"/>
  <c r="I189" i="1"/>
  <c r="K467" i="1"/>
  <c r="K441" i="1"/>
  <c r="I440" i="1"/>
  <c r="M16" i="1"/>
  <c r="M15" i="1"/>
  <c r="P15" i="1"/>
  <c r="Q3" i="1"/>
  <c r="I701" i="1"/>
  <c r="K510" i="1"/>
  <c r="K354" i="1"/>
  <c r="I630" i="1"/>
  <c r="I572" i="1"/>
  <c r="I511" i="1"/>
  <c r="I441" i="1"/>
  <c r="I188" i="1"/>
  <c r="K466" i="1"/>
  <c r="Q6" i="1"/>
  <c r="P6" i="1"/>
  <c r="M6" i="1"/>
  <c r="K657" i="1"/>
  <c r="I656" i="1"/>
  <c r="K549" i="1"/>
  <c r="I548" i="1"/>
  <c r="I428" i="1"/>
  <c r="K429" i="1"/>
  <c r="K353" i="1"/>
  <c r="I618" i="1"/>
  <c r="I560" i="1"/>
  <c r="I498" i="1"/>
  <c r="I260" i="1"/>
  <c r="Q320" i="1"/>
  <c r="M320" i="1"/>
  <c r="L320" i="1"/>
  <c r="M18" i="1"/>
  <c r="K681" i="1"/>
  <c r="I680" i="1"/>
  <c r="Q573" i="1"/>
  <c r="L573" i="1"/>
  <c r="M573" i="1"/>
  <c r="K477" i="1"/>
  <c r="I476" i="1"/>
  <c r="K689" i="1"/>
  <c r="K688" i="1"/>
  <c r="K640" i="1"/>
  <c r="I559" i="1"/>
  <c r="I165" i="1"/>
  <c r="I608" i="1"/>
  <c r="K609" i="1"/>
  <c r="K417" i="1"/>
  <c r="I416" i="1"/>
  <c r="M14" i="1"/>
  <c r="K701" i="1"/>
  <c r="I700" i="1"/>
  <c r="K687" i="1"/>
  <c r="K639" i="1"/>
  <c r="K387" i="1"/>
  <c r="I558" i="1"/>
  <c r="I164" i="1"/>
  <c r="L645" i="1"/>
  <c r="M645" i="1"/>
  <c r="I464" i="1"/>
  <c r="K465" i="1"/>
  <c r="K713" i="1"/>
  <c r="I712" i="1"/>
  <c r="K542" i="1"/>
  <c r="I719" i="1"/>
  <c r="I546" i="1"/>
  <c r="I404" i="1"/>
  <c r="I321" i="1"/>
  <c r="I141" i="1"/>
  <c r="K23" i="1"/>
  <c r="L396" i="1"/>
  <c r="M396" i="1"/>
  <c r="P717" i="1"/>
  <c r="Q717" i="1"/>
  <c r="L717" i="1"/>
  <c r="M717" i="1"/>
  <c r="K597" i="1"/>
  <c r="I596" i="1"/>
  <c r="L381" i="1"/>
  <c r="M381" i="1"/>
  <c r="K545" i="1"/>
  <c r="K663" i="1"/>
  <c r="K543" i="1"/>
  <c r="K662" i="1"/>
  <c r="P656" i="1" s="1"/>
  <c r="K638" i="1"/>
  <c r="I717" i="1"/>
  <c r="I479" i="1"/>
  <c r="I320" i="1"/>
  <c r="I237" i="1"/>
  <c r="I140" i="1"/>
  <c r="K21" i="1"/>
  <c r="Q308" i="1"/>
  <c r="M308" i="1"/>
  <c r="L308" i="1"/>
  <c r="P716" i="1"/>
  <c r="Q716" i="1"/>
  <c r="L716" i="1"/>
  <c r="M716" i="1"/>
  <c r="L656" i="1"/>
  <c r="M656" i="1"/>
  <c r="Q644" i="1"/>
  <c r="L644" i="1"/>
  <c r="M644" i="1"/>
  <c r="Q632" i="1"/>
  <c r="M632" i="1"/>
  <c r="L632" i="1"/>
  <c r="Q620" i="1"/>
  <c r="L620" i="1"/>
  <c r="M620" i="1"/>
  <c r="Q608" i="1"/>
  <c r="L608" i="1"/>
  <c r="M608" i="1"/>
  <c r="Q596" i="1"/>
  <c r="L596" i="1"/>
  <c r="M596" i="1"/>
  <c r="Q584" i="1"/>
  <c r="M584" i="1"/>
  <c r="L548" i="1"/>
  <c r="M548" i="1"/>
  <c r="Q536" i="1"/>
  <c r="M488" i="1"/>
  <c r="L488" i="1"/>
  <c r="Q476" i="1"/>
  <c r="M476" i="1"/>
  <c r="L476" i="1"/>
  <c r="Q464" i="1"/>
  <c r="M464" i="1"/>
  <c r="L464" i="1"/>
  <c r="Q440" i="1"/>
  <c r="L440" i="1"/>
  <c r="M440" i="1"/>
  <c r="Q428" i="1"/>
  <c r="M428" i="1"/>
  <c r="L428" i="1"/>
  <c r="Q416" i="1"/>
  <c r="Q368" i="1"/>
  <c r="L368" i="1"/>
  <c r="M368" i="1"/>
  <c r="M344" i="1"/>
  <c r="L344" i="1"/>
  <c r="Q332" i="1"/>
  <c r="M332" i="1"/>
  <c r="L332" i="1"/>
  <c r="Q296" i="1"/>
  <c r="L296" i="1"/>
  <c r="L272" i="1"/>
  <c r="Q260" i="1"/>
  <c r="L260" i="1"/>
  <c r="M260" i="1"/>
  <c r="Q248" i="1"/>
  <c r="M212" i="1"/>
  <c r="L212" i="1"/>
  <c r="Q200" i="1"/>
  <c r="L200" i="1"/>
  <c r="M188" i="1"/>
  <c r="L188" i="1"/>
  <c r="Q176" i="1"/>
  <c r="M176" i="1"/>
  <c r="L176" i="1"/>
  <c r="Q164" i="1"/>
  <c r="M164" i="1"/>
  <c r="L164" i="1"/>
  <c r="Q152" i="1"/>
  <c r="L152" i="1"/>
  <c r="L128" i="1"/>
  <c r="Q116" i="1"/>
  <c r="M116" i="1"/>
  <c r="L116" i="1"/>
  <c r="K104" i="1"/>
  <c r="K92" i="1"/>
  <c r="K80" i="1"/>
  <c r="K68" i="1"/>
  <c r="I67" i="1"/>
  <c r="K56" i="1"/>
  <c r="I55" i="1"/>
  <c r="K44" i="1"/>
  <c r="I43" i="1"/>
  <c r="K32" i="1"/>
  <c r="I31" i="1"/>
  <c r="K20" i="1"/>
  <c r="I19" i="1"/>
  <c r="I7" i="1"/>
  <c r="I715" i="1"/>
  <c r="I687" i="1"/>
  <c r="I643" i="1"/>
  <c r="I571" i="1"/>
  <c r="I379" i="1"/>
  <c r="I235" i="1"/>
  <c r="I211" i="1"/>
  <c r="I187" i="1"/>
  <c r="I163" i="1"/>
  <c r="K475" i="1"/>
  <c r="K463" i="1"/>
  <c r="K451" i="1"/>
  <c r="K439" i="1"/>
  <c r="K427" i="1"/>
  <c r="K415" i="1"/>
  <c r="K403" i="1"/>
  <c r="K391" i="1"/>
  <c r="K379" i="1"/>
  <c r="K367" i="1"/>
  <c r="K343" i="1"/>
  <c r="K331" i="1"/>
  <c r="K319" i="1"/>
  <c r="K307" i="1"/>
  <c r="K295" i="1"/>
  <c r="K283" i="1"/>
  <c r="K271" i="1"/>
  <c r="K259" i="1"/>
  <c r="K247" i="1"/>
  <c r="K235" i="1"/>
  <c r="K211" i="1"/>
  <c r="K199" i="1"/>
  <c r="K187" i="1"/>
  <c r="K175" i="1"/>
  <c r="K163" i="1"/>
  <c r="K151" i="1"/>
  <c r="K139" i="1"/>
  <c r="K127" i="1"/>
  <c r="I102" i="1"/>
  <c r="K103" i="1"/>
  <c r="I90" i="1"/>
  <c r="K91" i="1"/>
  <c r="I78" i="1"/>
  <c r="K79" i="1"/>
  <c r="I66" i="1"/>
  <c r="K67" i="1"/>
  <c r="I54" i="1"/>
  <c r="K55" i="1"/>
  <c r="I42" i="1"/>
  <c r="K43" i="1"/>
  <c r="I30" i="1"/>
  <c r="K31" i="1"/>
  <c r="K19" i="1"/>
  <c r="I18" i="1"/>
  <c r="I686" i="1"/>
  <c r="I542" i="1"/>
  <c r="I509" i="1"/>
  <c r="I475" i="1"/>
  <c r="I439" i="1"/>
  <c r="I378" i="1"/>
  <c r="I295" i="1"/>
  <c r="I234" i="1"/>
  <c r="I210" i="1"/>
  <c r="I186" i="1"/>
  <c r="I162" i="1"/>
  <c r="K714" i="1"/>
  <c r="K702" i="1"/>
  <c r="K690" i="1"/>
  <c r="K678" i="1"/>
  <c r="K666" i="1"/>
  <c r="K654" i="1"/>
  <c r="K642" i="1"/>
  <c r="K630" i="1"/>
  <c r="K618" i="1"/>
  <c r="K606" i="1"/>
  <c r="K594" i="1"/>
  <c r="K582" i="1"/>
  <c r="K570" i="1"/>
  <c r="K558" i="1"/>
  <c r="K546" i="1"/>
  <c r="K534" i="1"/>
  <c r="K522" i="1"/>
  <c r="K498" i="1"/>
  <c r="K486" i="1"/>
  <c r="K474" i="1"/>
  <c r="K462" i="1"/>
  <c r="K450" i="1"/>
  <c r="K438" i="1"/>
  <c r="K426" i="1"/>
  <c r="K414" i="1"/>
  <c r="K402" i="1"/>
  <c r="P396" i="1" s="1"/>
  <c r="K390" i="1"/>
  <c r="K378" i="1"/>
  <c r="K366" i="1"/>
  <c r="K342" i="1"/>
  <c r="K330" i="1"/>
  <c r="K306" i="1"/>
  <c r="K294" i="1"/>
  <c r="K282" i="1"/>
  <c r="K270" i="1"/>
  <c r="K258" i="1"/>
  <c r="K246" i="1"/>
  <c r="K234" i="1"/>
  <c r="K222" i="1"/>
  <c r="P216" i="1" s="1"/>
  <c r="K210" i="1"/>
  <c r="K198" i="1"/>
  <c r="K186" i="1"/>
  <c r="K174" i="1"/>
  <c r="K162" i="1"/>
  <c r="K150" i="1"/>
  <c r="K138" i="1"/>
  <c r="K126" i="1"/>
  <c r="K114" i="1"/>
  <c r="K102" i="1"/>
  <c r="K90" i="1"/>
  <c r="K78" i="1"/>
  <c r="K66" i="1"/>
  <c r="K54" i="1"/>
  <c r="I53" i="1"/>
  <c r="K42" i="1"/>
  <c r="I41" i="1"/>
  <c r="K30" i="1"/>
  <c r="Q18" i="1" s="1"/>
  <c r="I29" i="1"/>
  <c r="I17" i="1"/>
  <c r="I5" i="1"/>
  <c r="I713" i="1"/>
  <c r="I655" i="1"/>
  <c r="I641" i="1"/>
  <c r="I583" i="1"/>
  <c r="I569" i="1"/>
  <c r="I523" i="1"/>
  <c r="I474" i="1"/>
  <c r="I438" i="1"/>
  <c r="I377" i="1"/>
  <c r="I355" i="1"/>
  <c r="I294" i="1"/>
  <c r="I233" i="1"/>
  <c r="I209" i="1"/>
  <c r="I185" i="1"/>
  <c r="I161" i="1"/>
  <c r="I103" i="1"/>
  <c r="K680" i="1"/>
  <c r="K677" i="1"/>
  <c r="K665" i="1"/>
  <c r="K653" i="1"/>
  <c r="K641" i="1"/>
  <c r="K629" i="1"/>
  <c r="K617" i="1"/>
  <c r="K605" i="1"/>
  <c r="K593" i="1"/>
  <c r="K581" i="1"/>
  <c r="K569" i="1"/>
  <c r="K557" i="1"/>
  <c r="K533" i="1"/>
  <c r="K521" i="1"/>
  <c r="K509" i="1"/>
  <c r="K497" i="1"/>
  <c r="K485" i="1"/>
  <c r="K473" i="1"/>
  <c r="K461" i="1"/>
  <c r="K449" i="1"/>
  <c r="K437" i="1"/>
  <c r="K425" i="1"/>
  <c r="K413" i="1"/>
  <c r="K401" i="1"/>
  <c r="K377" i="1"/>
  <c r="K365" i="1"/>
  <c r="K341" i="1"/>
  <c r="K329" i="1"/>
  <c r="K317" i="1"/>
  <c r="K305" i="1"/>
  <c r="K293" i="1"/>
  <c r="K281" i="1"/>
  <c r="K269" i="1"/>
  <c r="K257" i="1"/>
  <c r="K245" i="1"/>
  <c r="K233" i="1"/>
  <c r="K221" i="1"/>
  <c r="K209" i="1"/>
  <c r="K197" i="1"/>
  <c r="K185" i="1"/>
  <c r="K173" i="1"/>
  <c r="K161" i="1"/>
  <c r="K149" i="1"/>
  <c r="I148" i="1"/>
  <c r="K137" i="1"/>
  <c r="I136" i="1"/>
  <c r="K125" i="1"/>
  <c r="I124" i="1"/>
  <c r="K113" i="1"/>
  <c r="I112" i="1"/>
  <c r="K101" i="1"/>
  <c r="K89" i="1"/>
  <c r="K77" i="1"/>
  <c r="K65" i="1"/>
  <c r="K53" i="1"/>
  <c r="K41" i="1"/>
  <c r="I40" i="1"/>
  <c r="K29" i="1"/>
  <c r="I28" i="1"/>
  <c r="I640" i="1"/>
  <c r="I568" i="1"/>
  <c r="I473" i="1"/>
  <c r="I437" i="1"/>
  <c r="I415" i="1"/>
  <c r="I376" i="1"/>
  <c r="I354" i="1"/>
  <c r="I293" i="1"/>
  <c r="I271" i="1"/>
  <c r="I232" i="1"/>
  <c r="I208" i="1"/>
  <c r="I184" i="1"/>
  <c r="I160" i="1"/>
  <c r="I101" i="1"/>
  <c r="I65" i="1"/>
  <c r="K664" i="1"/>
  <c r="K223" i="1"/>
  <c r="K712" i="1"/>
  <c r="K700" i="1"/>
  <c r="K676" i="1"/>
  <c r="K652" i="1"/>
  <c r="K628" i="1"/>
  <c r="K616" i="1"/>
  <c r="K604" i="1"/>
  <c r="K592" i="1"/>
  <c r="K580" i="1"/>
  <c r="K568" i="1"/>
  <c r="K556" i="1"/>
  <c r="K544" i="1"/>
  <c r="K532" i="1"/>
  <c r="K520" i="1"/>
  <c r="K508" i="1"/>
  <c r="K496" i="1"/>
  <c r="K484" i="1"/>
  <c r="I483" i="1"/>
  <c r="K472" i="1"/>
  <c r="I471" i="1"/>
  <c r="K460" i="1"/>
  <c r="I459" i="1"/>
  <c r="K448" i="1"/>
  <c r="I447" i="1"/>
  <c r="K436" i="1"/>
  <c r="I435" i="1"/>
  <c r="K424" i="1"/>
  <c r="I423" i="1"/>
  <c r="K412" i="1"/>
  <c r="I411" i="1"/>
  <c r="K400" i="1"/>
  <c r="I399" i="1"/>
  <c r="K388" i="1"/>
  <c r="I387" i="1"/>
  <c r="K376" i="1"/>
  <c r="I375" i="1"/>
  <c r="K364" i="1"/>
  <c r="I363" i="1"/>
  <c r="K352" i="1"/>
  <c r="I351" i="1"/>
  <c r="K340" i="1"/>
  <c r="I339" i="1"/>
  <c r="K328" i="1"/>
  <c r="I327" i="1"/>
  <c r="K316" i="1"/>
  <c r="I315" i="1"/>
  <c r="K304" i="1"/>
  <c r="I303" i="1"/>
  <c r="K292" i="1"/>
  <c r="I291" i="1"/>
  <c r="K280" i="1"/>
  <c r="I279" i="1"/>
  <c r="K268" i="1"/>
  <c r="I267" i="1"/>
  <c r="K256" i="1"/>
  <c r="I255" i="1"/>
  <c r="K244" i="1"/>
  <c r="I243" i="1"/>
  <c r="K232" i="1"/>
  <c r="I231" i="1"/>
  <c r="K220" i="1"/>
  <c r="P214" i="1" s="1"/>
  <c r="I219" i="1"/>
  <c r="K208" i="1"/>
  <c r="I207" i="1"/>
  <c r="K196" i="1"/>
  <c r="I195" i="1"/>
  <c r="K184" i="1"/>
  <c r="I183" i="1"/>
  <c r="K172" i="1"/>
  <c r="I171" i="1"/>
  <c r="K160" i="1"/>
  <c r="I159" i="1"/>
  <c r="K148" i="1"/>
  <c r="I147" i="1"/>
  <c r="K136" i="1"/>
  <c r="I135" i="1"/>
  <c r="K124" i="1"/>
  <c r="I123" i="1"/>
  <c r="K112" i="1"/>
  <c r="I111" i="1"/>
  <c r="K100" i="1"/>
  <c r="I99" i="1"/>
  <c r="K88" i="1"/>
  <c r="K76" i="1"/>
  <c r="K64" i="1"/>
  <c r="K52" i="1"/>
  <c r="K40" i="1"/>
  <c r="K28" i="1"/>
  <c r="I27" i="1"/>
  <c r="I711" i="1"/>
  <c r="I667" i="1"/>
  <c r="I653" i="1"/>
  <c r="I639" i="1"/>
  <c r="I595" i="1"/>
  <c r="I581" i="1"/>
  <c r="I567" i="1"/>
  <c r="I521" i="1"/>
  <c r="I472" i="1"/>
  <c r="I436" i="1"/>
  <c r="I414" i="1"/>
  <c r="I353" i="1"/>
  <c r="I331" i="1"/>
  <c r="I292" i="1"/>
  <c r="I270" i="1"/>
  <c r="I127" i="1"/>
  <c r="I100" i="1"/>
  <c r="I64" i="1"/>
  <c r="K389" i="1"/>
  <c r="K219" i="1"/>
  <c r="P213" i="1" s="1"/>
  <c r="K711" i="1"/>
  <c r="K699" i="1"/>
  <c r="K675" i="1"/>
  <c r="K651" i="1"/>
  <c r="K627" i="1"/>
  <c r="K615" i="1"/>
  <c r="K603" i="1"/>
  <c r="K591" i="1"/>
  <c r="K579" i="1"/>
  <c r="P573" i="1" s="1"/>
  <c r="K567" i="1"/>
  <c r="P561" i="1" s="1"/>
  <c r="K555" i="1"/>
  <c r="K531" i="1"/>
  <c r="K519" i="1"/>
  <c r="K507" i="1"/>
  <c r="K495" i="1"/>
  <c r="K483" i="1"/>
  <c r="K471" i="1"/>
  <c r="K459" i="1"/>
  <c r="K447" i="1"/>
  <c r="K435" i="1"/>
  <c r="K423" i="1"/>
  <c r="K411" i="1"/>
  <c r="K399" i="1"/>
  <c r="K375" i="1"/>
  <c r="K363" i="1"/>
  <c r="K351" i="1"/>
  <c r="K339" i="1"/>
  <c r="K327" i="1"/>
  <c r="K315" i="1"/>
  <c r="K303" i="1"/>
  <c r="K291" i="1"/>
  <c r="K279" i="1"/>
  <c r="K267" i="1"/>
  <c r="K255" i="1"/>
  <c r="K243" i="1"/>
  <c r="K231" i="1"/>
  <c r="I230" i="1"/>
  <c r="K207" i="1"/>
  <c r="I206" i="1"/>
  <c r="K195" i="1"/>
  <c r="P189" i="1" s="1"/>
  <c r="I194" i="1"/>
  <c r="K183" i="1"/>
  <c r="I182" i="1"/>
  <c r="K171" i="1"/>
  <c r="I170" i="1"/>
  <c r="K159" i="1"/>
  <c r="I158" i="1"/>
  <c r="K147" i="1"/>
  <c r="P141" i="1" s="1"/>
  <c r="I146" i="1"/>
  <c r="K135" i="1"/>
  <c r="I134" i="1"/>
  <c r="K123" i="1"/>
  <c r="I122" i="1"/>
  <c r="I110" i="1"/>
  <c r="K111" i="1"/>
  <c r="K99" i="1"/>
  <c r="I98" i="1"/>
  <c r="K87" i="1"/>
  <c r="I86" i="1"/>
  <c r="K75" i="1"/>
  <c r="K63" i="1"/>
  <c r="K51" i="1"/>
  <c r="K39" i="1"/>
  <c r="K27" i="1"/>
  <c r="I710" i="1"/>
  <c r="I652" i="1"/>
  <c r="I638" i="1"/>
  <c r="I580" i="1"/>
  <c r="I566" i="1"/>
  <c r="I535" i="1"/>
  <c r="I520" i="1"/>
  <c r="I487" i="1"/>
  <c r="I470" i="1"/>
  <c r="I451" i="1"/>
  <c r="I434" i="1"/>
  <c r="I413" i="1"/>
  <c r="I391" i="1"/>
  <c r="I352" i="1"/>
  <c r="I330" i="1"/>
  <c r="I290" i="1"/>
  <c r="I269" i="1"/>
  <c r="I247" i="1"/>
  <c r="I126" i="1"/>
  <c r="I63" i="1"/>
  <c r="I26" i="1"/>
  <c r="M2" i="1"/>
  <c r="K11" i="1"/>
  <c r="K710" i="1"/>
  <c r="P704" i="1" s="1"/>
  <c r="K698" i="1"/>
  <c r="K686" i="1"/>
  <c r="K674" i="1"/>
  <c r="K650" i="1"/>
  <c r="K626" i="1"/>
  <c r="P620" i="1" s="1"/>
  <c r="K614" i="1"/>
  <c r="K602" i="1"/>
  <c r="K590" i="1"/>
  <c r="P584" i="1" s="1"/>
  <c r="K578" i="1"/>
  <c r="K566" i="1"/>
  <c r="K554" i="1"/>
  <c r="I541" i="1"/>
  <c r="I529" i="1"/>
  <c r="K530" i="1"/>
  <c r="P524" i="1" s="1"/>
  <c r="K518" i="1"/>
  <c r="P512" i="1" s="1"/>
  <c r="I517" i="1"/>
  <c r="K506" i="1"/>
  <c r="I505" i="1"/>
  <c r="K494" i="1"/>
  <c r="P488" i="1" s="1"/>
  <c r="I493" i="1"/>
  <c r="K482" i="1"/>
  <c r="I481" i="1"/>
  <c r="K470" i="1"/>
  <c r="I469" i="1"/>
  <c r="K458" i="1"/>
  <c r="P452" i="1" s="1"/>
  <c r="I457" i="1"/>
  <c r="K446" i="1"/>
  <c r="P440" i="1" s="1"/>
  <c r="I445" i="1"/>
  <c r="K434" i="1"/>
  <c r="I433" i="1"/>
  <c r="K422" i="1"/>
  <c r="I421" i="1"/>
  <c r="K410" i="1"/>
  <c r="I409" i="1"/>
  <c r="K398" i="1"/>
  <c r="I397" i="1"/>
  <c r="K386" i="1"/>
  <c r="I385" i="1"/>
  <c r="K374" i="1"/>
  <c r="P368" i="1" s="1"/>
  <c r="I373" i="1"/>
  <c r="K362" i="1"/>
  <c r="I361" i="1"/>
  <c r="K350" i="1"/>
  <c r="P344" i="1" s="1"/>
  <c r="I349" i="1"/>
  <c r="K338" i="1"/>
  <c r="I337" i="1"/>
  <c r="K326" i="1"/>
  <c r="I325" i="1"/>
  <c r="K314" i="1"/>
  <c r="P308" i="1" s="1"/>
  <c r="I313" i="1"/>
  <c r="K302" i="1"/>
  <c r="I301" i="1"/>
  <c r="K290" i="1"/>
  <c r="P284" i="1" s="1"/>
  <c r="I289" i="1"/>
  <c r="K278" i="1"/>
  <c r="I277" i="1"/>
  <c r="K266" i="1"/>
  <c r="I265" i="1"/>
  <c r="K254" i="1"/>
  <c r="I253" i="1"/>
  <c r="K242" i="1"/>
  <c r="I241" i="1"/>
  <c r="K230" i="1"/>
  <c r="I229" i="1"/>
  <c r="K218" i="1"/>
  <c r="P212" i="1" s="1"/>
  <c r="I217" i="1"/>
  <c r="K206" i="1"/>
  <c r="I205" i="1"/>
  <c r="K194" i="1"/>
  <c r="I193" i="1"/>
  <c r="K182" i="1"/>
  <c r="P176" i="1" s="1"/>
  <c r="I181" i="1"/>
  <c r="K170" i="1"/>
  <c r="P164" i="1" s="1"/>
  <c r="I169" i="1"/>
  <c r="K158" i="1"/>
  <c r="I157" i="1"/>
  <c r="K146" i="1"/>
  <c r="P140" i="1" s="1"/>
  <c r="I145" i="1"/>
  <c r="K134" i="1"/>
  <c r="I133" i="1"/>
  <c r="K122" i="1"/>
  <c r="I121" i="1"/>
  <c r="K110" i="1"/>
  <c r="I109" i="1"/>
  <c r="K98" i="1"/>
  <c r="I97" i="1"/>
  <c r="K86" i="1"/>
  <c r="I85" i="1"/>
  <c r="K74" i="1"/>
  <c r="I73" i="1"/>
  <c r="K62" i="1"/>
  <c r="K50" i="1"/>
  <c r="K38" i="1"/>
  <c r="K26" i="1"/>
  <c r="I709" i="1"/>
  <c r="I665" i="1"/>
  <c r="I651" i="1"/>
  <c r="I637" i="1"/>
  <c r="I607" i="1"/>
  <c r="I593" i="1"/>
  <c r="I579" i="1"/>
  <c r="I565" i="1"/>
  <c r="I519" i="1"/>
  <c r="I450" i="1"/>
  <c r="I412" i="1"/>
  <c r="I390" i="1"/>
  <c r="I350" i="1"/>
  <c r="I329" i="1"/>
  <c r="I268" i="1"/>
  <c r="I246" i="1"/>
  <c r="I223" i="1"/>
  <c r="I199" i="1"/>
  <c r="I175" i="1"/>
  <c r="I151" i="1"/>
  <c r="I125" i="1"/>
  <c r="I91" i="1"/>
  <c r="I62" i="1"/>
  <c r="I25" i="1"/>
  <c r="K721" i="1"/>
  <c r="K709" i="1"/>
  <c r="I708" i="1"/>
  <c r="K697" i="1"/>
  <c r="I696" i="1"/>
  <c r="K685" i="1"/>
  <c r="I684" i="1"/>
  <c r="K673" i="1"/>
  <c r="I672" i="1"/>
  <c r="K661" i="1"/>
  <c r="I660" i="1"/>
  <c r="K649" i="1"/>
  <c r="I648" i="1"/>
  <c r="K637" i="1"/>
  <c r="I636" i="1"/>
  <c r="K625" i="1"/>
  <c r="I624" i="1"/>
  <c r="K613" i="1"/>
  <c r="I612" i="1"/>
  <c r="K601" i="1"/>
  <c r="I600" i="1"/>
  <c r="K589" i="1"/>
  <c r="I588" i="1"/>
  <c r="K577" i="1"/>
  <c r="I576" i="1"/>
  <c r="K565" i="1"/>
  <c r="I564" i="1"/>
  <c r="K553" i="1"/>
  <c r="I552" i="1"/>
  <c r="K541" i="1"/>
  <c r="I540" i="1"/>
  <c r="K529" i="1"/>
  <c r="I528" i="1"/>
  <c r="K517" i="1"/>
  <c r="I516" i="1"/>
  <c r="K505" i="1"/>
  <c r="I504" i="1"/>
  <c r="K493" i="1"/>
  <c r="I492" i="1"/>
  <c r="K481" i="1"/>
  <c r="I480" i="1"/>
  <c r="K469" i="1"/>
  <c r="I468" i="1"/>
  <c r="K457" i="1"/>
  <c r="I456" i="1"/>
  <c r="K445" i="1"/>
  <c r="I444" i="1"/>
  <c r="K433" i="1"/>
  <c r="I432" i="1"/>
  <c r="K421" i="1"/>
  <c r="I420" i="1"/>
  <c r="K409" i="1"/>
  <c r="I408" i="1"/>
  <c r="K397" i="1"/>
  <c r="I396" i="1"/>
  <c r="K385" i="1"/>
  <c r="I384" i="1"/>
  <c r="K373" i="1"/>
  <c r="I372" i="1"/>
  <c r="K361" i="1"/>
  <c r="I360" i="1"/>
  <c r="K349" i="1"/>
  <c r="I348" i="1"/>
  <c r="K337" i="1"/>
  <c r="I336" i="1"/>
  <c r="K325" i="1"/>
  <c r="I324" i="1"/>
  <c r="K313" i="1"/>
  <c r="I312" i="1"/>
  <c r="K301" i="1"/>
  <c r="I300" i="1"/>
  <c r="K289" i="1"/>
  <c r="I288" i="1"/>
  <c r="K277" i="1"/>
  <c r="I276" i="1"/>
  <c r="K265" i="1"/>
  <c r="I264" i="1"/>
  <c r="K253" i="1"/>
  <c r="I252" i="1"/>
  <c r="K241" i="1"/>
  <c r="I240" i="1"/>
  <c r="K229" i="1"/>
  <c r="I228" i="1"/>
  <c r="K217" i="1"/>
  <c r="I216" i="1"/>
  <c r="K205" i="1"/>
  <c r="I204" i="1"/>
  <c r="K193" i="1"/>
  <c r="I192" i="1"/>
  <c r="K181" i="1"/>
  <c r="I180" i="1"/>
  <c r="K169" i="1"/>
  <c r="I168" i="1"/>
  <c r="K157" i="1"/>
  <c r="I156" i="1"/>
  <c r="K145" i="1"/>
  <c r="I144" i="1"/>
  <c r="K133" i="1"/>
  <c r="I132" i="1"/>
  <c r="K121" i="1"/>
  <c r="I120" i="1"/>
  <c r="K109" i="1"/>
  <c r="I108" i="1"/>
  <c r="K97" i="1"/>
  <c r="I96" i="1"/>
  <c r="K85" i="1"/>
  <c r="I84" i="1"/>
  <c r="K73" i="1"/>
  <c r="I72" i="1"/>
  <c r="K61" i="1"/>
  <c r="I60" i="1"/>
  <c r="K49" i="1"/>
  <c r="K37" i="1"/>
  <c r="I36" i="1"/>
  <c r="K25" i="1"/>
  <c r="Q13" i="1" s="1"/>
  <c r="I721" i="1"/>
  <c r="I664" i="1"/>
  <c r="I650" i="1"/>
  <c r="I592" i="1"/>
  <c r="I578" i="1"/>
  <c r="I533" i="1"/>
  <c r="I518" i="1"/>
  <c r="I485" i="1"/>
  <c r="I449" i="1"/>
  <c r="I410" i="1"/>
  <c r="I389" i="1"/>
  <c r="I367" i="1"/>
  <c r="I328" i="1"/>
  <c r="I306" i="1"/>
  <c r="I266" i="1"/>
  <c r="I245" i="1"/>
  <c r="I198" i="1"/>
  <c r="I174" i="1"/>
  <c r="I150" i="1"/>
  <c r="I89" i="1"/>
  <c r="I61" i="1"/>
  <c r="I24" i="1"/>
  <c r="M10" i="1"/>
  <c r="K9" i="1"/>
  <c r="K720" i="1"/>
  <c r="K708" i="1"/>
  <c r="K696" i="1"/>
  <c r="K684" i="1"/>
  <c r="K672" i="1"/>
  <c r="K660" i="1"/>
  <c r="K648" i="1"/>
  <c r="K636" i="1"/>
  <c r="K624" i="1"/>
  <c r="K600" i="1"/>
  <c r="K588" i="1"/>
  <c r="K576" i="1"/>
  <c r="K564" i="1"/>
  <c r="K552" i="1"/>
  <c r="K540" i="1"/>
  <c r="K528" i="1"/>
  <c r="K516" i="1"/>
  <c r="K504" i="1"/>
  <c r="K492" i="1"/>
  <c r="K480" i="1"/>
  <c r="K468" i="1"/>
  <c r="K456" i="1"/>
  <c r="K444" i="1"/>
  <c r="I431" i="1"/>
  <c r="K420" i="1"/>
  <c r="I419" i="1"/>
  <c r="K408" i="1"/>
  <c r="I407" i="1"/>
  <c r="I395" i="1"/>
  <c r="I383" i="1"/>
  <c r="K384" i="1"/>
  <c r="K372" i="1"/>
  <c r="I371" i="1"/>
  <c r="K360" i="1"/>
  <c r="I359" i="1"/>
  <c r="I347" i="1"/>
  <c r="K348" i="1"/>
  <c r="I335" i="1"/>
  <c r="K336" i="1"/>
  <c r="K324" i="1"/>
  <c r="I323" i="1"/>
  <c r="K312" i="1"/>
  <c r="I311" i="1"/>
  <c r="I299" i="1"/>
  <c r="K300" i="1"/>
  <c r="I287" i="1"/>
  <c r="K288" i="1"/>
  <c r="K276" i="1"/>
  <c r="I275" i="1"/>
  <c r="K264" i="1"/>
  <c r="I263" i="1"/>
  <c r="I251" i="1"/>
  <c r="K252" i="1"/>
  <c r="K240" i="1"/>
  <c r="I239" i="1"/>
  <c r="K228" i="1"/>
  <c r="Q216" i="1" s="1"/>
  <c r="I227" i="1"/>
  <c r="I215" i="1"/>
  <c r="K204" i="1"/>
  <c r="I203" i="1"/>
  <c r="K192" i="1"/>
  <c r="I191" i="1"/>
  <c r="K180" i="1"/>
  <c r="I179" i="1"/>
  <c r="K168" i="1"/>
  <c r="I167" i="1"/>
  <c r="K156" i="1"/>
  <c r="I155" i="1"/>
  <c r="K144" i="1"/>
  <c r="I143" i="1"/>
  <c r="K132" i="1"/>
  <c r="I131" i="1"/>
  <c r="K120" i="1"/>
  <c r="I119" i="1"/>
  <c r="K108" i="1"/>
  <c r="I107" i="1"/>
  <c r="K96" i="1"/>
  <c r="I95" i="1"/>
  <c r="K84" i="1"/>
  <c r="I83" i="1"/>
  <c r="K72" i="1"/>
  <c r="I71" i="1"/>
  <c r="K60" i="1"/>
  <c r="I59" i="1"/>
  <c r="K48" i="1"/>
  <c r="I47" i="1"/>
  <c r="K36" i="1"/>
  <c r="K24" i="1"/>
  <c r="P18" i="1" s="1"/>
  <c r="I23" i="1"/>
  <c r="I720" i="1"/>
  <c r="I691" i="1"/>
  <c r="I677" i="1"/>
  <c r="I649" i="1"/>
  <c r="I619" i="1"/>
  <c r="I605" i="1"/>
  <c r="I591" i="1"/>
  <c r="I577" i="1"/>
  <c r="I547" i="1"/>
  <c r="I532" i="1"/>
  <c r="I515" i="1"/>
  <c r="I499" i="1"/>
  <c r="I484" i="1"/>
  <c r="I448" i="1"/>
  <c r="I427" i="1"/>
  <c r="I366" i="1"/>
  <c r="I326" i="1"/>
  <c r="I305" i="1"/>
  <c r="I283" i="1"/>
  <c r="I244" i="1"/>
  <c r="I221" i="1"/>
  <c r="I197" i="1"/>
  <c r="I173" i="1"/>
  <c r="I149" i="1"/>
  <c r="I88" i="1"/>
  <c r="I52" i="1"/>
  <c r="K166" i="1"/>
  <c r="K154" i="1"/>
  <c r="K142" i="1"/>
  <c r="K130" i="1"/>
  <c r="K118" i="1"/>
  <c r="K106" i="1"/>
  <c r="K94" i="1"/>
  <c r="K82" i="1"/>
  <c r="K70" i="1"/>
  <c r="K58" i="1"/>
  <c r="K46" i="1"/>
  <c r="K34" i="1"/>
  <c r="K22" i="1"/>
  <c r="P16" i="1" s="1"/>
  <c r="I93" i="1"/>
  <c r="L2" i="1"/>
  <c r="L9" i="1"/>
  <c r="L13" i="1"/>
  <c r="L10" i="1"/>
  <c r="L6" i="1"/>
  <c r="L17" i="1"/>
  <c r="L5" i="1"/>
  <c r="L4" i="1"/>
  <c r="L15" i="1"/>
  <c r="L18" i="1"/>
  <c r="J427" i="1" l="1"/>
  <c r="R427" i="1"/>
  <c r="J299" i="1"/>
  <c r="R299" i="1"/>
  <c r="J246" i="1"/>
  <c r="R246" i="1"/>
  <c r="J313" i="1"/>
  <c r="R313" i="1"/>
  <c r="J437" i="1"/>
  <c r="R437" i="1"/>
  <c r="J474" i="1"/>
  <c r="R474" i="1"/>
  <c r="J717" i="1"/>
  <c r="R717" i="1"/>
  <c r="J512" i="1"/>
  <c r="R512" i="1"/>
  <c r="J679" i="1"/>
  <c r="R679" i="1"/>
  <c r="J657" i="1"/>
  <c r="R657" i="1"/>
  <c r="J346" i="1"/>
  <c r="R346" i="1"/>
  <c r="J574" i="1"/>
  <c r="R574" i="1"/>
  <c r="J557" i="1"/>
  <c r="R557" i="1"/>
  <c r="J589" i="1"/>
  <c r="R589" i="1"/>
  <c r="J76" i="1"/>
  <c r="R76" i="1"/>
  <c r="J460" i="1"/>
  <c r="R460" i="1"/>
  <c r="J89" i="1"/>
  <c r="R89" i="1"/>
  <c r="J276" i="1"/>
  <c r="R276" i="1"/>
  <c r="J708" i="1"/>
  <c r="R708" i="1"/>
  <c r="J529" i="1"/>
  <c r="R529" i="1"/>
  <c r="J170" i="1"/>
  <c r="R170" i="1"/>
  <c r="J100" i="1"/>
  <c r="R100" i="1"/>
  <c r="J387" i="1"/>
  <c r="R387" i="1"/>
  <c r="J112" i="1"/>
  <c r="R112" i="1"/>
  <c r="J534" i="1"/>
  <c r="R534" i="1"/>
  <c r="J202" i="1"/>
  <c r="R202" i="1"/>
  <c r="J718" i="1"/>
  <c r="R718" i="1"/>
  <c r="J698" i="1"/>
  <c r="R698" i="1"/>
  <c r="J601" i="1"/>
  <c r="R601" i="1"/>
  <c r="J462" i="1"/>
  <c r="R462" i="1"/>
  <c r="J167" i="1"/>
  <c r="R167" i="1"/>
  <c r="J109" i="1"/>
  <c r="R109" i="1"/>
  <c r="J541" i="1"/>
  <c r="R541" i="1"/>
  <c r="J92" i="1"/>
  <c r="R92" i="1"/>
  <c r="J500" i="1"/>
  <c r="R500" i="1"/>
  <c r="J613" i="1"/>
  <c r="R613" i="1"/>
  <c r="J149" i="1"/>
  <c r="R149" i="1"/>
  <c r="J72" i="1"/>
  <c r="R72" i="1"/>
  <c r="J432" i="1"/>
  <c r="R432" i="1"/>
  <c r="J648" i="1"/>
  <c r="R648" i="1"/>
  <c r="P548" i="1"/>
  <c r="J653" i="1"/>
  <c r="R653" i="1"/>
  <c r="J183" i="1"/>
  <c r="R183" i="1"/>
  <c r="J471" i="1"/>
  <c r="R471" i="1"/>
  <c r="J66" i="1"/>
  <c r="R66" i="1"/>
  <c r="J689" i="1"/>
  <c r="R689" i="1"/>
  <c r="L612" i="1"/>
  <c r="J515" i="1"/>
  <c r="R515" i="1"/>
  <c r="J251" i="1"/>
  <c r="R251" i="1"/>
  <c r="L16" i="1"/>
  <c r="L12" i="1"/>
  <c r="J326" i="1"/>
  <c r="R326" i="1"/>
  <c r="J619" i="1"/>
  <c r="R619" i="1"/>
  <c r="J71" i="1"/>
  <c r="R71" i="1"/>
  <c r="J143" i="1"/>
  <c r="R143" i="1"/>
  <c r="J215" i="1"/>
  <c r="R215" i="1"/>
  <c r="J287" i="1"/>
  <c r="R287" i="1"/>
  <c r="P10" i="1"/>
  <c r="J389" i="1"/>
  <c r="R389" i="1"/>
  <c r="J36" i="1"/>
  <c r="R36" i="1"/>
  <c r="J199" i="1"/>
  <c r="R199" i="1"/>
  <c r="J593" i="1"/>
  <c r="R593" i="1"/>
  <c r="J85" i="1"/>
  <c r="R85" i="1"/>
  <c r="J157" i="1"/>
  <c r="R157" i="1"/>
  <c r="J229" i="1"/>
  <c r="R229" i="1"/>
  <c r="J301" i="1"/>
  <c r="R301" i="1"/>
  <c r="J373" i="1"/>
  <c r="R373" i="1"/>
  <c r="J445" i="1"/>
  <c r="R445" i="1"/>
  <c r="J517" i="1"/>
  <c r="R517" i="1"/>
  <c r="J63" i="1"/>
  <c r="R63" i="1"/>
  <c r="J487" i="1"/>
  <c r="R487" i="1"/>
  <c r="J521" i="1"/>
  <c r="R521" i="1"/>
  <c r="J376" i="1"/>
  <c r="R376" i="1"/>
  <c r="J377" i="1"/>
  <c r="R377" i="1"/>
  <c r="P612" i="1"/>
  <c r="J234" i="1"/>
  <c r="R234" i="1"/>
  <c r="J715" i="1"/>
  <c r="R715" i="1"/>
  <c r="M248" i="1"/>
  <c r="M416" i="1"/>
  <c r="M536" i="1"/>
  <c r="L692" i="1"/>
  <c r="J320" i="1"/>
  <c r="R320" i="1"/>
  <c r="J700" i="1"/>
  <c r="R700" i="1"/>
  <c r="J701" i="1"/>
  <c r="R701" i="1"/>
  <c r="J189" i="1"/>
  <c r="R189" i="1"/>
  <c r="J668" i="1"/>
  <c r="R668" i="1"/>
  <c r="M561" i="1"/>
  <c r="J644" i="1"/>
  <c r="R644" i="1"/>
  <c r="J68" i="1"/>
  <c r="R68" i="1"/>
  <c r="J129" i="1"/>
  <c r="R129" i="1"/>
  <c r="J248" i="1"/>
  <c r="R248" i="1"/>
  <c r="M405" i="1"/>
  <c r="J620" i="1"/>
  <c r="R620" i="1"/>
  <c r="J177" i="1"/>
  <c r="R177" i="1"/>
  <c r="J369" i="1"/>
  <c r="R369" i="1"/>
  <c r="J46" i="1"/>
  <c r="R46" i="1"/>
  <c r="J118" i="1"/>
  <c r="R118" i="1"/>
  <c r="J190" i="1"/>
  <c r="R190" i="1"/>
  <c r="J262" i="1"/>
  <c r="R262" i="1"/>
  <c r="J406" i="1"/>
  <c r="R406" i="1"/>
  <c r="J490" i="1"/>
  <c r="R490" i="1"/>
  <c r="J562" i="1"/>
  <c r="R562" i="1"/>
  <c r="J634" i="1"/>
  <c r="R634" i="1"/>
  <c r="J706" i="1"/>
  <c r="R706" i="1"/>
  <c r="J74" i="1"/>
  <c r="R74" i="1"/>
  <c r="J554" i="1"/>
  <c r="R554" i="1"/>
  <c r="J507" i="1"/>
  <c r="R507" i="1"/>
  <c r="J317" i="1"/>
  <c r="R317" i="1"/>
  <c r="J530" i="1"/>
  <c r="R530" i="1"/>
  <c r="J4" i="1"/>
  <c r="R4" i="1"/>
  <c r="J318" i="1"/>
  <c r="R318" i="1"/>
  <c r="J400" i="1"/>
  <c r="R400" i="1"/>
  <c r="J635" i="1"/>
  <c r="R635" i="1"/>
  <c r="J93" i="1"/>
  <c r="R93" i="1"/>
  <c r="J366" i="1"/>
  <c r="R366" i="1"/>
  <c r="J649" i="1"/>
  <c r="R649" i="1"/>
  <c r="J227" i="1"/>
  <c r="R227" i="1"/>
  <c r="J371" i="1"/>
  <c r="R371" i="1"/>
  <c r="J24" i="1"/>
  <c r="R24" i="1"/>
  <c r="J410" i="1"/>
  <c r="R410" i="1"/>
  <c r="J120" i="1"/>
  <c r="R120" i="1"/>
  <c r="J192" i="1"/>
  <c r="R192" i="1"/>
  <c r="J264" i="1"/>
  <c r="R264" i="1"/>
  <c r="J336" i="1"/>
  <c r="R336" i="1"/>
  <c r="J408" i="1"/>
  <c r="R408" i="1"/>
  <c r="J480" i="1"/>
  <c r="R480" i="1"/>
  <c r="J552" i="1"/>
  <c r="R552" i="1"/>
  <c r="J624" i="1"/>
  <c r="R624" i="1"/>
  <c r="J696" i="1"/>
  <c r="R696" i="1"/>
  <c r="J223" i="1"/>
  <c r="R223" i="1"/>
  <c r="J607" i="1"/>
  <c r="R607" i="1"/>
  <c r="P152" i="1"/>
  <c r="P224" i="1"/>
  <c r="P296" i="1"/>
  <c r="P668" i="1"/>
  <c r="J126" i="1"/>
  <c r="R126" i="1"/>
  <c r="J520" i="1"/>
  <c r="R520" i="1"/>
  <c r="J86" i="1"/>
  <c r="R86" i="1"/>
  <c r="J158" i="1"/>
  <c r="R158" i="1"/>
  <c r="J567" i="1"/>
  <c r="R567" i="1"/>
  <c r="J159" i="1"/>
  <c r="R159" i="1"/>
  <c r="J231" i="1"/>
  <c r="R231" i="1"/>
  <c r="J303" i="1"/>
  <c r="R303" i="1"/>
  <c r="J375" i="1"/>
  <c r="R375" i="1"/>
  <c r="J447" i="1"/>
  <c r="R447" i="1"/>
  <c r="J415" i="1"/>
  <c r="R415" i="1"/>
  <c r="J438" i="1"/>
  <c r="R438" i="1"/>
  <c r="J41" i="1"/>
  <c r="R41" i="1"/>
  <c r="J295" i="1"/>
  <c r="R295" i="1"/>
  <c r="J42" i="1"/>
  <c r="R42" i="1"/>
  <c r="J7" i="1"/>
  <c r="R7" i="1"/>
  <c r="M200" i="1"/>
  <c r="Q692" i="1"/>
  <c r="J479" i="1"/>
  <c r="R479" i="1"/>
  <c r="J712" i="1"/>
  <c r="R712" i="1"/>
  <c r="J476" i="1"/>
  <c r="R476" i="1"/>
  <c r="M3" i="1"/>
  <c r="J443" i="1"/>
  <c r="R443" i="1"/>
  <c r="J522" i="1"/>
  <c r="R522" i="1"/>
  <c r="J606" i="1"/>
  <c r="R606" i="1"/>
  <c r="Q512" i="1"/>
  <c r="Q561" i="1"/>
  <c r="J9" i="1"/>
  <c r="R9" i="1"/>
  <c r="J128" i="1"/>
  <c r="R128" i="1"/>
  <c r="Q238" i="1"/>
  <c r="J309" i="1"/>
  <c r="R309" i="1"/>
  <c r="J334" i="1"/>
  <c r="R334" i="1"/>
  <c r="J218" i="1"/>
  <c r="R218" i="1"/>
  <c r="J614" i="1"/>
  <c r="R614" i="1"/>
  <c r="J543" i="1"/>
  <c r="R543" i="1"/>
  <c r="J401" i="1"/>
  <c r="R401" i="1"/>
  <c r="J674" i="1"/>
  <c r="R674" i="1"/>
  <c r="J553" i="1"/>
  <c r="R553" i="1"/>
  <c r="J16" i="1"/>
  <c r="R16" i="1"/>
  <c r="J402" i="1"/>
  <c r="R402" i="1"/>
  <c r="J424" i="1"/>
  <c r="R424" i="1"/>
  <c r="J659" i="1"/>
  <c r="R659" i="1"/>
  <c r="J677" i="1"/>
  <c r="R677" i="1"/>
  <c r="J61" i="1"/>
  <c r="R61" i="1"/>
  <c r="J97" i="1"/>
  <c r="R97" i="1"/>
  <c r="J420" i="1"/>
  <c r="R420" i="1"/>
  <c r="J484" i="1"/>
  <c r="R484" i="1"/>
  <c r="J95" i="1"/>
  <c r="R95" i="1"/>
  <c r="J329" i="1"/>
  <c r="R329" i="1"/>
  <c r="J253" i="1"/>
  <c r="R253" i="1"/>
  <c r="J469" i="1"/>
  <c r="R469" i="1"/>
  <c r="J127" i="1"/>
  <c r="R127" i="1"/>
  <c r="J568" i="1"/>
  <c r="R568" i="1"/>
  <c r="M380" i="1"/>
  <c r="J464" i="1"/>
  <c r="R464" i="1"/>
  <c r="J201" i="1"/>
  <c r="R201" i="1"/>
  <c r="J525" i="1"/>
  <c r="R525" i="1"/>
  <c r="J70" i="1"/>
  <c r="R70" i="1"/>
  <c r="J627" i="1"/>
  <c r="R627" i="1"/>
  <c r="J196" i="1"/>
  <c r="R196" i="1"/>
  <c r="J508" i="1"/>
  <c r="R508" i="1"/>
  <c r="J707" i="1"/>
  <c r="R707" i="1"/>
  <c r="J174" i="1"/>
  <c r="R174" i="1"/>
  <c r="J360" i="1"/>
  <c r="R360" i="1"/>
  <c r="P248" i="1"/>
  <c r="J255" i="1"/>
  <c r="R255" i="1"/>
  <c r="J640" i="1"/>
  <c r="R640" i="1"/>
  <c r="J583" i="1"/>
  <c r="R583" i="1"/>
  <c r="J187" i="1"/>
  <c r="R187" i="1"/>
  <c r="Q212" i="1"/>
  <c r="J513" i="1"/>
  <c r="R513" i="1"/>
  <c r="J272" i="1"/>
  <c r="R272" i="1"/>
  <c r="Q322" i="1"/>
  <c r="J286" i="1"/>
  <c r="R286" i="1"/>
  <c r="J586" i="1"/>
  <c r="R586" i="1"/>
  <c r="J491" i="1"/>
  <c r="R491" i="1"/>
  <c r="J337" i="1"/>
  <c r="R337" i="1"/>
  <c r="J263" i="1"/>
  <c r="R263" i="1"/>
  <c r="J245" i="1"/>
  <c r="R245" i="1"/>
  <c r="J592" i="1"/>
  <c r="R592" i="1"/>
  <c r="J84" i="1"/>
  <c r="R84" i="1"/>
  <c r="J156" i="1"/>
  <c r="R156" i="1"/>
  <c r="J228" i="1"/>
  <c r="R228" i="1"/>
  <c r="J300" i="1"/>
  <c r="R300" i="1"/>
  <c r="J372" i="1"/>
  <c r="R372" i="1"/>
  <c r="J444" i="1"/>
  <c r="R444" i="1"/>
  <c r="J516" i="1"/>
  <c r="R516" i="1"/>
  <c r="J588" i="1"/>
  <c r="R588" i="1"/>
  <c r="J660" i="1"/>
  <c r="R660" i="1"/>
  <c r="J62" i="1"/>
  <c r="R62" i="1"/>
  <c r="J412" i="1"/>
  <c r="R412" i="1"/>
  <c r="J391" i="1"/>
  <c r="R391" i="1"/>
  <c r="J710" i="1"/>
  <c r="R710" i="1"/>
  <c r="J122" i="1"/>
  <c r="R122" i="1"/>
  <c r="J194" i="1"/>
  <c r="R194" i="1"/>
  <c r="J331" i="1"/>
  <c r="R331" i="1"/>
  <c r="J711" i="1"/>
  <c r="R711" i="1"/>
  <c r="J123" i="1"/>
  <c r="R123" i="1"/>
  <c r="J195" i="1"/>
  <c r="R195" i="1"/>
  <c r="J267" i="1"/>
  <c r="R267" i="1"/>
  <c r="J339" i="1"/>
  <c r="R339" i="1"/>
  <c r="J411" i="1"/>
  <c r="R411" i="1"/>
  <c r="J483" i="1"/>
  <c r="R483" i="1"/>
  <c r="J208" i="1"/>
  <c r="R208" i="1"/>
  <c r="J136" i="1"/>
  <c r="R136" i="1"/>
  <c r="J185" i="1"/>
  <c r="R185" i="1"/>
  <c r="J655" i="1"/>
  <c r="R655" i="1"/>
  <c r="J686" i="1"/>
  <c r="R686" i="1"/>
  <c r="J78" i="1"/>
  <c r="R78" i="1"/>
  <c r="J235" i="1"/>
  <c r="R235" i="1"/>
  <c r="M128" i="1"/>
  <c r="L224" i="1"/>
  <c r="M272" i="1"/>
  <c r="L392" i="1"/>
  <c r="M560" i="1"/>
  <c r="J141" i="1"/>
  <c r="R141" i="1"/>
  <c r="J164" i="1"/>
  <c r="R164" i="1"/>
  <c r="J165" i="1"/>
  <c r="R165" i="1"/>
  <c r="J511" i="1"/>
  <c r="R511" i="1"/>
  <c r="J570" i="1"/>
  <c r="R570" i="1"/>
  <c r="J654" i="1"/>
  <c r="R654" i="1"/>
  <c r="J632" i="1"/>
  <c r="R632" i="1"/>
  <c r="Q5" i="1"/>
  <c r="J212" i="1"/>
  <c r="R212" i="1"/>
  <c r="J45" i="1"/>
  <c r="R45" i="1"/>
  <c r="J104" i="1"/>
  <c r="R104" i="1"/>
  <c r="J224" i="1"/>
  <c r="R224" i="1"/>
  <c r="J284" i="1"/>
  <c r="R284" i="1"/>
  <c r="M513" i="1"/>
  <c r="J703" i="1"/>
  <c r="R703" i="1"/>
  <c r="J405" i="1"/>
  <c r="R405" i="1"/>
  <c r="M478" i="1"/>
  <c r="J11" i="1"/>
  <c r="R11" i="1"/>
  <c r="J370" i="1"/>
  <c r="R370" i="1"/>
  <c r="J526" i="1"/>
  <c r="R526" i="1"/>
  <c r="J236" i="1"/>
  <c r="R236" i="1"/>
  <c r="J398" i="1"/>
  <c r="R398" i="1"/>
  <c r="J3" i="1"/>
  <c r="R3" i="1"/>
  <c r="J37" i="1"/>
  <c r="R37" i="1"/>
  <c r="J673" i="1"/>
  <c r="R673" i="1"/>
  <c r="J114" i="1"/>
  <c r="R114" i="1"/>
  <c r="J304" i="1"/>
  <c r="R304" i="1"/>
  <c r="J604" i="1"/>
  <c r="R604" i="1"/>
  <c r="J539" i="1"/>
  <c r="R539" i="1"/>
  <c r="J155" i="1"/>
  <c r="R155" i="1"/>
  <c r="J449" i="1"/>
  <c r="R449" i="1"/>
  <c r="J169" i="1"/>
  <c r="R169" i="1"/>
  <c r="J457" i="1"/>
  <c r="R457" i="1"/>
  <c r="J535" i="1"/>
  <c r="R535" i="1"/>
  <c r="J581" i="1"/>
  <c r="R581" i="1"/>
  <c r="J378" i="1"/>
  <c r="R378" i="1"/>
  <c r="J19" i="1"/>
  <c r="R19" i="1"/>
  <c r="J8" i="1"/>
  <c r="R8" i="1"/>
  <c r="J249" i="1"/>
  <c r="R249" i="1"/>
  <c r="J58" i="1"/>
  <c r="R58" i="1"/>
  <c r="J646" i="1"/>
  <c r="R646" i="1"/>
  <c r="J555" i="1"/>
  <c r="R555" i="1"/>
  <c r="J426" i="1"/>
  <c r="R426" i="1"/>
  <c r="J52" i="1"/>
  <c r="R52" i="1"/>
  <c r="J691" i="1"/>
  <c r="R691" i="1"/>
  <c r="J311" i="1"/>
  <c r="R311" i="1"/>
  <c r="J132" i="1"/>
  <c r="R132" i="1"/>
  <c r="J348" i="1"/>
  <c r="R348" i="1"/>
  <c r="J564" i="1"/>
  <c r="R564" i="1"/>
  <c r="J268" i="1"/>
  <c r="R268" i="1"/>
  <c r="J566" i="1"/>
  <c r="R566" i="1"/>
  <c r="J99" i="1"/>
  <c r="R99" i="1"/>
  <c r="J315" i="1"/>
  <c r="R315" i="1"/>
  <c r="J65" i="1"/>
  <c r="R65" i="1"/>
  <c r="J53" i="1"/>
  <c r="R53" i="1"/>
  <c r="J439" i="1"/>
  <c r="R439" i="1"/>
  <c r="J416" i="1"/>
  <c r="R416" i="1"/>
  <c r="J498" i="1"/>
  <c r="R498" i="1"/>
  <c r="J573" i="1"/>
  <c r="R573" i="1"/>
  <c r="J453" i="1"/>
  <c r="R453" i="1"/>
  <c r="J629" i="1"/>
  <c r="R629" i="1"/>
  <c r="J455" i="1"/>
  <c r="R455" i="1"/>
  <c r="J639" i="1"/>
  <c r="R639" i="1"/>
  <c r="J101" i="1"/>
  <c r="R101" i="1"/>
  <c r="J475" i="1"/>
  <c r="R475" i="1"/>
  <c r="Q405" i="1"/>
  <c r="J20" i="1"/>
  <c r="R20" i="1"/>
  <c r="J261" i="1"/>
  <c r="R261" i="1"/>
  <c r="J597" i="1"/>
  <c r="R597" i="1"/>
  <c r="J358" i="1"/>
  <c r="R358" i="1"/>
  <c r="J690" i="1"/>
  <c r="R690" i="1"/>
  <c r="J499" i="1"/>
  <c r="R499" i="1"/>
  <c r="J323" i="1"/>
  <c r="R323" i="1"/>
  <c r="J216" i="1"/>
  <c r="R216" i="1"/>
  <c r="J504" i="1"/>
  <c r="R504" i="1"/>
  <c r="J709" i="1"/>
  <c r="R709" i="1"/>
  <c r="J638" i="1"/>
  <c r="R638" i="1"/>
  <c r="J327" i="1"/>
  <c r="R327" i="1"/>
  <c r="J160" i="1"/>
  <c r="R160" i="1"/>
  <c r="J103" i="1"/>
  <c r="R103" i="1"/>
  <c r="J618" i="1"/>
  <c r="R618" i="1"/>
  <c r="J642" i="1"/>
  <c r="R642" i="1"/>
  <c r="J514" i="1"/>
  <c r="R514" i="1"/>
  <c r="J338" i="1"/>
  <c r="R338" i="1"/>
  <c r="J48" i="1"/>
  <c r="R48" i="1"/>
  <c r="J256" i="1"/>
  <c r="R256" i="1"/>
  <c r="J702" i="1"/>
  <c r="R702" i="1"/>
  <c r="J107" i="1"/>
  <c r="R107" i="1"/>
  <c r="J407" i="1"/>
  <c r="R407" i="1"/>
  <c r="J578" i="1"/>
  <c r="R578" i="1"/>
  <c r="J25" i="1"/>
  <c r="R25" i="1"/>
  <c r="J193" i="1"/>
  <c r="R193" i="1"/>
  <c r="J481" i="1"/>
  <c r="R481" i="1"/>
  <c r="J110" i="1"/>
  <c r="R110" i="1"/>
  <c r="J292" i="1"/>
  <c r="R292" i="1"/>
  <c r="J184" i="1"/>
  <c r="R184" i="1"/>
  <c r="J211" i="1"/>
  <c r="R211" i="1"/>
  <c r="M224" i="1"/>
  <c r="M392" i="1"/>
  <c r="J680" i="1"/>
  <c r="R680" i="1"/>
  <c r="J440" i="1"/>
  <c r="R440" i="1"/>
  <c r="J575" i="1"/>
  <c r="R575" i="1"/>
  <c r="J152" i="1"/>
  <c r="R152" i="1"/>
  <c r="J344" i="1"/>
  <c r="R344" i="1"/>
  <c r="J333" i="1"/>
  <c r="R333" i="1"/>
  <c r="L478" i="1"/>
  <c r="J609" i="1"/>
  <c r="R609" i="1"/>
  <c r="J704" i="1"/>
  <c r="R704" i="1"/>
  <c r="J154" i="1"/>
  <c r="R154" i="1"/>
  <c r="J298" i="1"/>
  <c r="R298" i="1"/>
  <c r="J599" i="1"/>
  <c r="R599" i="1"/>
  <c r="J463" i="1"/>
  <c r="R463" i="1"/>
  <c r="J661" i="1"/>
  <c r="R661" i="1"/>
  <c r="J556" i="1"/>
  <c r="R556" i="1"/>
  <c r="J503" i="1"/>
  <c r="R503" i="1"/>
  <c r="J197" i="1"/>
  <c r="R197" i="1"/>
  <c r="J221" i="1"/>
  <c r="R221" i="1"/>
  <c r="J47" i="1"/>
  <c r="R47" i="1"/>
  <c r="J191" i="1"/>
  <c r="R191" i="1"/>
  <c r="J335" i="1"/>
  <c r="R335" i="1"/>
  <c r="J650" i="1"/>
  <c r="R650" i="1"/>
  <c r="J91" i="1"/>
  <c r="R91" i="1"/>
  <c r="J205" i="1"/>
  <c r="R205" i="1"/>
  <c r="J349" i="1"/>
  <c r="R349" i="1"/>
  <c r="J493" i="1"/>
  <c r="R493" i="1"/>
  <c r="Q2" i="1"/>
  <c r="P321" i="1"/>
  <c r="J27" i="1"/>
  <c r="R27" i="1"/>
  <c r="J232" i="1"/>
  <c r="R232" i="1"/>
  <c r="J209" i="1"/>
  <c r="R209" i="1"/>
  <c r="J18" i="1"/>
  <c r="R18" i="1"/>
  <c r="J379" i="1"/>
  <c r="R379" i="1"/>
  <c r="Q344" i="1"/>
  <c r="Q560" i="1"/>
  <c r="Q656" i="1"/>
  <c r="J321" i="1"/>
  <c r="R321" i="1"/>
  <c r="J559" i="1"/>
  <c r="R559" i="1"/>
  <c r="J428" i="1"/>
  <c r="R428" i="1"/>
  <c r="L633" i="1"/>
  <c r="J452" i="1"/>
  <c r="R452" i="1"/>
  <c r="J297" i="1"/>
  <c r="R297" i="1"/>
  <c r="J356" i="1"/>
  <c r="R356" i="1"/>
  <c r="J33" i="1"/>
  <c r="R33" i="1"/>
  <c r="J285" i="1"/>
  <c r="R285" i="1"/>
  <c r="J621" i="1"/>
  <c r="R621" i="1"/>
  <c r="J10" i="1"/>
  <c r="R10" i="1"/>
  <c r="J310" i="1"/>
  <c r="R310" i="1"/>
  <c r="J454" i="1"/>
  <c r="R454" i="1"/>
  <c r="J682" i="1"/>
  <c r="R682" i="1"/>
  <c r="J422" i="1"/>
  <c r="R422" i="1"/>
  <c r="J685" i="1"/>
  <c r="R685" i="1"/>
  <c r="J616" i="1"/>
  <c r="R616" i="1"/>
  <c r="J551" i="1"/>
  <c r="R551" i="1"/>
  <c r="J244" i="1"/>
  <c r="R244" i="1"/>
  <c r="J577" i="1"/>
  <c r="R577" i="1"/>
  <c r="J275" i="1"/>
  <c r="R275" i="1"/>
  <c r="J306" i="1"/>
  <c r="R306" i="1"/>
  <c r="J664" i="1"/>
  <c r="R664" i="1"/>
  <c r="J96" i="1"/>
  <c r="R96" i="1"/>
  <c r="J168" i="1"/>
  <c r="R168" i="1"/>
  <c r="J240" i="1"/>
  <c r="R240" i="1"/>
  <c r="J312" i="1"/>
  <c r="R312" i="1"/>
  <c r="J384" i="1"/>
  <c r="R384" i="1"/>
  <c r="J456" i="1"/>
  <c r="R456" i="1"/>
  <c r="J528" i="1"/>
  <c r="R528" i="1"/>
  <c r="J600" i="1"/>
  <c r="R600" i="1"/>
  <c r="J672" i="1"/>
  <c r="R672" i="1"/>
  <c r="J125" i="1"/>
  <c r="R125" i="1"/>
  <c r="J519" i="1"/>
  <c r="R519" i="1"/>
  <c r="P416" i="1"/>
  <c r="P596" i="1"/>
  <c r="P12" i="1"/>
  <c r="J434" i="1"/>
  <c r="R434" i="1"/>
  <c r="J134" i="1"/>
  <c r="R134" i="1"/>
  <c r="J206" i="1"/>
  <c r="R206" i="1"/>
  <c r="J414" i="1"/>
  <c r="R414" i="1"/>
  <c r="J135" i="1"/>
  <c r="R135" i="1"/>
  <c r="J207" i="1"/>
  <c r="R207" i="1"/>
  <c r="J279" i="1"/>
  <c r="R279" i="1"/>
  <c r="J351" i="1"/>
  <c r="R351" i="1"/>
  <c r="J423" i="1"/>
  <c r="R423" i="1"/>
  <c r="J271" i="1"/>
  <c r="R271" i="1"/>
  <c r="J148" i="1"/>
  <c r="R148" i="1"/>
  <c r="J233" i="1"/>
  <c r="R233" i="1"/>
  <c r="J5" i="1"/>
  <c r="R5" i="1"/>
  <c r="J162" i="1"/>
  <c r="R162" i="1"/>
  <c r="P13" i="1"/>
  <c r="J90" i="1"/>
  <c r="R90" i="1"/>
  <c r="J571" i="1"/>
  <c r="R571" i="1"/>
  <c r="L140" i="1"/>
  <c r="L236" i="1"/>
  <c r="L284" i="1"/>
  <c r="L356" i="1"/>
  <c r="M404" i="1"/>
  <c r="L452" i="1"/>
  <c r="M524" i="1"/>
  <c r="M572" i="1"/>
  <c r="M668" i="1"/>
  <c r="J404" i="1"/>
  <c r="R404" i="1"/>
  <c r="L432" i="1"/>
  <c r="J548" i="1"/>
  <c r="R548" i="1"/>
  <c r="J630" i="1"/>
  <c r="R630" i="1"/>
  <c r="M633" i="1"/>
  <c r="J666" i="1"/>
  <c r="R666" i="1"/>
  <c r="L500" i="1"/>
  <c r="J392" i="1"/>
  <c r="R392" i="1"/>
  <c r="J380" i="1"/>
  <c r="R380" i="1"/>
  <c r="J117" i="1"/>
  <c r="R117" i="1"/>
  <c r="L165" i="1"/>
  <c r="J296" i="1"/>
  <c r="R296" i="1"/>
  <c r="Q513" i="1"/>
  <c r="J57" i="1"/>
  <c r="R57" i="1"/>
  <c r="J225" i="1"/>
  <c r="R225" i="1"/>
  <c r="J417" i="1"/>
  <c r="R417" i="1"/>
  <c r="J489" i="1"/>
  <c r="R489" i="1"/>
  <c r="J35" i="1"/>
  <c r="R35" i="1"/>
  <c r="J94" i="1"/>
  <c r="R94" i="1"/>
  <c r="J166" i="1"/>
  <c r="R166" i="1"/>
  <c r="J238" i="1"/>
  <c r="R238" i="1"/>
  <c r="J382" i="1"/>
  <c r="R382" i="1"/>
  <c r="J538" i="1"/>
  <c r="R538" i="1"/>
  <c r="J622" i="1"/>
  <c r="R622" i="1"/>
  <c r="J2" i="1"/>
  <c r="T5" i="1"/>
  <c r="R2" i="1"/>
  <c r="J458" i="1"/>
  <c r="R458" i="1"/>
  <c r="J39" i="1"/>
  <c r="R39" i="1"/>
  <c r="J259" i="1"/>
  <c r="R259" i="1"/>
  <c r="J307" i="1"/>
  <c r="R307" i="1"/>
  <c r="J705" i="1"/>
  <c r="R705" i="1"/>
  <c r="J386" i="1"/>
  <c r="R386" i="1"/>
  <c r="J697" i="1"/>
  <c r="R697" i="1"/>
  <c r="J222" i="1"/>
  <c r="R222" i="1"/>
  <c r="J340" i="1"/>
  <c r="R340" i="1"/>
  <c r="J628" i="1"/>
  <c r="R628" i="1"/>
  <c r="J563" i="1"/>
  <c r="R563" i="1"/>
  <c r="J83" i="1"/>
  <c r="R83" i="1"/>
  <c r="J637" i="1"/>
  <c r="R637" i="1"/>
  <c r="J241" i="1"/>
  <c r="R241" i="1"/>
  <c r="J247" i="1"/>
  <c r="R247" i="1"/>
  <c r="J64" i="1"/>
  <c r="R64" i="1"/>
  <c r="J260" i="1"/>
  <c r="R260" i="1"/>
  <c r="J488" i="1"/>
  <c r="R488" i="1"/>
  <c r="J502" i="1"/>
  <c r="R502" i="1"/>
  <c r="J254" i="1"/>
  <c r="R254" i="1"/>
  <c r="J319" i="1"/>
  <c r="R319" i="1"/>
  <c r="J448" i="1"/>
  <c r="R448" i="1"/>
  <c r="J239" i="1"/>
  <c r="R239" i="1"/>
  <c r="J485" i="1"/>
  <c r="R485" i="1"/>
  <c r="J204" i="1"/>
  <c r="R204" i="1"/>
  <c r="J492" i="1"/>
  <c r="R492" i="1"/>
  <c r="J651" i="1"/>
  <c r="R651" i="1"/>
  <c r="J269" i="1"/>
  <c r="R269" i="1"/>
  <c r="J98" i="1"/>
  <c r="R98" i="1"/>
  <c r="J595" i="1"/>
  <c r="R595" i="1"/>
  <c r="J243" i="1"/>
  <c r="R243" i="1"/>
  <c r="J459" i="1"/>
  <c r="R459" i="1"/>
  <c r="J473" i="1"/>
  <c r="R473" i="1"/>
  <c r="L380" i="1"/>
  <c r="J714" i="1"/>
  <c r="R714" i="1"/>
  <c r="J21" i="1"/>
  <c r="R21" i="1"/>
  <c r="J200" i="1"/>
  <c r="R200" i="1"/>
  <c r="L322" i="1"/>
  <c r="J130" i="1"/>
  <c r="R130" i="1"/>
  <c r="J418" i="1"/>
  <c r="R418" i="1"/>
  <c r="J278" i="1"/>
  <c r="R278" i="1"/>
  <c r="J590" i="1"/>
  <c r="R590" i="1"/>
  <c r="J172" i="1"/>
  <c r="R172" i="1"/>
  <c r="J496" i="1"/>
  <c r="R496" i="1"/>
  <c r="J720" i="1"/>
  <c r="R720" i="1"/>
  <c r="J383" i="1"/>
  <c r="R383" i="1"/>
  <c r="J150" i="1"/>
  <c r="R150" i="1"/>
  <c r="J181" i="1"/>
  <c r="R181" i="1"/>
  <c r="J397" i="1"/>
  <c r="R397" i="1"/>
  <c r="J290" i="1"/>
  <c r="R290" i="1"/>
  <c r="J569" i="1"/>
  <c r="R569" i="1"/>
  <c r="J163" i="1"/>
  <c r="R163" i="1"/>
  <c r="J560" i="1"/>
  <c r="R560" i="1"/>
  <c r="J332" i="1"/>
  <c r="R332" i="1"/>
  <c r="J142" i="1"/>
  <c r="R142" i="1"/>
  <c r="J314" i="1"/>
  <c r="R314" i="1"/>
  <c r="J23" i="1"/>
  <c r="R23" i="1"/>
  <c r="J395" i="1"/>
  <c r="R395" i="1"/>
  <c r="J533" i="1"/>
  <c r="R533" i="1"/>
  <c r="J288" i="1"/>
  <c r="R288" i="1"/>
  <c r="J576" i="1"/>
  <c r="R576" i="1"/>
  <c r="J330" i="1"/>
  <c r="R330" i="1"/>
  <c r="J182" i="1"/>
  <c r="R182" i="1"/>
  <c r="J111" i="1"/>
  <c r="R111" i="1"/>
  <c r="J399" i="1"/>
  <c r="R399" i="1"/>
  <c r="J188" i="1"/>
  <c r="R188" i="1"/>
  <c r="J153" i="1"/>
  <c r="R153" i="1"/>
  <c r="J381" i="1"/>
  <c r="R381" i="1"/>
  <c r="J393" i="1"/>
  <c r="R393" i="1"/>
  <c r="J647" i="1"/>
  <c r="R647" i="1"/>
  <c r="J430" i="1"/>
  <c r="R430" i="1"/>
  <c r="J671" i="1"/>
  <c r="R671" i="1"/>
  <c r="J625" i="1"/>
  <c r="R625" i="1"/>
  <c r="J544" i="1"/>
  <c r="R544" i="1"/>
  <c r="J179" i="1"/>
  <c r="R179" i="1"/>
  <c r="J198" i="1"/>
  <c r="R198" i="1"/>
  <c r="J390" i="1"/>
  <c r="R390" i="1"/>
  <c r="J121" i="1"/>
  <c r="R121" i="1"/>
  <c r="J409" i="1"/>
  <c r="R409" i="1"/>
  <c r="J652" i="1"/>
  <c r="R652" i="1"/>
  <c r="J667" i="1"/>
  <c r="R667" i="1"/>
  <c r="J161" i="1"/>
  <c r="R161" i="1"/>
  <c r="J542" i="1"/>
  <c r="R542" i="1"/>
  <c r="J43" i="1"/>
  <c r="R43" i="1"/>
  <c r="J608" i="1"/>
  <c r="R608" i="1"/>
  <c r="J441" i="1"/>
  <c r="R441" i="1"/>
  <c r="J105" i="1"/>
  <c r="R105" i="1"/>
  <c r="J645" i="1"/>
  <c r="R645" i="1"/>
  <c r="J273" i="1"/>
  <c r="R273" i="1"/>
  <c r="J537" i="1"/>
  <c r="R537" i="1"/>
  <c r="J681" i="1"/>
  <c r="R681" i="1"/>
  <c r="J82" i="1"/>
  <c r="R82" i="1"/>
  <c r="J226" i="1"/>
  <c r="R226" i="1"/>
  <c r="J442" i="1"/>
  <c r="R442" i="1"/>
  <c r="J670" i="1"/>
  <c r="R670" i="1"/>
  <c r="J374" i="1"/>
  <c r="R374" i="1"/>
  <c r="J699" i="1"/>
  <c r="R699" i="1"/>
  <c r="J13" i="1"/>
  <c r="R13" i="1"/>
  <c r="J6" i="1"/>
  <c r="R6" i="1"/>
  <c r="J280" i="1"/>
  <c r="R280" i="1"/>
  <c r="J532" i="1"/>
  <c r="R532" i="1"/>
  <c r="J547" i="1"/>
  <c r="R547" i="1"/>
  <c r="J119" i="1"/>
  <c r="R119" i="1"/>
  <c r="J419" i="1"/>
  <c r="R419" i="1"/>
  <c r="J266" i="1"/>
  <c r="R266" i="1"/>
  <c r="J450" i="1"/>
  <c r="R450" i="1"/>
  <c r="J133" i="1"/>
  <c r="R133" i="1"/>
  <c r="J277" i="1"/>
  <c r="R277" i="1"/>
  <c r="J421" i="1"/>
  <c r="R421" i="1"/>
  <c r="J353" i="1"/>
  <c r="R353" i="1"/>
  <c r="J40" i="1"/>
  <c r="R40" i="1"/>
  <c r="J713" i="1"/>
  <c r="R713" i="1"/>
  <c r="J55" i="1"/>
  <c r="R55" i="1"/>
  <c r="Q488" i="1"/>
  <c r="J558" i="1"/>
  <c r="R558" i="1"/>
  <c r="J572" i="1"/>
  <c r="R572" i="1"/>
  <c r="J486" i="1"/>
  <c r="R486" i="1"/>
  <c r="M500" i="1"/>
  <c r="J44" i="1"/>
  <c r="R44" i="1"/>
  <c r="J524" i="1"/>
  <c r="R524" i="1"/>
  <c r="J345" i="1"/>
  <c r="R345" i="1"/>
  <c r="J549" i="1"/>
  <c r="R549" i="1"/>
  <c r="J693" i="1"/>
  <c r="R693" i="1"/>
  <c r="J598" i="1"/>
  <c r="R598" i="1"/>
  <c r="J343" i="1"/>
  <c r="R343" i="1"/>
  <c r="J15" i="1"/>
  <c r="R15" i="1"/>
  <c r="J49" i="1"/>
  <c r="R49" i="1"/>
  <c r="J138" i="1"/>
  <c r="R138" i="1"/>
  <c r="J316" i="1"/>
  <c r="R316" i="1"/>
  <c r="J283" i="1"/>
  <c r="R283" i="1"/>
  <c r="J591" i="1"/>
  <c r="R591" i="1"/>
  <c r="J59" i="1"/>
  <c r="R59" i="1"/>
  <c r="J131" i="1"/>
  <c r="R131" i="1"/>
  <c r="J203" i="1"/>
  <c r="R203" i="1"/>
  <c r="J347" i="1"/>
  <c r="R347" i="1"/>
  <c r="J431" i="1"/>
  <c r="R431" i="1"/>
  <c r="P3" i="1"/>
  <c r="J328" i="1"/>
  <c r="R328" i="1"/>
  <c r="J721" i="1"/>
  <c r="R721" i="1"/>
  <c r="J151" i="1"/>
  <c r="R151" i="1"/>
  <c r="J565" i="1"/>
  <c r="R565" i="1"/>
  <c r="J73" i="1"/>
  <c r="R73" i="1"/>
  <c r="J145" i="1"/>
  <c r="R145" i="1"/>
  <c r="J217" i="1"/>
  <c r="R217" i="1"/>
  <c r="J289" i="1"/>
  <c r="R289" i="1"/>
  <c r="J361" i="1"/>
  <c r="R361" i="1"/>
  <c r="J433" i="1"/>
  <c r="R433" i="1"/>
  <c r="J505" i="1"/>
  <c r="R505" i="1"/>
  <c r="J451" i="1"/>
  <c r="R451" i="1"/>
  <c r="J436" i="1"/>
  <c r="R436" i="1"/>
  <c r="J293" i="1"/>
  <c r="R293" i="1"/>
  <c r="J294" i="1"/>
  <c r="R294" i="1"/>
  <c r="J17" i="1"/>
  <c r="R17" i="1"/>
  <c r="J186" i="1"/>
  <c r="R186" i="1"/>
  <c r="J643" i="1"/>
  <c r="R643" i="1"/>
  <c r="J67" i="1"/>
  <c r="R67" i="1"/>
  <c r="M140" i="1"/>
  <c r="M236" i="1"/>
  <c r="M284" i="1"/>
  <c r="M356" i="1"/>
  <c r="L404" i="1"/>
  <c r="M452" i="1"/>
  <c r="L524" i="1"/>
  <c r="L572" i="1"/>
  <c r="J140" i="1"/>
  <c r="R140" i="1"/>
  <c r="J596" i="1"/>
  <c r="R596" i="1"/>
  <c r="J546" i="1"/>
  <c r="R546" i="1"/>
  <c r="J582" i="1"/>
  <c r="R582" i="1"/>
  <c r="J584" i="1"/>
  <c r="R584" i="1"/>
  <c r="J527" i="1"/>
  <c r="R527" i="1"/>
  <c r="J56" i="1"/>
  <c r="R56" i="1"/>
  <c r="J116" i="1"/>
  <c r="R116" i="1"/>
  <c r="J368" i="1"/>
  <c r="R368" i="1"/>
  <c r="J536" i="1"/>
  <c r="R536" i="1"/>
  <c r="J69" i="1"/>
  <c r="R69" i="1"/>
  <c r="J357" i="1"/>
  <c r="R357" i="1"/>
  <c r="J561" i="1"/>
  <c r="R561" i="1"/>
  <c r="J633" i="1"/>
  <c r="R633" i="1"/>
  <c r="J34" i="1"/>
  <c r="R34" i="1"/>
  <c r="J106" i="1"/>
  <c r="R106" i="1"/>
  <c r="J178" i="1"/>
  <c r="R178" i="1"/>
  <c r="J250" i="1"/>
  <c r="R250" i="1"/>
  <c r="J394" i="1"/>
  <c r="R394" i="1"/>
  <c r="J550" i="1"/>
  <c r="R550" i="1"/>
  <c r="J694" i="1"/>
  <c r="R694" i="1"/>
  <c r="J14" i="1"/>
  <c r="R14" i="1"/>
  <c r="J494" i="1"/>
  <c r="R494" i="1"/>
  <c r="J75" i="1"/>
  <c r="R75" i="1"/>
  <c r="J137" i="1"/>
  <c r="R137" i="1"/>
  <c r="J446" i="1"/>
  <c r="R446" i="1"/>
  <c r="J50" i="1"/>
  <c r="R50" i="1"/>
  <c r="J258" i="1"/>
  <c r="R258" i="1"/>
  <c r="J364" i="1"/>
  <c r="R364" i="1"/>
  <c r="J676" i="1"/>
  <c r="R676" i="1"/>
  <c r="J611" i="1"/>
  <c r="R611" i="1"/>
  <c r="J385" i="1"/>
  <c r="R385" i="1"/>
  <c r="J80" i="1"/>
  <c r="R80" i="1"/>
  <c r="J692" i="1"/>
  <c r="R692" i="1"/>
  <c r="J585" i="1"/>
  <c r="R585" i="1"/>
  <c r="J626" i="1"/>
  <c r="R626" i="1"/>
  <c r="J683" i="1"/>
  <c r="R683" i="1"/>
  <c r="J60" i="1"/>
  <c r="R60" i="1"/>
  <c r="J636" i="1"/>
  <c r="R636" i="1"/>
  <c r="J171" i="1"/>
  <c r="R171" i="1"/>
  <c r="J523" i="1"/>
  <c r="R523" i="1"/>
  <c r="J54" i="1"/>
  <c r="R54" i="1"/>
  <c r="J274" i="1"/>
  <c r="R274" i="1"/>
  <c r="J658" i="1"/>
  <c r="R658" i="1"/>
  <c r="J615" i="1"/>
  <c r="R615" i="1"/>
  <c r="J695" i="1"/>
  <c r="R695" i="1"/>
  <c r="J88" i="1"/>
  <c r="R88" i="1"/>
  <c r="J518" i="1"/>
  <c r="R518" i="1"/>
  <c r="J665" i="1"/>
  <c r="R665" i="1"/>
  <c r="J325" i="1"/>
  <c r="R325" i="1"/>
  <c r="J580" i="1"/>
  <c r="R580" i="1"/>
  <c r="J31" i="1"/>
  <c r="R31" i="1"/>
  <c r="J631" i="1"/>
  <c r="R631" i="1"/>
  <c r="J213" i="1"/>
  <c r="R213" i="1"/>
  <c r="J669" i="1"/>
  <c r="R669" i="1"/>
  <c r="J214" i="1"/>
  <c r="R214" i="1"/>
  <c r="J12" i="1"/>
  <c r="R12" i="1"/>
  <c r="J467" i="1"/>
  <c r="R467" i="1"/>
  <c r="J144" i="1"/>
  <c r="R144" i="1"/>
  <c r="J350" i="1"/>
  <c r="R350" i="1"/>
  <c r="J270" i="1"/>
  <c r="R270" i="1"/>
  <c r="J124" i="1"/>
  <c r="R124" i="1"/>
  <c r="J509" i="1"/>
  <c r="R509" i="1"/>
  <c r="J32" i="1"/>
  <c r="R32" i="1"/>
  <c r="J465" i="1"/>
  <c r="R465" i="1"/>
  <c r="J663" i="1"/>
  <c r="R663" i="1"/>
  <c r="J173" i="1"/>
  <c r="R173" i="1"/>
  <c r="J265" i="1"/>
  <c r="R265" i="1"/>
  <c r="J352" i="1"/>
  <c r="R352" i="1"/>
  <c r="J28" i="1"/>
  <c r="R28" i="1"/>
  <c r="J641" i="1"/>
  <c r="R641" i="1"/>
  <c r="J413" i="1"/>
  <c r="R413" i="1"/>
  <c r="J305" i="1"/>
  <c r="R305" i="1"/>
  <c r="J605" i="1"/>
  <c r="R605" i="1"/>
  <c r="J359" i="1"/>
  <c r="R359" i="1"/>
  <c r="J367" i="1"/>
  <c r="R367" i="1"/>
  <c r="J108" i="1"/>
  <c r="R108" i="1"/>
  <c r="J180" i="1"/>
  <c r="R180" i="1"/>
  <c r="J252" i="1"/>
  <c r="R252" i="1"/>
  <c r="J324" i="1"/>
  <c r="R324" i="1"/>
  <c r="J396" i="1"/>
  <c r="R396" i="1"/>
  <c r="J468" i="1"/>
  <c r="R468" i="1"/>
  <c r="J540" i="1"/>
  <c r="R540" i="1"/>
  <c r="J612" i="1"/>
  <c r="R612" i="1"/>
  <c r="J684" i="1"/>
  <c r="R684" i="1"/>
  <c r="J175" i="1"/>
  <c r="R175" i="1"/>
  <c r="J579" i="1"/>
  <c r="R579" i="1"/>
  <c r="P356" i="1"/>
  <c r="P428" i="1"/>
  <c r="P500" i="1"/>
  <c r="J26" i="1"/>
  <c r="R26" i="1"/>
  <c r="J470" i="1"/>
  <c r="R470" i="1"/>
  <c r="J146" i="1"/>
  <c r="R146" i="1"/>
  <c r="J230" i="1"/>
  <c r="R230" i="1"/>
  <c r="P513" i="1"/>
  <c r="P705" i="1"/>
  <c r="J472" i="1"/>
  <c r="R472" i="1"/>
  <c r="J147" i="1"/>
  <c r="R147" i="1"/>
  <c r="J219" i="1"/>
  <c r="R219" i="1"/>
  <c r="J291" i="1"/>
  <c r="R291" i="1"/>
  <c r="J363" i="1"/>
  <c r="R363" i="1"/>
  <c r="J435" i="1"/>
  <c r="R435" i="1"/>
  <c r="P514" i="1"/>
  <c r="J354" i="1"/>
  <c r="R354" i="1"/>
  <c r="J355" i="1"/>
  <c r="R355" i="1"/>
  <c r="J29" i="1"/>
  <c r="R29" i="1"/>
  <c r="J210" i="1"/>
  <c r="R210" i="1"/>
  <c r="J30" i="1"/>
  <c r="R30" i="1"/>
  <c r="J102" i="1"/>
  <c r="R102" i="1"/>
  <c r="J687" i="1"/>
  <c r="R687" i="1"/>
  <c r="J237" i="1"/>
  <c r="R237" i="1"/>
  <c r="J719" i="1"/>
  <c r="R719" i="1"/>
  <c r="J656" i="1"/>
  <c r="R656" i="1"/>
  <c r="J510" i="1"/>
  <c r="R510" i="1"/>
  <c r="J594" i="1"/>
  <c r="R594" i="1"/>
  <c r="J678" i="1"/>
  <c r="R678" i="1"/>
  <c r="J587" i="1"/>
  <c r="R587" i="1"/>
  <c r="J176" i="1"/>
  <c r="R176" i="1"/>
  <c r="J308" i="1"/>
  <c r="R308" i="1"/>
  <c r="J81" i="1"/>
  <c r="R81" i="1"/>
  <c r="J429" i="1"/>
  <c r="R429" i="1"/>
  <c r="J501" i="1"/>
  <c r="R501" i="1"/>
  <c r="J322" i="1"/>
  <c r="R322" i="1"/>
  <c r="J478" i="1"/>
  <c r="R478" i="1"/>
  <c r="J38" i="1"/>
  <c r="R38" i="1"/>
  <c r="J506" i="1"/>
  <c r="R506" i="1"/>
  <c r="J495" i="1"/>
  <c r="R495" i="1"/>
  <c r="J257" i="1"/>
  <c r="R257" i="1"/>
  <c r="J482" i="1"/>
  <c r="R482" i="1"/>
  <c r="J282" i="1"/>
  <c r="R282" i="1"/>
  <c r="J388" i="1"/>
  <c r="R388" i="1"/>
  <c r="J688" i="1"/>
  <c r="R688" i="1"/>
  <c r="J623" i="1"/>
  <c r="R623" i="1"/>
  <c r="J342" i="1"/>
  <c r="R342" i="1"/>
  <c r="L705" i="1"/>
  <c r="Q10" i="1"/>
  <c r="Q312" i="1"/>
  <c r="P312" i="1"/>
  <c r="L312" i="1"/>
  <c r="M312" i="1"/>
  <c r="P660" i="1"/>
  <c r="Q660" i="1"/>
  <c r="M660" i="1"/>
  <c r="L660" i="1"/>
  <c r="Q386" i="1"/>
  <c r="P386" i="1"/>
  <c r="M386" i="1"/>
  <c r="L386" i="1"/>
  <c r="Q544" i="1"/>
  <c r="P544" i="1"/>
  <c r="L544" i="1"/>
  <c r="M544" i="1"/>
  <c r="Q223" i="1"/>
  <c r="P223" i="1"/>
  <c r="M223" i="1"/>
  <c r="L223" i="1"/>
  <c r="Q89" i="1"/>
  <c r="P89" i="1"/>
  <c r="L89" i="1"/>
  <c r="M89" i="1"/>
  <c r="Q185" i="1"/>
  <c r="P185" i="1"/>
  <c r="L185" i="1"/>
  <c r="M185" i="1"/>
  <c r="Q329" i="1"/>
  <c r="P329" i="1"/>
  <c r="L329" i="1"/>
  <c r="M329" i="1"/>
  <c r="Q474" i="1"/>
  <c r="P474" i="1"/>
  <c r="M474" i="1"/>
  <c r="L474" i="1"/>
  <c r="Q92" i="1"/>
  <c r="P92" i="1"/>
  <c r="M92" i="1"/>
  <c r="L92" i="1"/>
  <c r="P380" i="1"/>
  <c r="P638" i="1"/>
  <c r="Q638" i="1"/>
  <c r="M638" i="1"/>
  <c r="L638" i="1"/>
  <c r="Q387" i="1"/>
  <c r="P387" i="1"/>
  <c r="L387" i="1"/>
  <c r="M387" i="1"/>
  <c r="P510" i="1"/>
  <c r="Q510" i="1"/>
  <c r="M510" i="1"/>
  <c r="L510" i="1"/>
  <c r="Q441" i="1"/>
  <c r="M441" i="1"/>
  <c r="L441" i="1"/>
  <c r="P441" i="1"/>
  <c r="Q115" i="1"/>
  <c r="P115" i="1"/>
  <c r="M115" i="1"/>
  <c r="L115" i="1"/>
  <c r="Q559" i="1"/>
  <c r="P559" i="1"/>
  <c r="M559" i="1"/>
  <c r="L559" i="1"/>
  <c r="Q643" i="1"/>
  <c r="P643" i="1"/>
  <c r="M643" i="1"/>
  <c r="L643" i="1"/>
  <c r="P297" i="1"/>
  <c r="Q297" i="1"/>
  <c r="M297" i="1"/>
  <c r="L297" i="1"/>
  <c r="Q357" i="1"/>
  <c r="P357" i="1"/>
  <c r="M357" i="1"/>
  <c r="L357" i="1"/>
  <c r="Q358" i="1"/>
  <c r="M358" i="1"/>
  <c r="P358" i="1"/>
  <c r="L358" i="1"/>
  <c r="Q418" i="1"/>
  <c r="M418" i="1"/>
  <c r="P418" i="1"/>
  <c r="L418" i="1"/>
  <c r="Q335" i="1"/>
  <c r="P335" i="1"/>
  <c r="M335" i="1"/>
  <c r="L335" i="1"/>
  <c r="Q98" i="1"/>
  <c r="P98" i="1"/>
  <c r="M98" i="1"/>
  <c r="L98" i="1"/>
  <c r="Q458" i="1"/>
  <c r="P458" i="1"/>
  <c r="M458" i="1"/>
  <c r="L458" i="1"/>
  <c r="Q389" i="1"/>
  <c r="P389" i="1"/>
  <c r="M389" i="1"/>
  <c r="L389" i="1"/>
  <c r="Q349" i="1"/>
  <c r="P349" i="1"/>
  <c r="M349" i="1"/>
  <c r="L349" i="1"/>
  <c r="Q87" i="1"/>
  <c r="P87" i="1"/>
  <c r="M87" i="1"/>
  <c r="L87" i="1"/>
  <c r="Q411" i="1"/>
  <c r="P411" i="1"/>
  <c r="M411" i="1"/>
  <c r="L411" i="1"/>
  <c r="Q304" i="1"/>
  <c r="P304" i="1"/>
  <c r="M304" i="1"/>
  <c r="L304" i="1"/>
  <c r="Q448" i="1"/>
  <c r="P448" i="1"/>
  <c r="M448" i="1"/>
  <c r="L448" i="1"/>
  <c r="Q556" i="1"/>
  <c r="P556" i="1"/>
  <c r="M556" i="1"/>
  <c r="L556" i="1"/>
  <c r="Q664" i="1"/>
  <c r="P664" i="1"/>
  <c r="M664" i="1"/>
  <c r="L664" i="1"/>
  <c r="Q101" i="1"/>
  <c r="P101" i="1"/>
  <c r="L101" i="1"/>
  <c r="M101" i="1"/>
  <c r="Q197" i="1"/>
  <c r="P197" i="1"/>
  <c r="M197" i="1"/>
  <c r="L197" i="1"/>
  <c r="Q341" i="1"/>
  <c r="P341" i="1"/>
  <c r="M341" i="1"/>
  <c r="L341" i="1"/>
  <c r="Q509" i="1"/>
  <c r="P509" i="1"/>
  <c r="M509" i="1"/>
  <c r="L509" i="1"/>
  <c r="Q665" i="1"/>
  <c r="P665" i="1"/>
  <c r="M665" i="1"/>
  <c r="L665" i="1"/>
  <c r="Q42" i="1"/>
  <c r="P42" i="1"/>
  <c r="M42" i="1"/>
  <c r="L42" i="1"/>
  <c r="Q174" i="1"/>
  <c r="P174" i="1"/>
  <c r="M174" i="1"/>
  <c r="L174" i="1"/>
  <c r="P330" i="1"/>
  <c r="Q330" i="1"/>
  <c r="M330" i="1"/>
  <c r="L330" i="1"/>
  <c r="P486" i="1"/>
  <c r="Q486" i="1"/>
  <c r="M486" i="1"/>
  <c r="L486" i="1"/>
  <c r="P642" i="1"/>
  <c r="Q642" i="1"/>
  <c r="M642" i="1"/>
  <c r="L642" i="1"/>
  <c r="Q55" i="1"/>
  <c r="P55" i="1"/>
  <c r="M55" i="1"/>
  <c r="L55" i="1"/>
  <c r="Q151" i="1"/>
  <c r="P151" i="1"/>
  <c r="L151" i="1"/>
  <c r="M151" i="1"/>
  <c r="Q307" i="1"/>
  <c r="P307" i="1"/>
  <c r="M307" i="1"/>
  <c r="L307" i="1"/>
  <c r="Q463" i="1"/>
  <c r="P463" i="1"/>
  <c r="M463" i="1"/>
  <c r="L463" i="1"/>
  <c r="Q104" i="1"/>
  <c r="P104" i="1"/>
  <c r="M104" i="1"/>
  <c r="L104" i="1"/>
  <c r="Q662" i="1"/>
  <c r="P662" i="1"/>
  <c r="M662" i="1"/>
  <c r="L662" i="1"/>
  <c r="P542" i="1"/>
  <c r="Q542" i="1"/>
  <c r="L542" i="1"/>
  <c r="M542" i="1"/>
  <c r="Q639" i="1"/>
  <c r="P639" i="1"/>
  <c r="M639" i="1"/>
  <c r="L639" i="1"/>
  <c r="Q657" i="1"/>
  <c r="P657" i="1"/>
  <c r="L657" i="1"/>
  <c r="M657" i="1"/>
  <c r="Q355" i="1"/>
  <c r="P355" i="1"/>
  <c r="L355" i="1"/>
  <c r="M355" i="1"/>
  <c r="Q105" i="1"/>
  <c r="P105" i="1"/>
  <c r="M105" i="1"/>
  <c r="L105" i="1"/>
  <c r="Q538" i="1"/>
  <c r="P538" i="1"/>
  <c r="M538" i="1"/>
  <c r="L538" i="1"/>
  <c r="Q598" i="1"/>
  <c r="M598" i="1"/>
  <c r="P598" i="1"/>
  <c r="L598" i="1"/>
  <c r="Q658" i="1"/>
  <c r="M658" i="1"/>
  <c r="P658" i="1"/>
  <c r="L658" i="1"/>
  <c r="Q47" i="1"/>
  <c r="P47" i="1"/>
  <c r="M47" i="1"/>
  <c r="L47" i="1"/>
  <c r="Q119" i="1"/>
  <c r="M119" i="1"/>
  <c r="P119" i="1"/>
  <c r="L119" i="1"/>
  <c r="P191" i="1"/>
  <c r="Q191" i="1"/>
  <c r="M191" i="1"/>
  <c r="L191" i="1"/>
  <c r="Q263" i="1"/>
  <c r="M263" i="1"/>
  <c r="P263" i="1"/>
  <c r="L263" i="1"/>
  <c r="Q407" i="1"/>
  <c r="P407" i="1"/>
  <c r="M407" i="1"/>
  <c r="L407" i="1"/>
  <c r="Q491" i="1"/>
  <c r="P491" i="1"/>
  <c r="M491" i="1"/>
  <c r="L491" i="1"/>
  <c r="Q563" i="1"/>
  <c r="P563" i="1"/>
  <c r="L563" i="1"/>
  <c r="M563" i="1"/>
  <c r="Q647" i="1"/>
  <c r="P647" i="1"/>
  <c r="M647" i="1"/>
  <c r="L647" i="1"/>
  <c r="P707" i="1"/>
  <c r="Q707" i="1"/>
  <c r="L707" i="1"/>
  <c r="M707" i="1"/>
  <c r="P242" i="1"/>
  <c r="Q242" i="1"/>
  <c r="M242" i="1"/>
  <c r="L242" i="1"/>
  <c r="Q295" i="1"/>
  <c r="P295" i="1"/>
  <c r="M295" i="1"/>
  <c r="L295" i="1"/>
  <c r="P326" i="1"/>
  <c r="Q326" i="1"/>
  <c r="L326" i="1"/>
  <c r="M326" i="1"/>
  <c r="Q11" i="1"/>
  <c r="M11" i="1"/>
  <c r="P11" i="1"/>
  <c r="Q267" i="1"/>
  <c r="P267" i="1"/>
  <c r="L267" i="1"/>
  <c r="M267" i="1"/>
  <c r="Q423" i="1"/>
  <c r="P423" i="1"/>
  <c r="M423" i="1"/>
  <c r="L423" i="1"/>
  <c r="Q579" i="1"/>
  <c r="P579" i="1"/>
  <c r="M579" i="1"/>
  <c r="L579" i="1"/>
  <c r="Q568" i="1"/>
  <c r="P568" i="1"/>
  <c r="M568" i="1"/>
  <c r="L568" i="1"/>
  <c r="Q209" i="1"/>
  <c r="P209" i="1"/>
  <c r="L209" i="1"/>
  <c r="M209" i="1"/>
  <c r="Q365" i="1"/>
  <c r="P365" i="1"/>
  <c r="L365" i="1"/>
  <c r="M365" i="1"/>
  <c r="Q521" i="1"/>
  <c r="P521" i="1"/>
  <c r="M521" i="1"/>
  <c r="L521" i="1"/>
  <c r="Q677" i="1"/>
  <c r="P677" i="1"/>
  <c r="M677" i="1"/>
  <c r="L677" i="1"/>
  <c r="Q186" i="1"/>
  <c r="P186" i="1"/>
  <c r="M186" i="1"/>
  <c r="L186" i="1"/>
  <c r="P342" i="1"/>
  <c r="Q342" i="1"/>
  <c r="L342" i="1"/>
  <c r="M342" i="1"/>
  <c r="P498" i="1"/>
  <c r="Q498" i="1"/>
  <c r="M498" i="1"/>
  <c r="L498" i="1"/>
  <c r="Q654" i="1"/>
  <c r="P654" i="1"/>
  <c r="M654" i="1"/>
  <c r="L654" i="1"/>
  <c r="Q163" i="1"/>
  <c r="P163" i="1"/>
  <c r="M163" i="1"/>
  <c r="L163" i="1"/>
  <c r="Q319" i="1"/>
  <c r="P319" i="1"/>
  <c r="M319" i="1"/>
  <c r="L319" i="1"/>
  <c r="Q475" i="1"/>
  <c r="P475" i="1"/>
  <c r="M475" i="1"/>
  <c r="L475" i="1"/>
  <c r="Q20" i="1"/>
  <c r="M20" i="1"/>
  <c r="P20" i="1"/>
  <c r="L20" i="1"/>
  <c r="P543" i="1"/>
  <c r="Q543" i="1"/>
  <c r="M543" i="1"/>
  <c r="L543" i="1"/>
  <c r="P687" i="1"/>
  <c r="Q687" i="1"/>
  <c r="M687" i="1"/>
  <c r="L687" i="1"/>
  <c r="Q640" i="1"/>
  <c r="P640" i="1"/>
  <c r="M640" i="1"/>
  <c r="L640" i="1"/>
  <c r="P320" i="1"/>
  <c r="Q571" i="1"/>
  <c r="P571" i="1"/>
  <c r="M571" i="1"/>
  <c r="L571" i="1"/>
  <c r="Q655" i="1"/>
  <c r="P655" i="1"/>
  <c r="M655" i="1"/>
  <c r="L655" i="1"/>
  <c r="P45" i="1"/>
  <c r="Q45" i="1"/>
  <c r="L45" i="1"/>
  <c r="M45" i="1"/>
  <c r="P153" i="1"/>
  <c r="Q153" i="1"/>
  <c r="M153" i="1"/>
  <c r="L153" i="1"/>
  <c r="Q201" i="1"/>
  <c r="M201" i="1"/>
  <c r="P201" i="1"/>
  <c r="L201" i="1"/>
  <c r="Q249" i="1"/>
  <c r="P249" i="1"/>
  <c r="M249" i="1"/>
  <c r="L249" i="1"/>
  <c r="Q309" i="1"/>
  <c r="P309" i="1"/>
  <c r="M309" i="1"/>
  <c r="L309" i="1"/>
  <c r="Q369" i="1"/>
  <c r="P369" i="1"/>
  <c r="L369" i="1"/>
  <c r="M369" i="1"/>
  <c r="Q202" i="1"/>
  <c r="P202" i="1"/>
  <c r="M202" i="1"/>
  <c r="L202" i="1"/>
  <c r="Q250" i="1"/>
  <c r="M250" i="1"/>
  <c r="P250" i="1"/>
  <c r="L250" i="1"/>
  <c r="Q310" i="1"/>
  <c r="M310" i="1"/>
  <c r="P310" i="1"/>
  <c r="L310" i="1"/>
  <c r="Q370" i="1"/>
  <c r="M370" i="1"/>
  <c r="P370" i="1"/>
  <c r="L370" i="1"/>
  <c r="Q430" i="1"/>
  <c r="M430" i="1"/>
  <c r="P430" i="1"/>
  <c r="L430" i="1"/>
  <c r="Q131" i="1"/>
  <c r="M131" i="1"/>
  <c r="P131" i="1"/>
  <c r="L131" i="1"/>
  <c r="Q203" i="1"/>
  <c r="P203" i="1"/>
  <c r="M203" i="1"/>
  <c r="L203" i="1"/>
  <c r="Q275" i="1"/>
  <c r="P275" i="1"/>
  <c r="M275" i="1"/>
  <c r="L275" i="1"/>
  <c r="Q419" i="1"/>
  <c r="P419" i="1"/>
  <c r="L419" i="1"/>
  <c r="M419" i="1"/>
  <c r="Q719" i="1"/>
  <c r="P719" i="1"/>
  <c r="M719" i="1"/>
  <c r="L719" i="1"/>
  <c r="Q240" i="1"/>
  <c r="P240" i="1"/>
  <c r="M240" i="1"/>
  <c r="L240" i="1"/>
  <c r="Q698" i="1"/>
  <c r="P698" i="1"/>
  <c r="M698" i="1"/>
  <c r="L698" i="1"/>
  <c r="Q630" i="1"/>
  <c r="P630" i="1"/>
  <c r="M630" i="1"/>
  <c r="L630" i="1"/>
  <c r="Q277" i="1"/>
  <c r="P277" i="1"/>
  <c r="M277" i="1"/>
  <c r="L277" i="1"/>
  <c r="Q637" i="1"/>
  <c r="P637" i="1"/>
  <c r="M637" i="1"/>
  <c r="L637" i="1"/>
  <c r="Q70" i="1"/>
  <c r="M70" i="1"/>
  <c r="P70" i="1"/>
  <c r="L70" i="1"/>
  <c r="Q110" i="1"/>
  <c r="P110" i="1"/>
  <c r="L110" i="1"/>
  <c r="M110" i="1"/>
  <c r="P254" i="1"/>
  <c r="Q254" i="1"/>
  <c r="M254" i="1"/>
  <c r="L254" i="1"/>
  <c r="Q398" i="1"/>
  <c r="P398" i="1"/>
  <c r="M398" i="1"/>
  <c r="L398" i="1"/>
  <c r="P470" i="1"/>
  <c r="Q470" i="1"/>
  <c r="L470" i="1"/>
  <c r="M470" i="1"/>
  <c r="Q554" i="1"/>
  <c r="P554" i="1"/>
  <c r="M554" i="1"/>
  <c r="L554" i="1"/>
  <c r="Q82" i="1"/>
  <c r="M82" i="1"/>
  <c r="P82" i="1"/>
  <c r="L82" i="1"/>
  <c r="Q36" i="1"/>
  <c r="P36" i="1"/>
  <c r="M36" i="1"/>
  <c r="L36" i="1"/>
  <c r="Q108" i="1"/>
  <c r="P108" i="1"/>
  <c r="L108" i="1"/>
  <c r="M108" i="1"/>
  <c r="Q180" i="1"/>
  <c r="P180" i="1"/>
  <c r="M180" i="1"/>
  <c r="L180" i="1"/>
  <c r="Q336" i="1"/>
  <c r="P336" i="1"/>
  <c r="M336" i="1"/>
  <c r="L336" i="1"/>
  <c r="Q408" i="1"/>
  <c r="P408" i="1"/>
  <c r="M408" i="1"/>
  <c r="L408" i="1"/>
  <c r="Q540" i="1"/>
  <c r="P540" i="1"/>
  <c r="M540" i="1"/>
  <c r="L540" i="1"/>
  <c r="P696" i="1"/>
  <c r="M696" i="1"/>
  <c r="Q696" i="1"/>
  <c r="L696" i="1"/>
  <c r="Q73" i="1"/>
  <c r="P73" i="1"/>
  <c r="M73" i="1"/>
  <c r="L73" i="1"/>
  <c r="Q145" i="1"/>
  <c r="M145" i="1"/>
  <c r="P145" i="1"/>
  <c r="L145" i="1"/>
  <c r="Q217" i="1"/>
  <c r="P217" i="1"/>
  <c r="M217" i="1"/>
  <c r="L217" i="1"/>
  <c r="Q289" i="1"/>
  <c r="M289" i="1"/>
  <c r="P289" i="1"/>
  <c r="L289" i="1"/>
  <c r="Q361" i="1"/>
  <c r="P361" i="1"/>
  <c r="M361" i="1"/>
  <c r="L361" i="1"/>
  <c r="Q433" i="1"/>
  <c r="P433" i="1"/>
  <c r="L433" i="1"/>
  <c r="M433" i="1"/>
  <c r="Q505" i="1"/>
  <c r="P505" i="1"/>
  <c r="M505" i="1"/>
  <c r="L505" i="1"/>
  <c r="Q577" i="1"/>
  <c r="P577" i="1"/>
  <c r="M577" i="1"/>
  <c r="L577" i="1"/>
  <c r="Q649" i="1"/>
  <c r="P649" i="1"/>
  <c r="M649" i="1"/>
  <c r="L649" i="1"/>
  <c r="Q26" i="1"/>
  <c r="P26" i="1"/>
  <c r="M26" i="1"/>
  <c r="L26" i="1"/>
  <c r="Q566" i="1"/>
  <c r="P566" i="1"/>
  <c r="M566" i="1"/>
  <c r="L566" i="1"/>
  <c r="Q99" i="1"/>
  <c r="P99" i="1"/>
  <c r="M99" i="1"/>
  <c r="L99" i="1"/>
  <c r="Q171" i="1"/>
  <c r="P171" i="1"/>
  <c r="M171" i="1"/>
  <c r="L171" i="1"/>
  <c r="Q279" i="1"/>
  <c r="P279" i="1"/>
  <c r="L279" i="1"/>
  <c r="M279" i="1"/>
  <c r="Q435" i="1"/>
  <c r="P435" i="1"/>
  <c r="M435" i="1"/>
  <c r="L435" i="1"/>
  <c r="P591" i="1"/>
  <c r="Q591" i="1"/>
  <c r="M591" i="1"/>
  <c r="L591" i="1"/>
  <c r="Q100" i="1"/>
  <c r="P100" i="1"/>
  <c r="M100" i="1"/>
  <c r="L100" i="1"/>
  <c r="Q172" i="1"/>
  <c r="P172" i="1"/>
  <c r="M172" i="1"/>
  <c r="L172" i="1"/>
  <c r="Q244" i="1"/>
  <c r="P244" i="1"/>
  <c r="M244" i="1"/>
  <c r="L244" i="1"/>
  <c r="Q316" i="1"/>
  <c r="P316" i="1"/>
  <c r="L316" i="1"/>
  <c r="M316" i="1"/>
  <c r="Q388" i="1"/>
  <c r="P388" i="1"/>
  <c r="M388" i="1"/>
  <c r="L388" i="1"/>
  <c r="Q460" i="1"/>
  <c r="P460" i="1"/>
  <c r="M460" i="1"/>
  <c r="L460" i="1"/>
  <c r="Q580" i="1"/>
  <c r="P580" i="1"/>
  <c r="M580" i="1"/>
  <c r="L580" i="1"/>
  <c r="P113" i="1"/>
  <c r="Q113" i="1"/>
  <c r="L113" i="1"/>
  <c r="M113" i="1"/>
  <c r="Q221" i="1"/>
  <c r="P221" i="1"/>
  <c r="M221" i="1"/>
  <c r="L221" i="1"/>
  <c r="Q377" i="1"/>
  <c r="P377" i="1"/>
  <c r="M377" i="1"/>
  <c r="L377" i="1"/>
  <c r="Q533" i="1"/>
  <c r="P533" i="1"/>
  <c r="M533" i="1"/>
  <c r="L533" i="1"/>
  <c r="Q680" i="1"/>
  <c r="P680" i="1"/>
  <c r="L680" i="1"/>
  <c r="M680" i="1"/>
  <c r="Q54" i="1"/>
  <c r="P54" i="1"/>
  <c r="M54" i="1"/>
  <c r="L54" i="1"/>
  <c r="Q198" i="1"/>
  <c r="P198" i="1"/>
  <c r="M198" i="1"/>
  <c r="L198" i="1"/>
  <c r="P366" i="1"/>
  <c r="Q366" i="1"/>
  <c r="L366" i="1"/>
  <c r="M366" i="1"/>
  <c r="P522" i="1"/>
  <c r="Q522" i="1"/>
  <c r="M522" i="1"/>
  <c r="L522" i="1"/>
  <c r="P666" i="1"/>
  <c r="Q666" i="1"/>
  <c r="M666" i="1"/>
  <c r="L666" i="1"/>
  <c r="Q67" i="1"/>
  <c r="P67" i="1"/>
  <c r="M67" i="1"/>
  <c r="L67" i="1"/>
  <c r="Q175" i="1"/>
  <c r="P175" i="1"/>
  <c r="M175" i="1"/>
  <c r="L175" i="1"/>
  <c r="Q331" i="1"/>
  <c r="P331" i="1"/>
  <c r="M331" i="1"/>
  <c r="L331" i="1"/>
  <c r="P663" i="1"/>
  <c r="Q663" i="1"/>
  <c r="M663" i="1"/>
  <c r="L663" i="1"/>
  <c r="P713" i="1"/>
  <c r="Q713" i="1"/>
  <c r="M713" i="1"/>
  <c r="L713" i="1"/>
  <c r="P688" i="1"/>
  <c r="Q688" i="1"/>
  <c r="M688" i="1"/>
  <c r="L688" i="1"/>
  <c r="Q681" i="1"/>
  <c r="P681" i="1"/>
  <c r="L681" i="1"/>
  <c r="M681" i="1"/>
  <c r="P633" i="1"/>
  <c r="Q487" i="1"/>
  <c r="P487" i="1"/>
  <c r="M487" i="1"/>
  <c r="L487" i="1"/>
  <c r="Q583" i="1"/>
  <c r="P583" i="1"/>
  <c r="M583" i="1"/>
  <c r="L583" i="1"/>
  <c r="Q453" i="1"/>
  <c r="P453" i="1"/>
  <c r="M453" i="1"/>
  <c r="L453" i="1"/>
  <c r="Q490" i="1"/>
  <c r="M490" i="1"/>
  <c r="P490" i="1"/>
  <c r="L490" i="1"/>
  <c r="Q550" i="1"/>
  <c r="P550" i="1"/>
  <c r="M550" i="1"/>
  <c r="L550" i="1"/>
  <c r="Q610" i="1"/>
  <c r="P610" i="1"/>
  <c r="M610" i="1"/>
  <c r="L610" i="1"/>
  <c r="Q670" i="1"/>
  <c r="M670" i="1"/>
  <c r="P670" i="1"/>
  <c r="L670" i="1"/>
  <c r="Q59" i="1"/>
  <c r="M59" i="1"/>
  <c r="P59" i="1"/>
  <c r="L59" i="1"/>
  <c r="Q347" i="1"/>
  <c r="P347" i="1"/>
  <c r="M347" i="1"/>
  <c r="L347" i="1"/>
  <c r="Q503" i="1"/>
  <c r="P503" i="1"/>
  <c r="L503" i="1"/>
  <c r="M503" i="1"/>
  <c r="P575" i="1"/>
  <c r="Q575" i="1"/>
  <c r="M575" i="1"/>
  <c r="L575" i="1"/>
  <c r="Q504" i="1"/>
  <c r="P504" i="1"/>
  <c r="M504" i="1"/>
  <c r="L504" i="1"/>
  <c r="Q399" i="1"/>
  <c r="P399" i="1"/>
  <c r="L399" i="1"/>
  <c r="M399" i="1"/>
  <c r="Q58" i="1"/>
  <c r="P58" i="1"/>
  <c r="M58" i="1"/>
  <c r="L58" i="1"/>
  <c r="P672" i="1"/>
  <c r="M672" i="1"/>
  <c r="Q672" i="1"/>
  <c r="L672" i="1"/>
  <c r="Q421" i="1"/>
  <c r="P421" i="1"/>
  <c r="L421" i="1"/>
  <c r="M421" i="1"/>
  <c r="P710" i="1"/>
  <c r="Q710" i="1"/>
  <c r="M710" i="1"/>
  <c r="L710" i="1"/>
  <c r="Q88" i="1"/>
  <c r="P88" i="1"/>
  <c r="M88" i="1"/>
  <c r="L88" i="1"/>
  <c r="Q684" i="1"/>
  <c r="P684" i="1"/>
  <c r="M684" i="1"/>
  <c r="L684" i="1"/>
  <c r="Q94" i="1"/>
  <c r="M94" i="1"/>
  <c r="P94" i="1"/>
  <c r="L94" i="1"/>
  <c r="Q264" i="1"/>
  <c r="P264" i="1"/>
  <c r="L264" i="1"/>
  <c r="M264" i="1"/>
  <c r="Q552" i="1"/>
  <c r="P552" i="1"/>
  <c r="M552" i="1"/>
  <c r="L552" i="1"/>
  <c r="Q708" i="1"/>
  <c r="P708" i="1"/>
  <c r="M708" i="1"/>
  <c r="L708" i="1"/>
  <c r="Q38" i="1"/>
  <c r="P38" i="1"/>
  <c r="M38" i="1"/>
  <c r="L38" i="1"/>
  <c r="Q122" i="1"/>
  <c r="P122" i="1"/>
  <c r="M122" i="1"/>
  <c r="L122" i="1"/>
  <c r="Q194" i="1"/>
  <c r="P194" i="1"/>
  <c r="M194" i="1"/>
  <c r="L194" i="1"/>
  <c r="Q266" i="1"/>
  <c r="P266" i="1"/>
  <c r="L266" i="1"/>
  <c r="M266" i="1"/>
  <c r="Q338" i="1"/>
  <c r="P338" i="1"/>
  <c r="L338" i="1"/>
  <c r="M338" i="1"/>
  <c r="Q410" i="1"/>
  <c r="P410" i="1"/>
  <c r="M410" i="1"/>
  <c r="L410" i="1"/>
  <c r="Q482" i="1"/>
  <c r="P482" i="1"/>
  <c r="M482" i="1"/>
  <c r="L482" i="1"/>
  <c r="Q578" i="1"/>
  <c r="P578" i="1"/>
  <c r="L578" i="1"/>
  <c r="M578" i="1"/>
  <c r="Q111" i="1"/>
  <c r="M111" i="1"/>
  <c r="P111" i="1"/>
  <c r="L111" i="1"/>
  <c r="Q291" i="1"/>
  <c r="P291" i="1"/>
  <c r="L291" i="1"/>
  <c r="M291" i="1"/>
  <c r="Q447" i="1"/>
  <c r="P447" i="1"/>
  <c r="M447" i="1"/>
  <c r="L447" i="1"/>
  <c r="Q603" i="1"/>
  <c r="P603" i="1"/>
  <c r="M603" i="1"/>
  <c r="L603" i="1"/>
  <c r="Q592" i="1"/>
  <c r="P592" i="1"/>
  <c r="L592" i="1"/>
  <c r="M592" i="1"/>
  <c r="Q233" i="1"/>
  <c r="P233" i="1"/>
  <c r="L233" i="1"/>
  <c r="M233" i="1"/>
  <c r="Q401" i="1"/>
  <c r="P401" i="1"/>
  <c r="M401" i="1"/>
  <c r="L401" i="1"/>
  <c r="Q557" i="1"/>
  <c r="P557" i="1"/>
  <c r="M557" i="1"/>
  <c r="L557" i="1"/>
  <c r="Q66" i="1"/>
  <c r="P66" i="1"/>
  <c r="L66" i="1"/>
  <c r="M66" i="1"/>
  <c r="Q210" i="1"/>
  <c r="P210" i="1"/>
  <c r="M210" i="1"/>
  <c r="L210" i="1"/>
  <c r="P378" i="1"/>
  <c r="Q378" i="1"/>
  <c r="L378" i="1"/>
  <c r="M378" i="1"/>
  <c r="P534" i="1"/>
  <c r="Q534" i="1"/>
  <c r="M534" i="1"/>
  <c r="L534" i="1"/>
  <c r="Q678" i="1"/>
  <c r="P678" i="1"/>
  <c r="M678" i="1"/>
  <c r="L678" i="1"/>
  <c r="Q187" i="1"/>
  <c r="P187" i="1"/>
  <c r="M187" i="1"/>
  <c r="L187" i="1"/>
  <c r="Q343" i="1"/>
  <c r="P343" i="1"/>
  <c r="L343" i="1"/>
  <c r="M343" i="1"/>
  <c r="Q32" i="1"/>
  <c r="P32" i="1"/>
  <c r="M32" i="1"/>
  <c r="L32" i="1"/>
  <c r="P116" i="1"/>
  <c r="P188" i="1"/>
  <c r="P260" i="1"/>
  <c r="P392" i="1"/>
  <c r="P464" i="1"/>
  <c r="P632" i="1"/>
  <c r="Q545" i="1"/>
  <c r="P545" i="1"/>
  <c r="M545" i="1"/>
  <c r="L545" i="1"/>
  <c r="Q465" i="1"/>
  <c r="P465" i="1"/>
  <c r="M465" i="1"/>
  <c r="L465" i="1"/>
  <c r="Q701" i="1"/>
  <c r="P701" i="1"/>
  <c r="M701" i="1"/>
  <c r="L701" i="1"/>
  <c r="Q499" i="1"/>
  <c r="P499" i="1"/>
  <c r="M499" i="1"/>
  <c r="L499" i="1"/>
  <c r="Q667" i="1"/>
  <c r="P667" i="1"/>
  <c r="M667" i="1"/>
  <c r="L667" i="1"/>
  <c r="P57" i="1"/>
  <c r="Q57" i="1"/>
  <c r="M57" i="1"/>
  <c r="L57" i="1"/>
  <c r="Q117" i="1"/>
  <c r="P117" i="1"/>
  <c r="M117" i="1"/>
  <c r="L117" i="1"/>
  <c r="Q525" i="1"/>
  <c r="P525" i="1"/>
  <c r="M525" i="1"/>
  <c r="L525" i="1"/>
  <c r="Q262" i="1"/>
  <c r="M262" i="1"/>
  <c r="P262" i="1"/>
  <c r="L262" i="1"/>
  <c r="P382" i="1"/>
  <c r="Q706" i="1"/>
  <c r="M706" i="1"/>
  <c r="P706" i="1"/>
  <c r="L706" i="1"/>
  <c r="Q287" i="1"/>
  <c r="M287" i="1"/>
  <c r="P287" i="1"/>
  <c r="L287" i="1"/>
  <c r="P431" i="1"/>
  <c r="Q431" i="1"/>
  <c r="M431" i="1"/>
  <c r="L431" i="1"/>
  <c r="Q515" i="1"/>
  <c r="P515" i="1"/>
  <c r="M515" i="1"/>
  <c r="L515" i="1"/>
  <c r="P587" i="1"/>
  <c r="Q587" i="1"/>
  <c r="L587" i="1"/>
  <c r="M587" i="1"/>
  <c r="P659" i="1"/>
  <c r="Q659" i="1"/>
  <c r="L659" i="1"/>
  <c r="M659" i="1"/>
  <c r="Q243" i="1"/>
  <c r="P243" i="1"/>
  <c r="L243" i="1"/>
  <c r="M243" i="1"/>
  <c r="Q497" i="1"/>
  <c r="P497" i="1"/>
  <c r="M497" i="1"/>
  <c r="L497" i="1"/>
  <c r="Q567" i="1"/>
  <c r="P567" i="1"/>
  <c r="M567" i="1"/>
  <c r="L567" i="1"/>
  <c r="P445" i="1"/>
  <c r="Q445" i="1"/>
  <c r="L445" i="1"/>
  <c r="M445" i="1"/>
  <c r="P589" i="1"/>
  <c r="Q589" i="1"/>
  <c r="L589" i="1"/>
  <c r="M589" i="1"/>
  <c r="P661" i="1"/>
  <c r="Q661" i="1"/>
  <c r="L661" i="1"/>
  <c r="M661" i="1"/>
  <c r="Q590" i="1"/>
  <c r="P590" i="1"/>
  <c r="M590" i="1"/>
  <c r="L590" i="1"/>
  <c r="Q183" i="1"/>
  <c r="M183" i="1"/>
  <c r="P183" i="1"/>
  <c r="L183" i="1"/>
  <c r="Q303" i="1"/>
  <c r="P303" i="1"/>
  <c r="M303" i="1"/>
  <c r="L303" i="1"/>
  <c r="P459" i="1"/>
  <c r="Q459" i="1"/>
  <c r="M459" i="1"/>
  <c r="L459" i="1"/>
  <c r="P615" i="1"/>
  <c r="Q615" i="1"/>
  <c r="M615" i="1"/>
  <c r="L615" i="1"/>
  <c r="Q112" i="1"/>
  <c r="P112" i="1"/>
  <c r="M112" i="1"/>
  <c r="L112" i="1"/>
  <c r="Q184" i="1"/>
  <c r="M184" i="1"/>
  <c r="P184" i="1"/>
  <c r="L184" i="1"/>
  <c r="Q256" i="1"/>
  <c r="P256" i="1"/>
  <c r="M256" i="1"/>
  <c r="L256" i="1"/>
  <c r="Q328" i="1"/>
  <c r="P328" i="1"/>
  <c r="M328" i="1"/>
  <c r="L328" i="1"/>
  <c r="Q400" i="1"/>
  <c r="P400" i="1"/>
  <c r="M400" i="1"/>
  <c r="L400" i="1"/>
  <c r="Q472" i="1"/>
  <c r="P472" i="1"/>
  <c r="M472" i="1"/>
  <c r="L472" i="1"/>
  <c r="Q604" i="1"/>
  <c r="P604" i="1"/>
  <c r="M604" i="1"/>
  <c r="L604" i="1"/>
  <c r="P125" i="1"/>
  <c r="Q125" i="1"/>
  <c r="L125" i="1"/>
  <c r="M125" i="1"/>
  <c r="Q245" i="1"/>
  <c r="P245" i="1"/>
  <c r="L245" i="1"/>
  <c r="M245" i="1"/>
  <c r="Q413" i="1"/>
  <c r="P413" i="1"/>
  <c r="M413" i="1"/>
  <c r="L413" i="1"/>
  <c r="Q569" i="1"/>
  <c r="P569" i="1"/>
  <c r="M569" i="1"/>
  <c r="L569" i="1"/>
  <c r="Q78" i="1"/>
  <c r="P78" i="1"/>
  <c r="M78" i="1"/>
  <c r="L78" i="1"/>
  <c r="Q222" i="1"/>
  <c r="P222" i="1"/>
  <c r="M222" i="1"/>
  <c r="L222" i="1"/>
  <c r="P390" i="1"/>
  <c r="Q390" i="1"/>
  <c r="L390" i="1"/>
  <c r="M390" i="1"/>
  <c r="Q546" i="1"/>
  <c r="P546" i="1"/>
  <c r="M546" i="1"/>
  <c r="L546" i="1"/>
  <c r="Q690" i="1"/>
  <c r="P690" i="1"/>
  <c r="M690" i="1"/>
  <c r="L690" i="1"/>
  <c r="Q79" i="1"/>
  <c r="P79" i="1"/>
  <c r="M79" i="1"/>
  <c r="L79" i="1"/>
  <c r="Q199" i="1"/>
  <c r="P199" i="1"/>
  <c r="M199" i="1"/>
  <c r="L199" i="1"/>
  <c r="Q367" i="1"/>
  <c r="P367" i="1"/>
  <c r="M367" i="1"/>
  <c r="L367" i="1"/>
  <c r="P560" i="1"/>
  <c r="Q668" i="1"/>
  <c r="Q466" i="1"/>
  <c r="M466" i="1"/>
  <c r="P466" i="1"/>
  <c r="L466" i="1"/>
  <c r="Q467" i="1"/>
  <c r="P467" i="1"/>
  <c r="L467" i="1"/>
  <c r="M467" i="1"/>
  <c r="Q585" i="1"/>
  <c r="P585" i="1"/>
  <c r="L585" i="1"/>
  <c r="M585" i="1"/>
  <c r="P5" i="1"/>
  <c r="P261" i="1"/>
  <c r="P405" i="1"/>
  <c r="P322" i="1"/>
  <c r="P442" i="1"/>
  <c r="Q502" i="1"/>
  <c r="P502" i="1"/>
  <c r="M502" i="1"/>
  <c r="L502" i="1"/>
  <c r="Q562" i="1"/>
  <c r="P562" i="1"/>
  <c r="M562" i="1"/>
  <c r="L562" i="1"/>
  <c r="Q622" i="1"/>
  <c r="P622" i="1"/>
  <c r="M622" i="1"/>
  <c r="L622" i="1"/>
  <c r="Q682" i="1"/>
  <c r="M682" i="1"/>
  <c r="P682" i="1"/>
  <c r="L682" i="1"/>
  <c r="Q71" i="1"/>
  <c r="P71" i="1"/>
  <c r="M71" i="1"/>
  <c r="L71" i="1"/>
  <c r="Q143" i="1"/>
  <c r="M143" i="1"/>
  <c r="P143" i="1"/>
  <c r="L143" i="1"/>
  <c r="P215" i="1"/>
  <c r="Q215" i="1"/>
  <c r="M215" i="1"/>
  <c r="L215" i="1"/>
  <c r="P359" i="1"/>
  <c r="Q359" i="1"/>
  <c r="M359" i="1"/>
  <c r="L359" i="1"/>
  <c r="P306" i="1"/>
  <c r="Q306" i="1"/>
  <c r="M306" i="1"/>
  <c r="L306" i="1"/>
  <c r="Q168" i="1"/>
  <c r="P168" i="1"/>
  <c r="M168" i="1"/>
  <c r="L168" i="1"/>
  <c r="Q120" i="1"/>
  <c r="P120" i="1"/>
  <c r="M120" i="1"/>
  <c r="L120" i="1"/>
  <c r="Q192" i="1"/>
  <c r="P192" i="1"/>
  <c r="L192" i="1"/>
  <c r="M192" i="1"/>
  <c r="Q564" i="1"/>
  <c r="P564" i="1"/>
  <c r="M564" i="1"/>
  <c r="L564" i="1"/>
  <c r="Q576" i="1"/>
  <c r="P576" i="1"/>
  <c r="M576" i="1"/>
  <c r="L576" i="1"/>
  <c r="Q9" i="1"/>
  <c r="P9" i="1"/>
  <c r="M9" i="1"/>
  <c r="Q62" i="1"/>
  <c r="P62" i="1"/>
  <c r="M62" i="1"/>
  <c r="L62" i="1"/>
  <c r="Q134" i="1"/>
  <c r="P134" i="1"/>
  <c r="M134" i="1"/>
  <c r="L134" i="1"/>
  <c r="Q206" i="1"/>
  <c r="P206" i="1"/>
  <c r="M206" i="1"/>
  <c r="L206" i="1"/>
  <c r="Q278" i="1"/>
  <c r="P278" i="1"/>
  <c r="M278" i="1"/>
  <c r="L278" i="1"/>
  <c r="Q350" i="1"/>
  <c r="P350" i="1"/>
  <c r="M350" i="1"/>
  <c r="L350" i="1"/>
  <c r="Q422" i="1"/>
  <c r="P422" i="1"/>
  <c r="L422" i="1"/>
  <c r="M422" i="1"/>
  <c r="Q494" i="1"/>
  <c r="P494" i="1"/>
  <c r="M494" i="1"/>
  <c r="L494" i="1"/>
  <c r="Q602" i="1"/>
  <c r="P602" i="1"/>
  <c r="L602" i="1"/>
  <c r="M602" i="1"/>
  <c r="Q315" i="1"/>
  <c r="P315" i="1"/>
  <c r="L315" i="1"/>
  <c r="M315" i="1"/>
  <c r="Q471" i="1"/>
  <c r="P471" i="1"/>
  <c r="M471" i="1"/>
  <c r="L471" i="1"/>
  <c r="Q627" i="1"/>
  <c r="P627" i="1"/>
  <c r="M627" i="1"/>
  <c r="L627" i="1"/>
  <c r="P616" i="1"/>
  <c r="Q616" i="1"/>
  <c r="M616" i="1"/>
  <c r="L616" i="1"/>
  <c r="Q29" i="1"/>
  <c r="P29" i="1"/>
  <c r="M29" i="1"/>
  <c r="L29" i="1"/>
  <c r="P257" i="1"/>
  <c r="Q257" i="1"/>
  <c r="M257" i="1"/>
  <c r="L257" i="1"/>
  <c r="Q425" i="1"/>
  <c r="P425" i="1"/>
  <c r="M425" i="1"/>
  <c r="L425" i="1"/>
  <c r="Q581" i="1"/>
  <c r="P581" i="1"/>
  <c r="M581" i="1"/>
  <c r="L581" i="1"/>
  <c r="Q90" i="1"/>
  <c r="P90" i="1"/>
  <c r="L90" i="1"/>
  <c r="M90" i="1"/>
  <c r="Q234" i="1"/>
  <c r="P234" i="1"/>
  <c r="M234" i="1"/>
  <c r="L234" i="1"/>
  <c r="Q402" i="1"/>
  <c r="P402" i="1"/>
  <c r="M402" i="1"/>
  <c r="L402" i="1"/>
  <c r="P558" i="1"/>
  <c r="Q558" i="1"/>
  <c r="M558" i="1"/>
  <c r="L558" i="1"/>
  <c r="Q702" i="1"/>
  <c r="P702" i="1"/>
  <c r="M702" i="1"/>
  <c r="L702" i="1"/>
  <c r="Q211" i="1"/>
  <c r="P211" i="1"/>
  <c r="M211" i="1"/>
  <c r="L211" i="1"/>
  <c r="Q379" i="1"/>
  <c r="P379" i="1"/>
  <c r="L379" i="1"/>
  <c r="M379" i="1"/>
  <c r="Q44" i="1"/>
  <c r="P44" i="1"/>
  <c r="M44" i="1"/>
  <c r="L44" i="1"/>
  <c r="Q21" i="1"/>
  <c r="P21" i="1"/>
  <c r="M21" i="1"/>
  <c r="L21" i="1"/>
  <c r="Q396" i="1"/>
  <c r="P14" i="1"/>
  <c r="Q511" i="1"/>
  <c r="P511" i="1"/>
  <c r="L511" i="1"/>
  <c r="M511" i="1"/>
  <c r="Q595" i="1"/>
  <c r="P595" i="1"/>
  <c r="M595" i="1"/>
  <c r="L595" i="1"/>
  <c r="Q679" i="1"/>
  <c r="P679" i="1"/>
  <c r="M679" i="1"/>
  <c r="L679" i="1"/>
  <c r="Q8" i="1"/>
  <c r="Q69" i="1"/>
  <c r="P69" i="1"/>
  <c r="L69" i="1"/>
  <c r="M69" i="1"/>
  <c r="P165" i="1"/>
  <c r="Q537" i="1"/>
  <c r="P537" i="1"/>
  <c r="M537" i="1"/>
  <c r="L537" i="1"/>
  <c r="Q274" i="1"/>
  <c r="P274" i="1"/>
  <c r="M274" i="1"/>
  <c r="L274" i="1"/>
  <c r="Q371" i="1"/>
  <c r="P371" i="1"/>
  <c r="M371" i="1"/>
  <c r="L371" i="1"/>
  <c r="Q527" i="1"/>
  <c r="P527" i="1"/>
  <c r="L527" i="1"/>
  <c r="M527" i="1"/>
  <c r="P162" i="1"/>
  <c r="Q162" i="1"/>
  <c r="M162" i="1"/>
  <c r="L162" i="1"/>
  <c r="Q376" i="1"/>
  <c r="P376" i="1"/>
  <c r="M376" i="1"/>
  <c r="L376" i="1"/>
  <c r="Q24" i="1"/>
  <c r="P24" i="1"/>
  <c r="M24" i="1"/>
  <c r="L24" i="1"/>
  <c r="Q528" i="1"/>
  <c r="P528" i="1"/>
  <c r="M528" i="1"/>
  <c r="L528" i="1"/>
  <c r="Q721" i="1"/>
  <c r="P721" i="1"/>
  <c r="M721" i="1"/>
  <c r="L721" i="1"/>
  <c r="Q348" i="1"/>
  <c r="P348" i="1"/>
  <c r="M348" i="1"/>
  <c r="L348" i="1"/>
  <c r="Q420" i="1"/>
  <c r="P420" i="1"/>
  <c r="L420" i="1"/>
  <c r="M420" i="1"/>
  <c r="Q720" i="1"/>
  <c r="P720" i="1"/>
  <c r="M720" i="1"/>
  <c r="L720" i="1"/>
  <c r="Q85" i="1"/>
  <c r="P85" i="1"/>
  <c r="M85" i="1"/>
  <c r="L85" i="1"/>
  <c r="Q157" i="1"/>
  <c r="M157" i="1"/>
  <c r="P157" i="1"/>
  <c r="L157" i="1"/>
  <c r="Q229" i="1"/>
  <c r="M229" i="1"/>
  <c r="P229" i="1"/>
  <c r="L229" i="1"/>
  <c r="Q301" i="1"/>
  <c r="M301" i="1"/>
  <c r="P301" i="1"/>
  <c r="L301" i="1"/>
  <c r="Q517" i="1"/>
  <c r="P517" i="1"/>
  <c r="L517" i="1"/>
  <c r="M517" i="1"/>
  <c r="Q50" i="1"/>
  <c r="P50" i="1"/>
  <c r="M50" i="1"/>
  <c r="L50" i="1"/>
  <c r="L11" i="1"/>
  <c r="Q118" i="1"/>
  <c r="M118" i="1"/>
  <c r="P118" i="1"/>
  <c r="L118" i="1"/>
  <c r="Q60" i="1"/>
  <c r="P60" i="1"/>
  <c r="L60" i="1"/>
  <c r="M60" i="1"/>
  <c r="Q288" i="1"/>
  <c r="P288" i="1"/>
  <c r="M288" i="1"/>
  <c r="L288" i="1"/>
  <c r="Q444" i="1"/>
  <c r="P444" i="1"/>
  <c r="L444" i="1"/>
  <c r="M444" i="1"/>
  <c r="Q169" i="1"/>
  <c r="P169" i="1"/>
  <c r="M169" i="1"/>
  <c r="L169" i="1"/>
  <c r="Q313" i="1"/>
  <c r="M313" i="1"/>
  <c r="P313" i="1"/>
  <c r="L313" i="1"/>
  <c r="Q457" i="1"/>
  <c r="P457" i="1"/>
  <c r="L457" i="1"/>
  <c r="M457" i="1"/>
  <c r="Q529" i="1"/>
  <c r="P529" i="1"/>
  <c r="L529" i="1"/>
  <c r="M529" i="1"/>
  <c r="Q601" i="1"/>
  <c r="P601" i="1"/>
  <c r="L601" i="1"/>
  <c r="M601" i="1"/>
  <c r="Q673" i="1"/>
  <c r="P673" i="1"/>
  <c r="L673" i="1"/>
  <c r="M673" i="1"/>
  <c r="P614" i="1"/>
  <c r="Q614" i="1"/>
  <c r="L614" i="1"/>
  <c r="M614" i="1"/>
  <c r="Q27" i="1"/>
  <c r="P27" i="1"/>
  <c r="M27" i="1"/>
  <c r="L27" i="1"/>
  <c r="P123" i="1"/>
  <c r="Q123" i="1"/>
  <c r="M123" i="1"/>
  <c r="L123" i="1"/>
  <c r="Q195" i="1"/>
  <c r="M195" i="1"/>
  <c r="P195" i="1"/>
  <c r="L195" i="1"/>
  <c r="Q327" i="1"/>
  <c r="P327" i="1"/>
  <c r="L327" i="1"/>
  <c r="M327" i="1"/>
  <c r="Q483" i="1"/>
  <c r="P483" i="1"/>
  <c r="M483" i="1"/>
  <c r="L483" i="1"/>
  <c r="Q651" i="1"/>
  <c r="P651" i="1"/>
  <c r="M651" i="1"/>
  <c r="L651" i="1"/>
  <c r="Q124" i="1"/>
  <c r="P124" i="1"/>
  <c r="M124" i="1"/>
  <c r="L124" i="1"/>
  <c r="Q196" i="1"/>
  <c r="M196" i="1"/>
  <c r="P196" i="1"/>
  <c r="L196" i="1"/>
  <c r="Q268" i="1"/>
  <c r="M268" i="1"/>
  <c r="P268" i="1"/>
  <c r="L268" i="1"/>
  <c r="Q340" i="1"/>
  <c r="P340" i="1"/>
  <c r="L340" i="1"/>
  <c r="M340" i="1"/>
  <c r="Q412" i="1"/>
  <c r="P412" i="1"/>
  <c r="M412" i="1"/>
  <c r="L412" i="1"/>
  <c r="Q484" i="1"/>
  <c r="P484" i="1"/>
  <c r="M484" i="1"/>
  <c r="L484" i="1"/>
  <c r="Q628" i="1"/>
  <c r="P628" i="1"/>
  <c r="M628" i="1"/>
  <c r="L628" i="1"/>
  <c r="Q137" i="1"/>
  <c r="P137" i="1"/>
  <c r="M137" i="1"/>
  <c r="L137" i="1"/>
  <c r="Q269" i="1"/>
  <c r="P269" i="1"/>
  <c r="M269" i="1"/>
  <c r="L269" i="1"/>
  <c r="Q437" i="1"/>
  <c r="P437" i="1"/>
  <c r="M437" i="1"/>
  <c r="L437" i="1"/>
  <c r="Q593" i="1"/>
  <c r="P593" i="1"/>
  <c r="M593" i="1"/>
  <c r="L593" i="1"/>
  <c r="Q102" i="1"/>
  <c r="P102" i="1"/>
  <c r="M102" i="1"/>
  <c r="L102" i="1"/>
  <c r="Q246" i="1"/>
  <c r="P246" i="1"/>
  <c r="M246" i="1"/>
  <c r="L246" i="1"/>
  <c r="P414" i="1"/>
  <c r="Q414" i="1"/>
  <c r="M414" i="1"/>
  <c r="L414" i="1"/>
  <c r="P570" i="1"/>
  <c r="Q570" i="1"/>
  <c r="M570" i="1"/>
  <c r="L570" i="1"/>
  <c r="P714" i="1"/>
  <c r="Q714" i="1"/>
  <c r="M714" i="1"/>
  <c r="L714" i="1"/>
  <c r="Q91" i="1"/>
  <c r="P91" i="1"/>
  <c r="M91" i="1"/>
  <c r="L91" i="1"/>
  <c r="Q235" i="1"/>
  <c r="P235" i="1"/>
  <c r="M235" i="1"/>
  <c r="L235" i="1"/>
  <c r="Q391" i="1"/>
  <c r="P391" i="1"/>
  <c r="L391" i="1"/>
  <c r="M391" i="1"/>
  <c r="P381" i="1"/>
  <c r="Q23" i="1"/>
  <c r="P23" i="1"/>
  <c r="M23" i="1"/>
  <c r="L23" i="1"/>
  <c r="Q14" i="1"/>
  <c r="P689" i="1"/>
  <c r="Q689" i="1"/>
  <c r="L689" i="1"/>
  <c r="M689" i="1"/>
  <c r="Q353" i="1"/>
  <c r="P353" i="1"/>
  <c r="L353" i="1"/>
  <c r="M353" i="1"/>
  <c r="Q15" i="1"/>
  <c r="Q691" i="1"/>
  <c r="P691" i="1"/>
  <c r="M691" i="1"/>
  <c r="L691" i="1"/>
  <c r="Q669" i="1"/>
  <c r="P669" i="1"/>
  <c r="L669" i="1"/>
  <c r="M669" i="1"/>
  <c r="Q129" i="1"/>
  <c r="P129" i="1"/>
  <c r="M129" i="1"/>
  <c r="L129" i="1"/>
  <c r="Q634" i="1"/>
  <c r="M634" i="1"/>
  <c r="P634" i="1"/>
  <c r="L634" i="1"/>
  <c r="Q694" i="1"/>
  <c r="M694" i="1"/>
  <c r="P694" i="1"/>
  <c r="L694" i="1"/>
  <c r="Q83" i="1"/>
  <c r="M83" i="1"/>
  <c r="P83" i="1"/>
  <c r="L83" i="1"/>
  <c r="Q155" i="1"/>
  <c r="M155" i="1"/>
  <c r="P155" i="1"/>
  <c r="L155" i="1"/>
  <c r="Q227" i="1"/>
  <c r="M227" i="1"/>
  <c r="P227" i="1"/>
  <c r="L227" i="1"/>
  <c r="Q299" i="1"/>
  <c r="M299" i="1"/>
  <c r="P299" i="1"/>
  <c r="L299" i="1"/>
  <c r="Q443" i="1"/>
  <c r="P443" i="1"/>
  <c r="L443" i="1"/>
  <c r="M443" i="1"/>
  <c r="Q599" i="1"/>
  <c r="P599" i="1"/>
  <c r="L599" i="1"/>
  <c r="M599" i="1"/>
  <c r="P671" i="1"/>
  <c r="Q671" i="1"/>
  <c r="L671" i="1"/>
  <c r="M671" i="1"/>
  <c r="Q516" i="1"/>
  <c r="P516" i="1"/>
  <c r="M516" i="1"/>
  <c r="L516" i="1"/>
  <c r="Q205" i="1"/>
  <c r="P205" i="1"/>
  <c r="M205" i="1"/>
  <c r="L205" i="1"/>
  <c r="Q565" i="1"/>
  <c r="P565" i="1"/>
  <c r="M565" i="1"/>
  <c r="L565" i="1"/>
  <c r="Q160" i="1"/>
  <c r="M160" i="1"/>
  <c r="P160" i="1"/>
  <c r="L160" i="1"/>
  <c r="Q324" i="1"/>
  <c r="P324" i="1"/>
  <c r="M324" i="1"/>
  <c r="L324" i="1"/>
  <c r="Q182" i="1"/>
  <c r="P182" i="1"/>
  <c r="M182" i="1"/>
  <c r="L182" i="1"/>
  <c r="Q106" i="1"/>
  <c r="M106" i="1"/>
  <c r="P106" i="1"/>
  <c r="L106" i="1"/>
  <c r="Q48" i="1"/>
  <c r="P48" i="1"/>
  <c r="M48" i="1"/>
  <c r="L48" i="1"/>
  <c r="Q373" i="1"/>
  <c r="P373" i="1"/>
  <c r="M373" i="1"/>
  <c r="L373" i="1"/>
  <c r="Q276" i="1"/>
  <c r="P276" i="1"/>
  <c r="M276" i="1"/>
  <c r="L276" i="1"/>
  <c r="Q130" i="1"/>
  <c r="M130" i="1"/>
  <c r="P130" i="1"/>
  <c r="L130" i="1"/>
  <c r="Q132" i="1"/>
  <c r="P132" i="1"/>
  <c r="L132" i="1"/>
  <c r="M132" i="1"/>
  <c r="Q204" i="1"/>
  <c r="P204" i="1"/>
  <c r="M204" i="1"/>
  <c r="L204" i="1"/>
  <c r="P588" i="1"/>
  <c r="Q588" i="1"/>
  <c r="M588" i="1"/>
  <c r="L588" i="1"/>
  <c r="Q97" i="1"/>
  <c r="P97" i="1"/>
  <c r="M97" i="1"/>
  <c r="L97" i="1"/>
  <c r="Q241" i="1"/>
  <c r="P241" i="1"/>
  <c r="M241" i="1"/>
  <c r="L241" i="1"/>
  <c r="Q385" i="1"/>
  <c r="P385" i="1"/>
  <c r="M385" i="1"/>
  <c r="L385" i="1"/>
  <c r="Q142" i="1"/>
  <c r="M142" i="1"/>
  <c r="P142" i="1"/>
  <c r="L142" i="1"/>
  <c r="Q360" i="1"/>
  <c r="P360" i="1"/>
  <c r="M360" i="1"/>
  <c r="L360" i="1"/>
  <c r="P456" i="1"/>
  <c r="Q456" i="1"/>
  <c r="M456" i="1"/>
  <c r="L456" i="1"/>
  <c r="Q600" i="1"/>
  <c r="P600" i="1"/>
  <c r="M600" i="1"/>
  <c r="L600" i="1"/>
  <c r="Q25" i="1"/>
  <c r="P25" i="1"/>
  <c r="M25" i="1"/>
  <c r="L25" i="1"/>
  <c r="Q74" i="1"/>
  <c r="P74" i="1"/>
  <c r="M74" i="1"/>
  <c r="L74" i="1"/>
  <c r="Q146" i="1"/>
  <c r="P146" i="1"/>
  <c r="L146" i="1"/>
  <c r="M146" i="1"/>
  <c r="P218" i="1"/>
  <c r="Q218" i="1"/>
  <c r="M218" i="1"/>
  <c r="L218" i="1"/>
  <c r="P290" i="1"/>
  <c r="Q290" i="1"/>
  <c r="M290" i="1"/>
  <c r="L290" i="1"/>
  <c r="Q362" i="1"/>
  <c r="M362" i="1"/>
  <c r="P362" i="1"/>
  <c r="L362" i="1"/>
  <c r="Q434" i="1"/>
  <c r="P434" i="1"/>
  <c r="M434" i="1"/>
  <c r="L434" i="1"/>
  <c r="Q506" i="1"/>
  <c r="P506" i="1"/>
  <c r="M506" i="1"/>
  <c r="L506" i="1"/>
  <c r="Q626" i="1"/>
  <c r="P626" i="1"/>
  <c r="M626" i="1"/>
  <c r="L626" i="1"/>
  <c r="Q39" i="1"/>
  <c r="M39" i="1"/>
  <c r="P39" i="1"/>
  <c r="L39" i="1"/>
  <c r="Q339" i="1"/>
  <c r="P339" i="1"/>
  <c r="L339" i="1"/>
  <c r="M339" i="1"/>
  <c r="Q495" i="1"/>
  <c r="P495" i="1"/>
  <c r="M495" i="1"/>
  <c r="L495" i="1"/>
  <c r="Q675" i="1"/>
  <c r="P675" i="1"/>
  <c r="M675" i="1"/>
  <c r="L675" i="1"/>
  <c r="Q28" i="1"/>
  <c r="P28" i="1"/>
  <c r="M28" i="1"/>
  <c r="L28" i="1"/>
  <c r="Q496" i="1"/>
  <c r="P496" i="1"/>
  <c r="L496" i="1"/>
  <c r="M496" i="1"/>
  <c r="Q652" i="1"/>
  <c r="P652" i="1"/>
  <c r="M652" i="1"/>
  <c r="L652" i="1"/>
  <c r="Q41" i="1"/>
  <c r="P41" i="1"/>
  <c r="M41" i="1"/>
  <c r="L41" i="1"/>
  <c r="Q281" i="1"/>
  <c r="P281" i="1"/>
  <c r="M281" i="1"/>
  <c r="L281" i="1"/>
  <c r="Q449" i="1"/>
  <c r="P449" i="1"/>
  <c r="M449" i="1"/>
  <c r="L449" i="1"/>
  <c r="Q605" i="1"/>
  <c r="P605" i="1"/>
  <c r="M605" i="1"/>
  <c r="L605" i="1"/>
  <c r="Q114" i="1"/>
  <c r="P114" i="1"/>
  <c r="M114" i="1"/>
  <c r="L114" i="1"/>
  <c r="Q258" i="1"/>
  <c r="P258" i="1"/>
  <c r="M258" i="1"/>
  <c r="L258" i="1"/>
  <c r="P426" i="1"/>
  <c r="Q426" i="1"/>
  <c r="M426" i="1"/>
  <c r="L426" i="1"/>
  <c r="P582" i="1"/>
  <c r="Q582" i="1"/>
  <c r="M582" i="1"/>
  <c r="L582" i="1"/>
  <c r="Q19" i="1"/>
  <c r="P19" i="1"/>
  <c r="M19" i="1"/>
  <c r="L19" i="1"/>
  <c r="Q247" i="1"/>
  <c r="P247" i="1"/>
  <c r="L247" i="1"/>
  <c r="M247" i="1"/>
  <c r="Q403" i="1"/>
  <c r="P403" i="1"/>
  <c r="M403" i="1"/>
  <c r="L403" i="1"/>
  <c r="Q56" i="1"/>
  <c r="P56" i="1"/>
  <c r="M56" i="1"/>
  <c r="L56" i="1"/>
  <c r="P128" i="1"/>
  <c r="P200" i="1"/>
  <c r="P236" i="1"/>
  <c r="P272" i="1"/>
  <c r="P404" i="1"/>
  <c r="P476" i="1"/>
  <c r="P536" i="1"/>
  <c r="P572" i="1"/>
  <c r="P608" i="1"/>
  <c r="Q645" i="1"/>
  <c r="Q429" i="1"/>
  <c r="P429" i="1"/>
  <c r="L429" i="1"/>
  <c r="M429" i="1"/>
  <c r="Q523" i="1"/>
  <c r="P523" i="1"/>
  <c r="M523" i="1"/>
  <c r="L523" i="1"/>
  <c r="Q607" i="1"/>
  <c r="P607" i="1"/>
  <c r="M607" i="1"/>
  <c r="L607" i="1"/>
  <c r="Q703" i="1"/>
  <c r="P703" i="1"/>
  <c r="L703" i="1"/>
  <c r="M703" i="1"/>
  <c r="P17" i="1"/>
  <c r="Q81" i="1"/>
  <c r="P81" i="1"/>
  <c r="M81" i="1"/>
  <c r="L81" i="1"/>
  <c r="Q177" i="1"/>
  <c r="P177" i="1"/>
  <c r="M177" i="1"/>
  <c r="L177" i="1"/>
  <c r="Q225" i="1"/>
  <c r="P225" i="1"/>
  <c r="L225" i="1"/>
  <c r="M225" i="1"/>
  <c r="Q273" i="1"/>
  <c r="M273" i="1"/>
  <c r="L273" i="1"/>
  <c r="P273" i="1"/>
  <c r="Q333" i="1"/>
  <c r="P333" i="1"/>
  <c r="M333" i="1"/>
  <c r="L333" i="1"/>
  <c r="Q489" i="1"/>
  <c r="P489" i="1"/>
  <c r="M489" i="1"/>
  <c r="L489" i="1"/>
  <c r="Q621" i="1"/>
  <c r="P621" i="1"/>
  <c r="L621" i="1"/>
  <c r="M621" i="1"/>
  <c r="Q178" i="1"/>
  <c r="P178" i="1"/>
  <c r="M178" i="1"/>
  <c r="L178" i="1"/>
  <c r="Q226" i="1"/>
  <c r="M226" i="1"/>
  <c r="P226" i="1"/>
  <c r="L226" i="1"/>
  <c r="Q286" i="1"/>
  <c r="M286" i="1"/>
  <c r="P286" i="1"/>
  <c r="L286" i="1"/>
  <c r="Q334" i="1"/>
  <c r="M334" i="1"/>
  <c r="P334" i="1"/>
  <c r="L334" i="1"/>
  <c r="Q394" i="1"/>
  <c r="M394" i="1"/>
  <c r="P394" i="1"/>
  <c r="L394" i="1"/>
  <c r="Q454" i="1"/>
  <c r="M454" i="1"/>
  <c r="P454" i="1"/>
  <c r="L454" i="1"/>
  <c r="P574" i="1"/>
  <c r="Q95" i="1"/>
  <c r="M95" i="1"/>
  <c r="P95" i="1"/>
  <c r="L95" i="1"/>
  <c r="M167" i="1"/>
  <c r="Q167" i="1"/>
  <c r="P167" i="1"/>
  <c r="L167" i="1"/>
  <c r="Q239" i="1"/>
  <c r="P239" i="1"/>
  <c r="M239" i="1"/>
  <c r="L239" i="1"/>
  <c r="Q383" i="1"/>
  <c r="P383" i="1"/>
  <c r="M383" i="1"/>
  <c r="L383" i="1"/>
  <c r="Q539" i="1"/>
  <c r="P539" i="1"/>
  <c r="L539" i="1"/>
  <c r="M539" i="1"/>
  <c r="Q653" i="1"/>
  <c r="P653" i="1"/>
  <c r="M653" i="1"/>
  <c r="L653" i="1"/>
  <c r="Q493" i="1"/>
  <c r="P493" i="1"/>
  <c r="L493" i="1"/>
  <c r="M493" i="1"/>
  <c r="Q232" i="1"/>
  <c r="M232" i="1"/>
  <c r="P232" i="1"/>
  <c r="L232" i="1"/>
  <c r="Q253" i="1"/>
  <c r="M253" i="1"/>
  <c r="P253" i="1"/>
  <c r="L253" i="1"/>
  <c r="Q397" i="1"/>
  <c r="P397" i="1"/>
  <c r="M397" i="1"/>
  <c r="L397" i="1"/>
  <c r="Q469" i="1"/>
  <c r="P469" i="1"/>
  <c r="L469" i="1"/>
  <c r="M469" i="1"/>
  <c r="Q541" i="1"/>
  <c r="P541" i="1"/>
  <c r="L541" i="1"/>
  <c r="M541" i="1"/>
  <c r="P613" i="1"/>
  <c r="Q613" i="1"/>
  <c r="L613" i="1"/>
  <c r="M613" i="1"/>
  <c r="P685" i="1"/>
  <c r="Q685" i="1"/>
  <c r="L685" i="1"/>
  <c r="M685" i="1"/>
  <c r="Q650" i="1"/>
  <c r="P650" i="1"/>
  <c r="L650" i="1"/>
  <c r="M650" i="1"/>
  <c r="Q12" i="1"/>
  <c r="Q51" i="1"/>
  <c r="P51" i="1"/>
  <c r="M51" i="1"/>
  <c r="L51" i="1"/>
  <c r="Q135" i="1"/>
  <c r="P135" i="1"/>
  <c r="M135" i="1"/>
  <c r="L135" i="1"/>
  <c r="Q207" i="1"/>
  <c r="P207" i="1"/>
  <c r="M207" i="1"/>
  <c r="L207" i="1"/>
  <c r="Q351" i="1"/>
  <c r="P351" i="1"/>
  <c r="L351" i="1"/>
  <c r="M351" i="1"/>
  <c r="Q507" i="1"/>
  <c r="P507" i="1"/>
  <c r="M507" i="1"/>
  <c r="L507" i="1"/>
  <c r="Q699" i="1"/>
  <c r="P699" i="1"/>
  <c r="M699" i="1"/>
  <c r="L699" i="1"/>
  <c r="Q40" i="1"/>
  <c r="M40" i="1"/>
  <c r="P40" i="1"/>
  <c r="L40" i="1"/>
  <c r="Q136" i="1"/>
  <c r="P136" i="1"/>
  <c r="M136" i="1"/>
  <c r="L136" i="1"/>
  <c r="Q208" i="1"/>
  <c r="P208" i="1"/>
  <c r="M208" i="1"/>
  <c r="L208" i="1"/>
  <c r="Q280" i="1"/>
  <c r="P280" i="1"/>
  <c r="L280" i="1"/>
  <c r="M280" i="1"/>
  <c r="Q352" i="1"/>
  <c r="P352" i="1"/>
  <c r="L352" i="1"/>
  <c r="M352" i="1"/>
  <c r="Q424" i="1"/>
  <c r="P424" i="1"/>
  <c r="M424" i="1"/>
  <c r="L424" i="1"/>
  <c r="Q508" i="1"/>
  <c r="P508" i="1"/>
  <c r="M508" i="1"/>
  <c r="L508" i="1"/>
  <c r="Q676" i="1"/>
  <c r="P676" i="1"/>
  <c r="M676" i="1"/>
  <c r="L676" i="1"/>
  <c r="Q53" i="1"/>
  <c r="P53" i="1"/>
  <c r="M53" i="1"/>
  <c r="L53" i="1"/>
  <c r="P149" i="1"/>
  <c r="Q149" i="1"/>
  <c r="L149" i="1"/>
  <c r="M149" i="1"/>
  <c r="P293" i="1"/>
  <c r="Q293" i="1"/>
  <c r="M293" i="1"/>
  <c r="L293" i="1"/>
  <c r="Q461" i="1"/>
  <c r="P461" i="1"/>
  <c r="M461" i="1"/>
  <c r="L461" i="1"/>
  <c r="P617" i="1"/>
  <c r="Q617" i="1"/>
  <c r="L617" i="1"/>
  <c r="M617" i="1"/>
  <c r="P126" i="1"/>
  <c r="Q126" i="1"/>
  <c r="L126" i="1"/>
  <c r="M126" i="1"/>
  <c r="Q270" i="1"/>
  <c r="P270" i="1"/>
  <c r="M270" i="1"/>
  <c r="L270" i="1"/>
  <c r="P438" i="1"/>
  <c r="Q438" i="1"/>
  <c r="M438" i="1"/>
  <c r="L438" i="1"/>
  <c r="P594" i="1"/>
  <c r="Q594" i="1"/>
  <c r="M594" i="1"/>
  <c r="L594" i="1"/>
  <c r="Q31" i="1"/>
  <c r="P31" i="1"/>
  <c r="M31" i="1"/>
  <c r="L31" i="1"/>
  <c r="Q103" i="1"/>
  <c r="P103" i="1"/>
  <c r="L103" i="1"/>
  <c r="M103" i="1"/>
  <c r="Q259" i="1"/>
  <c r="P259" i="1"/>
  <c r="M259" i="1"/>
  <c r="L259" i="1"/>
  <c r="Q415" i="1"/>
  <c r="M415" i="1"/>
  <c r="P415" i="1"/>
  <c r="L415" i="1"/>
  <c r="P332" i="1"/>
  <c r="P644" i="1"/>
  <c r="P692" i="1"/>
  <c r="P645" i="1"/>
  <c r="Q417" i="1"/>
  <c r="P417" i="1"/>
  <c r="L417" i="1"/>
  <c r="M417" i="1"/>
  <c r="Q477" i="1"/>
  <c r="P477" i="1"/>
  <c r="M477" i="1"/>
  <c r="L477" i="1"/>
  <c r="P432" i="1"/>
  <c r="Q619" i="1"/>
  <c r="P619" i="1"/>
  <c r="M619" i="1"/>
  <c r="L619" i="1"/>
  <c r="Q17" i="1"/>
  <c r="P646" i="1"/>
  <c r="Q311" i="1"/>
  <c r="M311" i="1"/>
  <c r="P311" i="1"/>
  <c r="L311" i="1"/>
  <c r="Q455" i="1"/>
  <c r="P455" i="1"/>
  <c r="M455" i="1"/>
  <c r="L455" i="1"/>
  <c r="Q683" i="1"/>
  <c r="P683" i="1"/>
  <c r="L683" i="1"/>
  <c r="M683" i="1"/>
  <c r="Q46" i="1"/>
  <c r="P46" i="1"/>
  <c r="M46" i="1"/>
  <c r="L46" i="1"/>
  <c r="Q314" i="1"/>
  <c r="P314" i="1"/>
  <c r="M314" i="1"/>
  <c r="L314" i="1"/>
  <c r="Q555" i="1"/>
  <c r="P555" i="1"/>
  <c r="M555" i="1"/>
  <c r="L555" i="1"/>
  <c r="Q139" i="1"/>
  <c r="P139" i="1"/>
  <c r="M139" i="1"/>
  <c r="L139" i="1"/>
  <c r="Q96" i="1"/>
  <c r="P96" i="1"/>
  <c r="M96" i="1"/>
  <c r="L96" i="1"/>
  <c r="Q61" i="1"/>
  <c r="P61" i="1"/>
  <c r="M61" i="1"/>
  <c r="L61" i="1"/>
  <c r="Q255" i="1"/>
  <c r="P255" i="1"/>
  <c r="L255" i="1"/>
  <c r="M255" i="1"/>
  <c r="Q72" i="1"/>
  <c r="P72" i="1"/>
  <c r="M72" i="1"/>
  <c r="L72" i="1"/>
  <c r="Q624" i="1"/>
  <c r="P624" i="1"/>
  <c r="M624" i="1"/>
  <c r="L624" i="1"/>
  <c r="Q109" i="1"/>
  <c r="M109" i="1"/>
  <c r="P109" i="1"/>
  <c r="L109" i="1"/>
  <c r="Q325" i="1"/>
  <c r="P325" i="1"/>
  <c r="L325" i="1"/>
  <c r="M325" i="1"/>
  <c r="Q22" i="1"/>
  <c r="P22" i="1"/>
  <c r="M22" i="1"/>
  <c r="L22" i="1"/>
  <c r="Q166" i="1"/>
  <c r="P166" i="1"/>
  <c r="M166" i="1"/>
  <c r="L166" i="1"/>
  <c r="Q228" i="1"/>
  <c r="P228" i="1"/>
  <c r="M228" i="1"/>
  <c r="L228" i="1"/>
  <c r="Q372" i="1"/>
  <c r="P372" i="1"/>
  <c r="M372" i="1"/>
  <c r="L372" i="1"/>
  <c r="Q480" i="1"/>
  <c r="P480" i="1"/>
  <c r="L480" i="1"/>
  <c r="M480" i="1"/>
  <c r="Q636" i="1"/>
  <c r="P636" i="1"/>
  <c r="M636" i="1"/>
  <c r="L636" i="1"/>
  <c r="Q37" i="1"/>
  <c r="M37" i="1"/>
  <c r="P37" i="1"/>
  <c r="L37" i="1"/>
  <c r="Q86" i="1"/>
  <c r="P86" i="1"/>
  <c r="M86" i="1"/>
  <c r="L86" i="1"/>
  <c r="Q158" i="1"/>
  <c r="P158" i="1"/>
  <c r="M158" i="1"/>
  <c r="L158" i="1"/>
  <c r="P230" i="1"/>
  <c r="Q230" i="1"/>
  <c r="M230" i="1"/>
  <c r="L230" i="1"/>
  <c r="Q302" i="1"/>
  <c r="P302" i="1"/>
  <c r="M302" i="1"/>
  <c r="L302" i="1"/>
  <c r="Q374" i="1"/>
  <c r="P374" i="1"/>
  <c r="M374" i="1"/>
  <c r="L374" i="1"/>
  <c r="Q446" i="1"/>
  <c r="P446" i="1"/>
  <c r="L446" i="1"/>
  <c r="M446" i="1"/>
  <c r="Q518" i="1"/>
  <c r="P518" i="1"/>
  <c r="M518" i="1"/>
  <c r="L518" i="1"/>
  <c r="Q674" i="1"/>
  <c r="P674" i="1"/>
  <c r="L674" i="1"/>
  <c r="M674" i="1"/>
  <c r="Q63" i="1"/>
  <c r="M63" i="1"/>
  <c r="L63" i="1"/>
  <c r="P63" i="1"/>
  <c r="Q363" i="1"/>
  <c r="P363" i="1"/>
  <c r="L363" i="1"/>
  <c r="M363" i="1"/>
  <c r="Q519" i="1"/>
  <c r="P519" i="1"/>
  <c r="M519" i="1"/>
  <c r="L519" i="1"/>
  <c r="P711" i="1"/>
  <c r="Q711" i="1"/>
  <c r="M711" i="1"/>
  <c r="L711" i="1"/>
  <c r="Q52" i="1"/>
  <c r="P52" i="1"/>
  <c r="M52" i="1"/>
  <c r="L52" i="1"/>
  <c r="Q520" i="1"/>
  <c r="P520" i="1"/>
  <c r="M520" i="1"/>
  <c r="L520" i="1"/>
  <c r="Q700" i="1"/>
  <c r="P700" i="1"/>
  <c r="M700" i="1"/>
  <c r="L700" i="1"/>
  <c r="Q65" i="1"/>
  <c r="P65" i="1"/>
  <c r="M65" i="1"/>
  <c r="L65" i="1"/>
  <c r="Q161" i="1"/>
  <c r="P161" i="1"/>
  <c r="M161" i="1"/>
  <c r="L161" i="1"/>
  <c r="Q305" i="1"/>
  <c r="P305" i="1"/>
  <c r="M305" i="1"/>
  <c r="L305" i="1"/>
  <c r="P473" i="1"/>
  <c r="Q473" i="1"/>
  <c r="M473" i="1"/>
  <c r="L473" i="1"/>
  <c r="Q629" i="1"/>
  <c r="P629" i="1"/>
  <c r="M629" i="1"/>
  <c r="L629" i="1"/>
  <c r="Q138" i="1"/>
  <c r="P138" i="1"/>
  <c r="M138" i="1"/>
  <c r="L138" i="1"/>
  <c r="P282" i="1"/>
  <c r="Q282" i="1"/>
  <c r="M282" i="1"/>
  <c r="L282" i="1"/>
  <c r="P450" i="1"/>
  <c r="Q450" i="1"/>
  <c r="M450" i="1"/>
  <c r="L450" i="1"/>
  <c r="Q606" i="1"/>
  <c r="P606" i="1"/>
  <c r="M606" i="1"/>
  <c r="L606" i="1"/>
  <c r="Q271" i="1"/>
  <c r="P271" i="1"/>
  <c r="M271" i="1"/>
  <c r="L271" i="1"/>
  <c r="Q427" i="1"/>
  <c r="P427" i="1"/>
  <c r="M427" i="1"/>
  <c r="L427" i="1"/>
  <c r="Q68" i="1"/>
  <c r="P68" i="1"/>
  <c r="M68" i="1"/>
  <c r="L68" i="1"/>
  <c r="Q597" i="1"/>
  <c r="P597" i="1"/>
  <c r="L597" i="1"/>
  <c r="M597" i="1"/>
  <c r="Q609" i="1"/>
  <c r="P609" i="1"/>
  <c r="L609" i="1"/>
  <c r="M609" i="1"/>
  <c r="Q432" i="1"/>
  <c r="Q16" i="1"/>
  <c r="Q535" i="1"/>
  <c r="P535" i="1"/>
  <c r="M535" i="1"/>
  <c r="L535" i="1"/>
  <c r="Q631" i="1"/>
  <c r="P631" i="1"/>
  <c r="L631" i="1"/>
  <c r="M631" i="1"/>
  <c r="Q715" i="1"/>
  <c r="P715" i="1"/>
  <c r="M715" i="1"/>
  <c r="L715" i="1"/>
  <c r="Q7" i="1"/>
  <c r="Q93" i="1"/>
  <c r="P93" i="1"/>
  <c r="M93" i="1"/>
  <c r="L93" i="1"/>
  <c r="P237" i="1"/>
  <c r="Q285" i="1"/>
  <c r="P285" i="1"/>
  <c r="M285" i="1"/>
  <c r="L285" i="1"/>
  <c r="Q345" i="1"/>
  <c r="P345" i="1"/>
  <c r="M345" i="1"/>
  <c r="L345" i="1"/>
  <c r="Q501" i="1"/>
  <c r="P501" i="1"/>
  <c r="M501" i="1"/>
  <c r="L501" i="1"/>
  <c r="Q693" i="1"/>
  <c r="P693" i="1"/>
  <c r="L693" i="1"/>
  <c r="M693" i="1"/>
  <c r="P190" i="1"/>
  <c r="P298" i="1"/>
  <c r="Q346" i="1"/>
  <c r="M346" i="1"/>
  <c r="P346" i="1"/>
  <c r="L346" i="1"/>
  <c r="Q406" i="1"/>
  <c r="M406" i="1"/>
  <c r="P406" i="1"/>
  <c r="L406" i="1"/>
  <c r="Q323" i="1"/>
  <c r="P323" i="1"/>
  <c r="M323" i="1"/>
  <c r="L323" i="1"/>
  <c r="Q479" i="1"/>
  <c r="P479" i="1"/>
  <c r="M479" i="1"/>
  <c r="L479" i="1"/>
  <c r="Q623" i="1"/>
  <c r="P623" i="1"/>
  <c r="L623" i="1"/>
  <c r="M623" i="1"/>
  <c r="Q318" i="1"/>
  <c r="Q170" i="1"/>
  <c r="P170" i="1"/>
  <c r="M170" i="1"/>
  <c r="L170" i="1"/>
  <c r="Q76" i="1"/>
  <c r="M76" i="1"/>
  <c r="P76" i="1"/>
  <c r="L76" i="1"/>
  <c r="Q451" i="1"/>
  <c r="P451" i="1"/>
  <c r="M451" i="1"/>
  <c r="L451" i="1"/>
  <c r="Q252" i="1"/>
  <c r="P252" i="1"/>
  <c r="M252" i="1"/>
  <c r="L252" i="1"/>
  <c r="Q133" i="1"/>
  <c r="P133" i="1"/>
  <c r="M133" i="1"/>
  <c r="L133" i="1"/>
  <c r="Q709" i="1"/>
  <c r="P709" i="1"/>
  <c r="M709" i="1"/>
  <c r="L709" i="1"/>
  <c r="Q159" i="1"/>
  <c r="M159" i="1"/>
  <c r="P159" i="1"/>
  <c r="L159" i="1"/>
  <c r="Q154" i="1"/>
  <c r="M154" i="1"/>
  <c r="P154" i="1"/>
  <c r="L154" i="1"/>
  <c r="Q144" i="1"/>
  <c r="P144" i="1"/>
  <c r="M144" i="1"/>
  <c r="L144" i="1"/>
  <c r="Q300" i="1"/>
  <c r="P300" i="1"/>
  <c r="L300" i="1"/>
  <c r="M300" i="1"/>
  <c r="Q468" i="1"/>
  <c r="P468" i="1"/>
  <c r="M468" i="1"/>
  <c r="L468" i="1"/>
  <c r="Q181" i="1"/>
  <c r="M181" i="1"/>
  <c r="P181" i="1"/>
  <c r="L181" i="1"/>
  <c r="Q34" i="1"/>
  <c r="P34" i="1"/>
  <c r="M34" i="1"/>
  <c r="L34" i="1"/>
  <c r="Q84" i="1"/>
  <c r="P84" i="1"/>
  <c r="M84" i="1"/>
  <c r="L84" i="1"/>
  <c r="Q156" i="1"/>
  <c r="P156" i="1"/>
  <c r="M156" i="1"/>
  <c r="L156" i="1"/>
  <c r="Q384" i="1"/>
  <c r="P384" i="1"/>
  <c r="M384" i="1"/>
  <c r="L384" i="1"/>
  <c r="Q492" i="1"/>
  <c r="P492" i="1"/>
  <c r="M492" i="1"/>
  <c r="L492" i="1"/>
  <c r="Q648" i="1"/>
  <c r="P648" i="1"/>
  <c r="M648" i="1"/>
  <c r="L648" i="1"/>
  <c r="Q49" i="1"/>
  <c r="P49" i="1"/>
  <c r="M49" i="1"/>
  <c r="L49" i="1"/>
  <c r="Q121" i="1"/>
  <c r="M121" i="1"/>
  <c r="P121" i="1"/>
  <c r="L121" i="1"/>
  <c r="Q193" i="1"/>
  <c r="M193" i="1"/>
  <c r="P193" i="1"/>
  <c r="L193" i="1"/>
  <c r="Q265" i="1"/>
  <c r="M265" i="1"/>
  <c r="P265" i="1"/>
  <c r="L265" i="1"/>
  <c r="Q337" i="1"/>
  <c r="P337" i="1"/>
  <c r="M337" i="1"/>
  <c r="L337" i="1"/>
  <c r="Q409" i="1"/>
  <c r="P409" i="1"/>
  <c r="L409" i="1"/>
  <c r="M409" i="1"/>
  <c r="Q481" i="1"/>
  <c r="P481" i="1"/>
  <c r="M481" i="1"/>
  <c r="L481" i="1"/>
  <c r="Q553" i="1"/>
  <c r="P553" i="1"/>
  <c r="M553" i="1"/>
  <c r="L553" i="1"/>
  <c r="Q625" i="1"/>
  <c r="P625" i="1"/>
  <c r="M625" i="1"/>
  <c r="L625" i="1"/>
  <c r="Q697" i="1"/>
  <c r="P697" i="1"/>
  <c r="M697" i="1"/>
  <c r="L697" i="1"/>
  <c r="Q530" i="1"/>
  <c r="P530" i="1"/>
  <c r="M530" i="1"/>
  <c r="L530" i="1"/>
  <c r="P686" i="1"/>
  <c r="Q686" i="1"/>
  <c r="L686" i="1"/>
  <c r="M686" i="1"/>
  <c r="Q75" i="1"/>
  <c r="M75" i="1"/>
  <c r="P75" i="1"/>
  <c r="L75" i="1"/>
  <c r="Q147" i="1"/>
  <c r="M147" i="1"/>
  <c r="P147" i="1"/>
  <c r="L147" i="1"/>
  <c r="P231" i="1"/>
  <c r="Q231" i="1"/>
  <c r="L231" i="1"/>
  <c r="M231" i="1"/>
  <c r="Q375" i="1"/>
  <c r="L375" i="1"/>
  <c r="M375" i="1"/>
  <c r="P375" i="1"/>
  <c r="Q531" i="1"/>
  <c r="P531" i="1"/>
  <c r="M531" i="1"/>
  <c r="L531" i="1"/>
  <c r="Q219" i="1"/>
  <c r="P219" i="1"/>
  <c r="L219" i="1"/>
  <c r="M219" i="1"/>
  <c r="Q64" i="1"/>
  <c r="P64" i="1"/>
  <c r="M64" i="1"/>
  <c r="L64" i="1"/>
  <c r="Q148" i="1"/>
  <c r="M148" i="1"/>
  <c r="P148" i="1"/>
  <c r="L148" i="1"/>
  <c r="Q220" i="1"/>
  <c r="M220" i="1"/>
  <c r="P220" i="1"/>
  <c r="L220" i="1"/>
  <c r="Q292" i="1"/>
  <c r="P292" i="1"/>
  <c r="M292" i="1"/>
  <c r="L292" i="1"/>
  <c r="Q364" i="1"/>
  <c r="P364" i="1"/>
  <c r="M364" i="1"/>
  <c r="L364" i="1"/>
  <c r="Q436" i="1"/>
  <c r="P436" i="1"/>
  <c r="M436" i="1"/>
  <c r="L436" i="1"/>
  <c r="Q532" i="1"/>
  <c r="P532" i="1"/>
  <c r="M532" i="1"/>
  <c r="L532" i="1"/>
  <c r="Q712" i="1"/>
  <c r="P712" i="1"/>
  <c r="M712" i="1"/>
  <c r="L712" i="1"/>
  <c r="Q77" i="1"/>
  <c r="P77" i="1"/>
  <c r="M77" i="1"/>
  <c r="L77" i="1"/>
  <c r="Q173" i="1"/>
  <c r="P173" i="1"/>
  <c r="L173" i="1"/>
  <c r="M173" i="1"/>
  <c r="Q317" i="1"/>
  <c r="P317" i="1"/>
  <c r="L317" i="1"/>
  <c r="M317" i="1"/>
  <c r="Q485" i="1"/>
  <c r="P485" i="1"/>
  <c r="M485" i="1"/>
  <c r="L485" i="1"/>
  <c r="P641" i="1"/>
  <c r="Q641" i="1"/>
  <c r="M641" i="1"/>
  <c r="L641" i="1"/>
  <c r="Q30" i="1"/>
  <c r="P30" i="1"/>
  <c r="M30" i="1"/>
  <c r="L30" i="1"/>
  <c r="Q150" i="1"/>
  <c r="P150" i="1"/>
  <c r="L150" i="1"/>
  <c r="M150" i="1"/>
  <c r="Q294" i="1"/>
  <c r="P294" i="1"/>
  <c r="M294" i="1"/>
  <c r="L294" i="1"/>
  <c r="P462" i="1"/>
  <c r="Q462" i="1"/>
  <c r="M462" i="1"/>
  <c r="L462" i="1"/>
  <c r="Q618" i="1"/>
  <c r="P618" i="1"/>
  <c r="M618" i="1"/>
  <c r="L618" i="1"/>
  <c r="Q43" i="1"/>
  <c r="P43" i="1"/>
  <c r="M43" i="1"/>
  <c r="L43" i="1"/>
  <c r="Q127" i="1"/>
  <c r="P127" i="1"/>
  <c r="M127" i="1"/>
  <c r="L127" i="1"/>
  <c r="Q283" i="1"/>
  <c r="P283" i="1"/>
  <c r="M283" i="1"/>
  <c r="L283" i="1"/>
  <c r="Q439" i="1"/>
  <c r="P439" i="1"/>
  <c r="M439" i="1"/>
  <c r="L439" i="1"/>
  <c r="Q80" i="1"/>
  <c r="P80" i="1"/>
  <c r="M80" i="1"/>
  <c r="L80" i="1"/>
  <c r="Q549" i="1"/>
  <c r="P549" i="1"/>
  <c r="M549" i="1"/>
  <c r="L549" i="1"/>
  <c r="P354" i="1"/>
  <c r="Q354" i="1"/>
  <c r="M354" i="1"/>
  <c r="L354" i="1"/>
  <c r="Q547" i="1"/>
  <c r="P547" i="1"/>
  <c r="L547" i="1"/>
  <c r="M547" i="1"/>
  <c r="Q611" i="1"/>
  <c r="P611" i="1"/>
  <c r="L611" i="1"/>
  <c r="M611" i="1"/>
  <c r="Q393" i="1"/>
  <c r="P393" i="1"/>
  <c r="M393" i="1"/>
  <c r="L393" i="1"/>
  <c r="Q612" i="1"/>
  <c r="Q33" i="1"/>
  <c r="P33" i="1"/>
  <c r="M33" i="1"/>
  <c r="L33" i="1"/>
  <c r="Q141" i="1"/>
  <c r="Q189" i="1"/>
  <c r="P238" i="1"/>
  <c r="P478" i="1"/>
  <c r="Q526" i="1"/>
  <c r="P526" i="1"/>
  <c r="M526" i="1"/>
  <c r="L526" i="1"/>
  <c r="Q586" i="1"/>
  <c r="P586" i="1"/>
  <c r="M586" i="1"/>
  <c r="L586" i="1"/>
  <c r="Q646" i="1"/>
  <c r="Q35" i="1"/>
  <c r="M35" i="1"/>
  <c r="P35" i="1"/>
  <c r="L35" i="1"/>
  <c r="Q107" i="1"/>
  <c r="M107" i="1"/>
  <c r="P107" i="1"/>
  <c r="L107" i="1"/>
  <c r="P179" i="1"/>
  <c r="Q179" i="1"/>
  <c r="M179" i="1"/>
  <c r="L179" i="1"/>
  <c r="Q251" i="1"/>
  <c r="M251" i="1"/>
  <c r="P251" i="1"/>
  <c r="L251" i="1"/>
  <c r="Q395" i="1"/>
  <c r="P395" i="1"/>
  <c r="L395" i="1"/>
  <c r="M395" i="1"/>
  <c r="Q551" i="1"/>
  <c r="P551" i="1"/>
  <c r="L551" i="1"/>
  <c r="M551" i="1"/>
  <c r="P635" i="1"/>
  <c r="Q635" i="1"/>
  <c r="L635" i="1"/>
  <c r="M635" i="1"/>
  <c r="Q695" i="1"/>
  <c r="P695" i="1"/>
  <c r="L695" i="1"/>
  <c r="M695" i="1"/>
  <c r="P318" i="1"/>
</calcChain>
</file>

<file path=xl/sharedStrings.xml><?xml version="1.0" encoding="utf-8"?>
<sst xmlns="http://schemas.openxmlformats.org/spreadsheetml/2006/main" count="63" uniqueCount="51">
  <si>
    <t>Date</t>
  </si>
  <si>
    <t>Children apprehended and placed in CBP custody*</t>
  </si>
  <si>
    <t>Children in CBP custody</t>
  </si>
  <si>
    <t>Children transferred out of CBP custody</t>
  </si>
  <si>
    <t>Children in HHS Care</t>
  </si>
  <si>
    <t>Children discharged from HHS Care</t>
  </si>
  <si>
    <t>Total System Load</t>
  </si>
  <si>
    <t>Net Daily Intake</t>
  </si>
  <si>
    <t>Care Load Growth Rate</t>
  </si>
  <si>
    <t>Backlog Indicator</t>
  </si>
  <si>
    <t>Weekly Intake</t>
  </si>
  <si>
    <t>Stress</t>
  </si>
  <si>
    <t>Row Labels</t>
  </si>
  <si>
    <t>Grand Total</t>
  </si>
  <si>
    <t>&lt;1/12/2023</t>
  </si>
  <si>
    <t>2023</t>
  </si>
  <si>
    <t>2024</t>
  </si>
  <si>
    <t>2025</t>
  </si>
  <si>
    <t>Sum of Total System Load</t>
  </si>
  <si>
    <t>(All)</t>
  </si>
  <si>
    <t>Sum of Net Daily Intake</t>
  </si>
  <si>
    <t>Weekly Trend</t>
  </si>
  <si>
    <t>Monthly Trend</t>
  </si>
  <si>
    <t>Sum of Net Daily Intake2</t>
  </si>
  <si>
    <t>Care Load Ratio</t>
  </si>
  <si>
    <t>7 days rolling</t>
  </si>
  <si>
    <t>14 days rolling</t>
  </si>
  <si>
    <t xml:space="preserve">Prolonged Strain </t>
  </si>
  <si>
    <t>VARIABILITY ANALYSIS</t>
  </si>
  <si>
    <t>Daily Care Load Trend</t>
  </si>
  <si>
    <t>We could see the increasing graph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</si>
  <si>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</si>
  <si>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</si>
  <si>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</si>
  <si>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</si>
  <si>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</si>
  <si>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</si>
  <si>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</si>
  <si>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</si>
  <si>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</si>
  <si>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</si>
  <si>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</si>
  <si>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</si>
  <si>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</si>
  <si>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</si>
  <si>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</si>
  <si>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</si>
  <si>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Discharg Offset Ratio</t>
  </si>
  <si>
    <t>Count of Backlog Indicator</t>
  </si>
  <si>
    <t>Count of Stress</t>
  </si>
  <si>
    <t>Sum of Discharge Offset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</si>
</sst>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 Black"/>
      <family val="2"/>
    </font>
    <font>
      <sz val="11"/>
      <color theme="9" tint="-0.499984740745262"/>
      <name val="Arial Black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49" fontId="16" fillId="33" borderId="0" xfId="0" applyNumberFormat="1" applyFont="1" applyFill="1"/>
    <xf numFmtId="49" fontId="0" fillId="0" borderId="0" xfId="0" applyNumberFormat="1"/>
    <xf numFmtId="14" fontId="16" fillId="33" borderId="0" xfId="0" applyNumberFormat="1" applyFont="1" applyFill="1"/>
    <xf numFmtId="14" fontId="0" fillId="0" borderId="0" xfId="0" applyNumberFormat="1"/>
    <xf numFmtId="0" fontId="16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20" fillId="0" borderId="0" xfId="0" applyFont="1"/>
    <xf numFmtId="0" fontId="0" fillId="34" borderId="0" xfId="0" applyFill="1"/>
    <xf numFmtId="0" fontId="19" fillId="0" borderId="0" xfId="0" applyFont="1"/>
    <xf numFmtId="0" fontId="19" fillId="35" borderId="0" xfId="0" applyFont="1" applyFill="1"/>
    <xf numFmtId="12" fontId="16" fillId="33" borderId="0" xfId="0" applyNumberFormat="1" applyFont="1" applyFill="1"/>
    <xf numFmtId="12" fontId="0" fillId="0" borderId="0" xfId="0" applyNumberFormat="1"/>
    <xf numFmtId="11" fontId="16" fillId="33" borderId="0" xfId="0" applyNumberFormat="1" applyFont="1" applyFill="1"/>
    <xf numFmtId="11" fontId="0" fillId="0" borderId="0" xfId="0" applyNumberFormat="1"/>
    <xf numFmtId="12" fontId="0" fillId="0" borderId="0" xfId="0" pivotButton="1" applyNumberFormat="1"/>
    <xf numFmtId="12" fontId="0" fillId="0" borderId="0" xfId="0" applyNumberFormat="1" applyAlignment="1">
      <alignment horizontal="left"/>
    </xf>
    <xf numFmtId="12" fontId="0" fillId="0" borderId="0" xfId="0" applyNumberForma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2"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numFmt numFmtId="17" formatCode="#\ ?/?"/>
    </dxf>
    <dxf>
      <font>
        <b/>
        <i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[HHS_Unaccompanied_Alien_Children_Program20878(3).xlsx]Total loads!PivotTable4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'Total loads'!$B$3</c:f>
              <c:strCache>
                <c:ptCount val="1"/>
                <c:pt idx="0">
                  <c:v>Sum of Total System Load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3F-444F-9168-3CF4507B57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3F-444F-9168-3CF4507B57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3F-444F-9168-3CF4507B57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3F-444F-9168-3CF4507B57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D3F-444F-9168-3CF4507B570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D3F-444F-9168-3CF4507B570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D3F-444F-9168-3CF4507B570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D3F-444F-9168-3CF4507B570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D3F-444F-9168-3CF4507B570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D3F-444F-9168-3CF4507B570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D3F-444F-9168-3CF4507B570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D3F-444F-9168-3CF4507B570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D3F-444F-9168-3CF4507B570A}"/>
              </c:ext>
            </c:extLst>
          </c:dPt>
          <c:cat>
            <c:strRef>
              <c:f>'Total loads'!$A$4:$A$17</c:f>
              <c:strCache>
                <c:ptCount val="13"/>
                <c:pt idx="0">
                  <c:v>&lt;1/12/2023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'Total loads'!$B$4:$B$17</c:f>
              <c:numCache>
                <c:formatCode>General</c:formatCode>
                <c:ptCount val="13"/>
                <c:pt idx="1">
                  <c:v>369545</c:v>
                </c:pt>
                <c:pt idx="2">
                  <c:v>379991</c:v>
                </c:pt>
                <c:pt idx="3">
                  <c:v>386490</c:v>
                </c:pt>
                <c:pt idx="4">
                  <c:v>384203</c:v>
                </c:pt>
                <c:pt idx="5">
                  <c:v>393363</c:v>
                </c:pt>
                <c:pt idx="6">
                  <c:v>329858</c:v>
                </c:pt>
                <c:pt idx="7">
                  <c:v>331239</c:v>
                </c:pt>
                <c:pt idx="8">
                  <c:v>351156</c:v>
                </c:pt>
                <c:pt idx="9">
                  <c:v>397410</c:v>
                </c:pt>
                <c:pt idx="10">
                  <c:v>406156</c:v>
                </c:pt>
                <c:pt idx="11">
                  <c:v>359922</c:v>
                </c:pt>
                <c:pt idx="12">
                  <c:v>398261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3-4F66-8B76-D04FD0091BBF}"/>
            </c:ext>
          </c:extLst>
        </c:ser>
        <c:ser>
          <c:idx val="1"/>
          <c:order val="1"/>
          <c:tx>
            <c:strRef>
              <c:f>'Total loads'!$C$3</c:f>
              <c:strCache>
                <c:ptCount val="1"/>
                <c:pt idx="0">
                  <c:v>Sum of Net Daily Intake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D3F-444F-9168-3CF4507B57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D3F-444F-9168-3CF4507B57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D3F-444F-9168-3CF4507B57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D3F-444F-9168-3CF4507B57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D3F-444F-9168-3CF4507B570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D3F-444F-9168-3CF4507B570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D3F-444F-9168-3CF4507B570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AD3F-444F-9168-3CF4507B570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AD3F-444F-9168-3CF4507B570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AD3F-444F-9168-3CF4507B570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AD3F-444F-9168-3CF4507B570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AD3F-444F-9168-3CF4507B570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AD3F-444F-9168-3CF4507B570A}"/>
              </c:ext>
            </c:extLst>
          </c:dPt>
          <c:cat>
            <c:strRef>
              <c:f>'Total loads'!$A$4:$A$17</c:f>
              <c:strCache>
                <c:ptCount val="13"/>
                <c:pt idx="0">
                  <c:v>&lt;1/12/2023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'Total loads'!$C$4:$C$17</c:f>
              <c:numCache>
                <c:formatCode>General</c:formatCode>
                <c:ptCount val="13"/>
                <c:pt idx="1">
                  <c:v>351802</c:v>
                </c:pt>
                <c:pt idx="2">
                  <c:v>355857</c:v>
                </c:pt>
                <c:pt idx="3">
                  <c:v>363254</c:v>
                </c:pt>
                <c:pt idx="4">
                  <c:v>361230</c:v>
                </c:pt>
                <c:pt idx="5">
                  <c:v>369941</c:v>
                </c:pt>
                <c:pt idx="6">
                  <c:v>311437</c:v>
                </c:pt>
                <c:pt idx="7">
                  <c:v>312632</c:v>
                </c:pt>
                <c:pt idx="8">
                  <c:v>331268</c:v>
                </c:pt>
                <c:pt idx="9">
                  <c:v>375354</c:v>
                </c:pt>
                <c:pt idx="10">
                  <c:v>386965</c:v>
                </c:pt>
                <c:pt idx="11">
                  <c:v>341941</c:v>
                </c:pt>
                <c:pt idx="12">
                  <c:v>377584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13-4F66-8B76-D04FD0091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[HHS_Unaccompanied_Alien_Children_Program20878(3).xlsx]Bar graph!PivotTable8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graph'!$B$3</c:f>
              <c:strCache>
                <c:ptCount val="1"/>
                <c:pt idx="0">
                  <c:v>Count of Backlog Indicator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graph'!$A$4:$A$9</c:f>
              <c:strCache>
                <c:ptCount val="5"/>
                <c:pt idx="0">
                  <c:v>&lt;1/12/2023</c:v>
                </c:pt>
                <c:pt idx="1">
                  <c:v>Qtr1</c:v>
                </c:pt>
                <c:pt idx="2">
                  <c:v>Qtr2</c:v>
                </c:pt>
                <c:pt idx="3">
                  <c:v>Qtr3</c:v>
                </c:pt>
                <c:pt idx="4">
                  <c:v>Qtr4</c:v>
                </c:pt>
              </c:strCache>
            </c:strRef>
          </c:cat>
          <c:val>
            <c:numRef>
              <c:f>'Bar graph'!$B$4:$B$9</c:f>
              <c:numCache>
                <c:formatCode>General</c:formatCode>
                <c:ptCount val="5"/>
                <c:pt idx="1">
                  <c:v>172</c:v>
                </c:pt>
                <c:pt idx="2">
                  <c:v>185</c:v>
                </c:pt>
                <c:pt idx="3">
                  <c:v>185</c:v>
                </c:pt>
                <c:pt idx="4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9-49F8-AF39-494A1942CD32}"/>
            </c:ext>
          </c:extLst>
        </c:ser>
        <c:ser>
          <c:idx val="1"/>
          <c:order val="1"/>
          <c:tx>
            <c:strRef>
              <c:f>'Bar graph'!$C$3</c:f>
              <c:strCache>
                <c:ptCount val="1"/>
                <c:pt idx="0">
                  <c:v>Count of Stress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graph'!$A$4:$A$9</c:f>
              <c:strCache>
                <c:ptCount val="5"/>
                <c:pt idx="0">
                  <c:v>&lt;1/12/2023</c:v>
                </c:pt>
                <c:pt idx="1">
                  <c:v>Qtr1</c:v>
                </c:pt>
                <c:pt idx="2">
                  <c:v>Qtr2</c:v>
                </c:pt>
                <c:pt idx="3">
                  <c:v>Qtr3</c:v>
                </c:pt>
                <c:pt idx="4">
                  <c:v>Qtr4</c:v>
                </c:pt>
              </c:strCache>
            </c:strRef>
          </c:cat>
          <c:val>
            <c:numRef>
              <c:f>'Bar graph'!$C$4:$C$9</c:f>
              <c:numCache>
                <c:formatCode>General</c:formatCode>
                <c:ptCount val="5"/>
                <c:pt idx="1">
                  <c:v>172</c:v>
                </c:pt>
                <c:pt idx="2">
                  <c:v>185</c:v>
                </c:pt>
                <c:pt idx="3">
                  <c:v>185</c:v>
                </c:pt>
                <c:pt idx="4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39-49F8-AF39-494A1942CD32}"/>
            </c:ext>
          </c:extLst>
        </c:ser>
        <c:ser>
          <c:idx val="2"/>
          <c:order val="2"/>
          <c:tx>
            <c:strRef>
              <c:f>'Bar graph'!$D$3</c:f>
              <c:strCache>
                <c:ptCount val="1"/>
                <c:pt idx="0">
                  <c:v>Sum of Discharge Offset 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graph'!$A$4:$A$9</c:f>
              <c:strCache>
                <c:ptCount val="5"/>
                <c:pt idx="0">
                  <c:v>&lt;1/12/2023</c:v>
                </c:pt>
                <c:pt idx="1">
                  <c:v>Qtr1</c:v>
                </c:pt>
                <c:pt idx="2">
                  <c:v>Qtr2</c:v>
                </c:pt>
                <c:pt idx="3">
                  <c:v>Qtr3</c:v>
                </c:pt>
                <c:pt idx="4">
                  <c:v>Qtr4</c:v>
                </c:pt>
              </c:strCache>
            </c:strRef>
          </c:cat>
          <c:val>
            <c:numRef>
              <c:f>'Bar graph'!$D$4:$D$9</c:f>
              <c:numCache>
                <c:formatCode>#\ ?/?</c:formatCode>
                <c:ptCount val="5"/>
                <c:pt idx="1">
                  <c:v>3.8513634019032748</c:v>
                </c:pt>
                <c:pt idx="2">
                  <c:v>3.9211489974500662</c:v>
                </c:pt>
                <c:pt idx="3">
                  <c:v>4.1659411638768002</c:v>
                </c:pt>
                <c:pt idx="4">
                  <c:v>4.6714696735404626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39-49F8-AF39-494A1942C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8751952"/>
        <c:axId val="1498752912"/>
      </c:barChart>
      <c:catAx>
        <c:axId val="149875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752912"/>
        <c:crosses val="autoZero"/>
        <c:auto val="1"/>
        <c:lblAlgn val="ctr"/>
        <c:lblOffset val="100"/>
        <c:noMultiLvlLbl val="0"/>
      </c:catAx>
      <c:valAx>
        <c:axId val="149875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75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Care Load'!$A$1</c:f>
              <c:strCache>
                <c:ptCount val="1"/>
                <c:pt idx="0">
                  <c:v>Date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'Daily Care Load'!$A$2:$A$721</c:f>
              <c:numCache>
                <c:formatCode>m/d/yyyy</c:formatCode>
                <c:ptCount val="720"/>
                <c:pt idx="0">
                  <c:v>44938</c:v>
                </c:pt>
                <c:pt idx="1">
                  <c:v>44948</c:v>
                </c:pt>
                <c:pt idx="2">
                  <c:v>44949</c:v>
                </c:pt>
                <c:pt idx="3">
                  <c:v>44950</c:v>
                </c:pt>
                <c:pt idx="4">
                  <c:v>44951</c:v>
                </c:pt>
                <c:pt idx="5">
                  <c:v>44955</c:v>
                </c:pt>
                <c:pt idx="6">
                  <c:v>44956</c:v>
                </c:pt>
                <c:pt idx="7">
                  <c:v>44957</c:v>
                </c:pt>
                <c:pt idx="8">
                  <c:v>44958</c:v>
                </c:pt>
                <c:pt idx="9">
                  <c:v>44959</c:v>
                </c:pt>
                <c:pt idx="10">
                  <c:v>44962</c:v>
                </c:pt>
                <c:pt idx="11">
                  <c:v>44963</c:v>
                </c:pt>
                <c:pt idx="12">
                  <c:v>44964</c:v>
                </c:pt>
                <c:pt idx="13">
                  <c:v>44965</c:v>
                </c:pt>
                <c:pt idx="14">
                  <c:v>44966</c:v>
                </c:pt>
                <c:pt idx="15">
                  <c:v>44969</c:v>
                </c:pt>
                <c:pt idx="16">
                  <c:v>44970</c:v>
                </c:pt>
                <c:pt idx="17">
                  <c:v>44971</c:v>
                </c:pt>
                <c:pt idx="18">
                  <c:v>44972</c:v>
                </c:pt>
                <c:pt idx="19">
                  <c:v>44973</c:v>
                </c:pt>
                <c:pt idx="20">
                  <c:v>44977</c:v>
                </c:pt>
                <c:pt idx="21">
                  <c:v>44978</c:v>
                </c:pt>
                <c:pt idx="22">
                  <c:v>44979</c:v>
                </c:pt>
                <c:pt idx="23">
                  <c:v>44980</c:v>
                </c:pt>
                <c:pt idx="24">
                  <c:v>44983</c:v>
                </c:pt>
                <c:pt idx="25">
                  <c:v>44984</c:v>
                </c:pt>
                <c:pt idx="26">
                  <c:v>44985</c:v>
                </c:pt>
                <c:pt idx="27">
                  <c:v>44986</c:v>
                </c:pt>
                <c:pt idx="28">
                  <c:v>44987</c:v>
                </c:pt>
                <c:pt idx="29">
                  <c:v>44992</c:v>
                </c:pt>
                <c:pt idx="30">
                  <c:v>44993</c:v>
                </c:pt>
                <c:pt idx="31">
                  <c:v>44994</c:v>
                </c:pt>
                <c:pt idx="32">
                  <c:v>44998</c:v>
                </c:pt>
                <c:pt idx="33">
                  <c:v>44999</c:v>
                </c:pt>
                <c:pt idx="34">
                  <c:v>45000</c:v>
                </c:pt>
                <c:pt idx="35">
                  <c:v>45001</c:v>
                </c:pt>
                <c:pt idx="36">
                  <c:v>45004</c:v>
                </c:pt>
                <c:pt idx="37">
                  <c:v>45005</c:v>
                </c:pt>
                <c:pt idx="38">
                  <c:v>45006</c:v>
                </c:pt>
                <c:pt idx="39">
                  <c:v>45007</c:v>
                </c:pt>
                <c:pt idx="40">
                  <c:v>45008</c:v>
                </c:pt>
                <c:pt idx="41">
                  <c:v>45011</c:v>
                </c:pt>
                <c:pt idx="42">
                  <c:v>45012</c:v>
                </c:pt>
                <c:pt idx="43">
                  <c:v>45013</c:v>
                </c:pt>
                <c:pt idx="44">
                  <c:v>45014</c:v>
                </c:pt>
                <c:pt idx="45">
                  <c:v>45015</c:v>
                </c:pt>
                <c:pt idx="46">
                  <c:v>45018</c:v>
                </c:pt>
                <c:pt idx="47">
                  <c:v>45019</c:v>
                </c:pt>
                <c:pt idx="48">
                  <c:v>45020</c:v>
                </c:pt>
                <c:pt idx="49">
                  <c:v>45021</c:v>
                </c:pt>
                <c:pt idx="50">
                  <c:v>45022</c:v>
                </c:pt>
                <c:pt idx="51">
                  <c:v>45025</c:v>
                </c:pt>
                <c:pt idx="52">
                  <c:v>45026</c:v>
                </c:pt>
                <c:pt idx="53">
                  <c:v>45027</c:v>
                </c:pt>
                <c:pt idx="54">
                  <c:v>45028</c:v>
                </c:pt>
                <c:pt idx="55">
                  <c:v>45029</c:v>
                </c:pt>
                <c:pt idx="56">
                  <c:v>45032</c:v>
                </c:pt>
                <c:pt idx="57">
                  <c:v>45033</c:v>
                </c:pt>
                <c:pt idx="58">
                  <c:v>45034</c:v>
                </c:pt>
                <c:pt idx="59">
                  <c:v>45035</c:v>
                </c:pt>
                <c:pt idx="60">
                  <c:v>45036</c:v>
                </c:pt>
                <c:pt idx="61">
                  <c:v>45039</c:v>
                </c:pt>
                <c:pt idx="62">
                  <c:v>45040</c:v>
                </c:pt>
                <c:pt idx="63">
                  <c:v>45041</c:v>
                </c:pt>
                <c:pt idx="64">
                  <c:v>45042</c:v>
                </c:pt>
                <c:pt idx="65">
                  <c:v>45043</c:v>
                </c:pt>
                <c:pt idx="66">
                  <c:v>45046</c:v>
                </c:pt>
                <c:pt idx="67">
                  <c:v>45047</c:v>
                </c:pt>
                <c:pt idx="68">
                  <c:v>45048</c:v>
                </c:pt>
                <c:pt idx="69">
                  <c:v>45049</c:v>
                </c:pt>
                <c:pt idx="70">
                  <c:v>45050</c:v>
                </c:pt>
                <c:pt idx="71">
                  <c:v>45053</c:v>
                </c:pt>
                <c:pt idx="72">
                  <c:v>45054</c:v>
                </c:pt>
                <c:pt idx="73">
                  <c:v>45055</c:v>
                </c:pt>
                <c:pt idx="74">
                  <c:v>45056</c:v>
                </c:pt>
                <c:pt idx="75">
                  <c:v>45057</c:v>
                </c:pt>
                <c:pt idx="76">
                  <c:v>45060</c:v>
                </c:pt>
                <c:pt idx="77">
                  <c:v>45061</c:v>
                </c:pt>
                <c:pt idx="78">
                  <c:v>45062</c:v>
                </c:pt>
                <c:pt idx="79">
                  <c:v>45063</c:v>
                </c:pt>
                <c:pt idx="80">
                  <c:v>45064</c:v>
                </c:pt>
                <c:pt idx="81">
                  <c:v>45067</c:v>
                </c:pt>
                <c:pt idx="82">
                  <c:v>45068</c:v>
                </c:pt>
                <c:pt idx="83">
                  <c:v>45069</c:v>
                </c:pt>
                <c:pt idx="84">
                  <c:v>45070</c:v>
                </c:pt>
                <c:pt idx="85">
                  <c:v>45071</c:v>
                </c:pt>
                <c:pt idx="86">
                  <c:v>45075</c:v>
                </c:pt>
                <c:pt idx="87">
                  <c:v>45076</c:v>
                </c:pt>
                <c:pt idx="88">
                  <c:v>45077</c:v>
                </c:pt>
                <c:pt idx="89">
                  <c:v>45078</c:v>
                </c:pt>
                <c:pt idx="90">
                  <c:v>45081</c:v>
                </c:pt>
                <c:pt idx="91">
                  <c:v>45082</c:v>
                </c:pt>
                <c:pt idx="92">
                  <c:v>45083</c:v>
                </c:pt>
                <c:pt idx="93">
                  <c:v>45084</c:v>
                </c:pt>
                <c:pt idx="94">
                  <c:v>45085</c:v>
                </c:pt>
                <c:pt idx="95">
                  <c:v>45088</c:v>
                </c:pt>
                <c:pt idx="96">
                  <c:v>45089</c:v>
                </c:pt>
                <c:pt idx="97">
                  <c:v>45090</c:v>
                </c:pt>
                <c:pt idx="98">
                  <c:v>45091</c:v>
                </c:pt>
                <c:pt idx="99">
                  <c:v>45092</c:v>
                </c:pt>
                <c:pt idx="100">
                  <c:v>45096</c:v>
                </c:pt>
                <c:pt idx="101">
                  <c:v>45097</c:v>
                </c:pt>
                <c:pt idx="102">
                  <c:v>45098</c:v>
                </c:pt>
                <c:pt idx="103">
                  <c:v>45099</c:v>
                </c:pt>
                <c:pt idx="104">
                  <c:v>45102</c:v>
                </c:pt>
                <c:pt idx="105">
                  <c:v>45103</c:v>
                </c:pt>
                <c:pt idx="106">
                  <c:v>45104</c:v>
                </c:pt>
                <c:pt idx="107">
                  <c:v>45105</c:v>
                </c:pt>
                <c:pt idx="108">
                  <c:v>45106</c:v>
                </c:pt>
                <c:pt idx="109">
                  <c:v>45109</c:v>
                </c:pt>
                <c:pt idx="110">
                  <c:v>45111</c:v>
                </c:pt>
                <c:pt idx="111">
                  <c:v>45112</c:v>
                </c:pt>
                <c:pt idx="112">
                  <c:v>45113</c:v>
                </c:pt>
                <c:pt idx="113">
                  <c:v>45116</c:v>
                </c:pt>
                <c:pt idx="114">
                  <c:v>45117</c:v>
                </c:pt>
                <c:pt idx="115">
                  <c:v>45118</c:v>
                </c:pt>
                <c:pt idx="116">
                  <c:v>45119</c:v>
                </c:pt>
                <c:pt idx="117">
                  <c:v>45120</c:v>
                </c:pt>
                <c:pt idx="118">
                  <c:v>45123</c:v>
                </c:pt>
                <c:pt idx="119">
                  <c:v>45124</c:v>
                </c:pt>
                <c:pt idx="120">
                  <c:v>45125</c:v>
                </c:pt>
                <c:pt idx="121">
                  <c:v>45126</c:v>
                </c:pt>
                <c:pt idx="122">
                  <c:v>45127</c:v>
                </c:pt>
                <c:pt idx="123">
                  <c:v>45130</c:v>
                </c:pt>
                <c:pt idx="124">
                  <c:v>45131</c:v>
                </c:pt>
                <c:pt idx="125">
                  <c:v>45132</c:v>
                </c:pt>
                <c:pt idx="126">
                  <c:v>45133</c:v>
                </c:pt>
                <c:pt idx="127">
                  <c:v>45134</c:v>
                </c:pt>
                <c:pt idx="128">
                  <c:v>45137</c:v>
                </c:pt>
                <c:pt idx="129">
                  <c:v>45138</c:v>
                </c:pt>
                <c:pt idx="130">
                  <c:v>45139</c:v>
                </c:pt>
                <c:pt idx="131">
                  <c:v>45140</c:v>
                </c:pt>
                <c:pt idx="132">
                  <c:v>45141</c:v>
                </c:pt>
                <c:pt idx="133">
                  <c:v>45144</c:v>
                </c:pt>
                <c:pt idx="134">
                  <c:v>45145</c:v>
                </c:pt>
                <c:pt idx="135">
                  <c:v>45146</c:v>
                </c:pt>
                <c:pt idx="136">
                  <c:v>45147</c:v>
                </c:pt>
                <c:pt idx="137">
                  <c:v>45148</c:v>
                </c:pt>
                <c:pt idx="138">
                  <c:v>45154</c:v>
                </c:pt>
                <c:pt idx="139">
                  <c:v>45155</c:v>
                </c:pt>
                <c:pt idx="140">
                  <c:v>45158</c:v>
                </c:pt>
                <c:pt idx="141">
                  <c:v>45159</c:v>
                </c:pt>
                <c:pt idx="142">
                  <c:v>45160</c:v>
                </c:pt>
                <c:pt idx="143">
                  <c:v>45161</c:v>
                </c:pt>
                <c:pt idx="144">
                  <c:v>45162</c:v>
                </c:pt>
                <c:pt idx="145">
                  <c:v>45165</c:v>
                </c:pt>
                <c:pt idx="146">
                  <c:v>45166</c:v>
                </c:pt>
                <c:pt idx="147">
                  <c:v>45167</c:v>
                </c:pt>
                <c:pt idx="148">
                  <c:v>45168</c:v>
                </c:pt>
                <c:pt idx="149">
                  <c:v>45169</c:v>
                </c:pt>
                <c:pt idx="150">
                  <c:v>45173</c:v>
                </c:pt>
                <c:pt idx="151">
                  <c:v>45174</c:v>
                </c:pt>
                <c:pt idx="152">
                  <c:v>45175</c:v>
                </c:pt>
                <c:pt idx="153">
                  <c:v>45176</c:v>
                </c:pt>
                <c:pt idx="154">
                  <c:v>45179</c:v>
                </c:pt>
                <c:pt idx="155">
                  <c:v>45180</c:v>
                </c:pt>
                <c:pt idx="156">
                  <c:v>45181</c:v>
                </c:pt>
                <c:pt idx="157">
                  <c:v>45182</c:v>
                </c:pt>
                <c:pt idx="158">
                  <c:v>45183</c:v>
                </c:pt>
                <c:pt idx="159">
                  <c:v>45186</c:v>
                </c:pt>
                <c:pt idx="160">
                  <c:v>45187</c:v>
                </c:pt>
                <c:pt idx="161">
                  <c:v>45188</c:v>
                </c:pt>
                <c:pt idx="162">
                  <c:v>45189</c:v>
                </c:pt>
                <c:pt idx="163">
                  <c:v>45190</c:v>
                </c:pt>
                <c:pt idx="164">
                  <c:v>45193</c:v>
                </c:pt>
                <c:pt idx="165">
                  <c:v>45194</c:v>
                </c:pt>
                <c:pt idx="166">
                  <c:v>45195</c:v>
                </c:pt>
                <c:pt idx="167">
                  <c:v>45196</c:v>
                </c:pt>
                <c:pt idx="168">
                  <c:v>45197</c:v>
                </c:pt>
                <c:pt idx="169">
                  <c:v>45200</c:v>
                </c:pt>
                <c:pt idx="170">
                  <c:v>45201</c:v>
                </c:pt>
                <c:pt idx="171">
                  <c:v>45202</c:v>
                </c:pt>
                <c:pt idx="172">
                  <c:v>45203</c:v>
                </c:pt>
                <c:pt idx="173">
                  <c:v>45204</c:v>
                </c:pt>
                <c:pt idx="174">
                  <c:v>45208</c:v>
                </c:pt>
                <c:pt idx="175">
                  <c:v>45209</c:v>
                </c:pt>
                <c:pt idx="176">
                  <c:v>45210</c:v>
                </c:pt>
                <c:pt idx="177">
                  <c:v>45211</c:v>
                </c:pt>
                <c:pt idx="178">
                  <c:v>45214</c:v>
                </c:pt>
                <c:pt idx="179">
                  <c:v>45215</c:v>
                </c:pt>
                <c:pt idx="180">
                  <c:v>45216</c:v>
                </c:pt>
                <c:pt idx="181">
                  <c:v>45217</c:v>
                </c:pt>
                <c:pt idx="182">
                  <c:v>45218</c:v>
                </c:pt>
                <c:pt idx="183">
                  <c:v>45221</c:v>
                </c:pt>
                <c:pt idx="184">
                  <c:v>45222</c:v>
                </c:pt>
                <c:pt idx="185">
                  <c:v>45223</c:v>
                </c:pt>
                <c:pt idx="186">
                  <c:v>45224</c:v>
                </c:pt>
                <c:pt idx="187">
                  <c:v>45225</c:v>
                </c:pt>
                <c:pt idx="188">
                  <c:v>45228</c:v>
                </c:pt>
                <c:pt idx="189">
                  <c:v>45229</c:v>
                </c:pt>
                <c:pt idx="190">
                  <c:v>45230</c:v>
                </c:pt>
                <c:pt idx="191">
                  <c:v>45231</c:v>
                </c:pt>
                <c:pt idx="192">
                  <c:v>45232</c:v>
                </c:pt>
                <c:pt idx="193">
                  <c:v>45235</c:v>
                </c:pt>
                <c:pt idx="194">
                  <c:v>45236</c:v>
                </c:pt>
                <c:pt idx="195">
                  <c:v>45237</c:v>
                </c:pt>
                <c:pt idx="196">
                  <c:v>45238</c:v>
                </c:pt>
                <c:pt idx="197">
                  <c:v>45242</c:v>
                </c:pt>
                <c:pt idx="198">
                  <c:v>45243</c:v>
                </c:pt>
                <c:pt idx="199">
                  <c:v>45244</c:v>
                </c:pt>
                <c:pt idx="200">
                  <c:v>45245</c:v>
                </c:pt>
                <c:pt idx="201">
                  <c:v>45246</c:v>
                </c:pt>
                <c:pt idx="202">
                  <c:v>45249</c:v>
                </c:pt>
                <c:pt idx="203">
                  <c:v>45250</c:v>
                </c:pt>
                <c:pt idx="204">
                  <c:v>45251</c:v>
                </c:pt>
                <c:pt idx="205">
                  <c:v>45253</c:v>
                </c:pt>
                <c:pt idx="206">
                  <c:v>45256</c:v>
                </c:pt>
                <c:pt idx="207">
                  <c:v>45257</c:v>
                </c:pt>
                <c:pt idx="208">
                  <c:v>45258</c:v>
                </c:pt>
                <c:pt idx="209">
                  <c:v>45259</c:v>
                </c:pt>
                <c:pt idx="210">
                  <c:v>45260</c:v>
                </c:pt>
                <c:pt idx="211">
                  <c:v>45263</c:v>
                </c:pt>
                <c:pt idx="212">
                  <c:v>45264</c:v>
                </c:pt>
                <c:pt idx="213">
                  <c:v>45265</c:v>
                </c:pt>
                <c:pt idx="214">
                  <c:v>45266</c:v>
                </c:pt>
                <c:pt idx="215">
                  <c:v>45267</c:v>
                </c:pt>
                <c:pt idx="216">
                  <c:v>45270</c:v>
                </c:pt>
                <c:pt idx="217">
                  <c:v>45271</c:v>
                </c:pt>
                <c:pt idx="218">
                  <c:v>45272</c:v>
                </c:pt>
                <c:pt idx="219">
                  <c:v>45273</c:v>
                </c:pt>
                <c:pt idx="220">
                  <c:v>45274</c:v>
                </c:pt>
                <c:pt idx="221">
                  <c:v>45277</c:v>
                </c:pt>
                <c:pt idx="222">
                  <c:v>45278</c:v>
                </c:pt>
                <c:pt idx="223">
                  <c:v>45279</c:v>
                </c:pt>
                <c:pt idx="224">
                  <c:v>45280</c:v>
                </c:pt>
                <c:pt idx="225">
                  <c:v>45281</c:v>
                </c:pt>
                <c:pt idx="226">
                  <c:v>45285</c:v>
                </c:pt>
                <c:pt idx="227">
                  <c:v>45286</c:v>
                </c:pt>
                <c:pt idx="228">
                  <c:v>45287</c:v>
                </c:pt>
                <c:pt idx="229">
                  <c:v>45288</c:v>
                </c:pt>
                <c:pt idx="230">
                  <c:v>45292</c:v>
                </c:pt>
                <c:pt idx="231">
                  <c:v>45293</c:v>
                </c:pt>
                <c:pt idx="232">
                  <c:v>45294</c:v>
                </c:pt>
                <c:pt idx="233">
                  <c:v>45295</c:v>
                </c:pt>
                <c:pt idx="234">
                  <c:v>45298</c:v>
                </c:pt>
                <c:pt idx="235">
                  <c:v>45299</c:v>
                </c:pt>
                <c:pt idx="236">
                  <c:v>45300</c:v>
                </c:pt>
                <c:pt idx="237">
                  <c:v>45301</c:v>
                </c:pt>
                <c:pt idx="238">
                  <c:v>45302</c:v>
                </c:pt>
                <c:pt idx="239">
                  <c:v>45306</c:v>
                </c:pt>
                <c:pt idx="240">
                  <c:v>45307</c:v>
                </c:pt>
                <c:pt idx="241">
                  <c:v>45308</c:v>
                </c:pt>
                <c:pt idx="242">
                  <c:v>45309</c:v>
                </c:pt>
                <c:pt idx="243">
                  <c:v>45312</c:v>
                </c:pt>
                <c:pt idx="244">
                  <c:v>45313</c:v>
                </c:pt>
                <c:pt idx="245">
                  <c:v>45314</c:v>
                </c:pt>
                <c:pt idx="246">
                  <c:v>45315</c:v>
                </c:pt>
                <c:pt idx="247">
                  <c:v>45316</c:v>
                </c:pt>
                <c:pt idx="248">
                  <c:v>45319</c:v>
                </c:pt>
                <c:pt idx="249">
                  <c:v>45320</c:v>
                </c:pt>
                <c:pt idx="250">
                  <c:v>45321</c:v>
                </c:pt>
                <c:pt idx="251">
                  <c:v>45322</c:v>
                </c:pt>
                <c:pt idx="252">
                  <c:v>45323</c:v>
                </c:pt>
                <c:pt idx="253">
                  <c:v>45326</c:v>
                </c:pt>
                <c:pt idx="254">
                  <c:v>45327</c:v>
                </c:pt>
                <c:pt idx="255">
                  <c:v>45328</c:v>
                </c:pt>
                <c:pt idx="256">
                  <c:v>45329</c:v>
                </c:pt>
                <c:pt idx="257">
                  <c:v>45330</c:v>
                </c:pt>
                <c:pt idx="258">
                  <c:v>45333</c:v>
                </c:pt>
                <c:pt idx="259">
                  <c:v>45334</c:v>
                </c:pt>
                <c:pt idx="260">
                  <c:v>45335</c:v>
                </c:pt>
                <c:pt idx="261">
                  <c:v>45336</c:v>
                </c:pt>
                <c:pt idx="262">
                  <c:v>45337</c:v>
                </c:pt>
                <c:pt idx="263">
                  <c:v>45341</c:v>
                </c:pt>
                <c:pt idx="264">
                  <c:v>45342</c:v>
                </c:pt>
                <c:pt idx="265">
                  <c:v>45343</c:v>
                </c:pt>
                <c:pt idx="266">
                  <c:v>45344</c:v>
                </c:pt>
                <c:pt idx="267">
                  <c:v>45347</c:v>
                </c:pt>
                <c:pt idx="268">
                  <c:v>45348</c:v>
                </c:pt>
                <c:pt idx="269">
                  <c:v>45349</c:v>
                </c:pt>
                <c:pt idx="270">
                  <c:v>45350</c:v>
                </c:pt>
                <c:pt idx="271">
                  <c:v>45351</c:v>
                </c:pt>
                <c:pt idx="272">
                  <c:v>45354</c:v>
                </c:pt>
                <c:pt idx="273">
                  <c:v>45355</c:v>
                </c:pt>
                <c:pt idx="274">
                  <c:v>45356</c:v>
                </c:pt>
                <c:pt idx="275">
                  <c:v>45357</c:v>
                </c:pt>
                <c:pt idx="276">
                  <c:v>45358</c:v>
                </c:pt>
                <c:pt idx="277">
                  <c:v>45361</c:v>
                </c:pt>
                <c:pt idx="278">
                  <c:v>45362</c:v>
                </c:pt>
                <c:pt idx="279">
                  <c:v>45363</c:v>
                </c:pt>
                <c:pt idx="280">
                  <c:v>45364</c:v>
                </c:pt>
                <c:pt idx="281">
                  <c:v>45365</c:v>
                </c:pt>
                <c:pt idx="282">
                  <c:v>45368</c:v>
                </c:pt>
                <c:pt idx="283">
                  <c:v>45369</c:v>
                </c:pt>
                <c:pt idx="284">
                  <c:v>45370</c:v>
                </c:pt>
                <c:pt idx="285">
                  <c:v>45371</c:v>
                </c:pt>
                <c:pt idx="286">
                  <c:v>45372</c:v>
                </c:pt>
                <c:pt idx="287">
                  <c:v>45375</c:v>
                </c:pt>
                <c:pt idx="288">
                  <c:v>45376</c:v>
                </c:pt>
                <c:pt idx="289">
                  <c:v>45377</c:v>
                </c:pt>
                <c:pt idx="290">
                  <c:v>45378</c:v>
                </c:pt>
                <c:pt idx="291">
                  <c:v>45379</c:v>
                </c:pt>
                <c:pt idx="292">
                  <c:v>45382</c:v>
                </c:pt>
                <c:pt idx="293">
                  <c:v>45383</c:v>
                </c:pt>
                <c:pt idx="294">
                  <c:v>45384</c:v>
                </c:pt>
                <c:pt idx="295">
                  <c:v>45385</c:v>
                </c:pt>
                <c:pt idx="296">
                  <c:v>45386</c:v>
                </c:pt>
                <c:pt idx="297">
                  <c:v>45389</c:v>
                </c:pt>
                <c:pt idx="298">
                  <c:v>45390</c:v>
                </c:pt>
                <c:pt idx="299">
                  <c:v>45391</c:v>
                </c:pt>
                <c:pt idx="300">
                  <c:v>45392</c:v>
                </c:pt>
                <c:pt idx="301">
                  <c:v>45393</c:v>
                </c:pt>
                <c:pt idx="302">
                  <c:v>45396</c:v>
                </c:pt>
                <c:pt idx="303">
                  <c:v>45397</c:v>
                </c:pt>
                <c:pt idx="304">
                  <c:v>45398</c:v>
                </c:pt>
                <c:pt idx="305">
                  <c:v>45399</c:v>
                </c:pt>
                <c:pt idx="306">
                  <c:v>45400</c:v>
                </c:pt>
                <c:pt idx="307">
                  <c:v>45403</c:v>
                </c:pt>
                <c:pt idx="308">
                  <c:v>45404</c:v>
                </c:pt>
                <c:pt idx="309">
                  <c:v>45405</c:v>
                </c:pt>
                <c:pt idx="310">
                  <c:v>45406</c:v>
                </c:pt>
                <c:pt idx="311">
                  <c:v>45407</c:v>
                </c:pt>
                <c:pt idx="312">
                  <c:v>45410</c:v>
                </c:pt>
                <c:pt idx="313">
                  <c:v>45411</c:v>
                </c:pt>
                <c:pt idx="314">
                  <c:v>45412</c:v>
                </c:pt>
                <c:pt idx="315">
                  <c:v>45413</c:v>
                </c:pt>
                <c:pt idx="316">
                  <c:v>45414</c:v>
                </c:pt>
                <c:pt idx="317">
                  <c:v>45417</c:v>
                </c:pt>
                <c:pt idx="318">
                  <c:v>45418</c:v>
                </c:pt>
                <c:pt idx="319">
                  <c:v>45419</c:v>
                </c:pt>
                <c:pt idx="320">
                  <c:v>45420</c:v>
                </c:pt>
                <c:pt idx="321">
                  <c:v>45421</c:v>
                </c:pt>
                <c:pt idx="322">
                  <c:v>45424</c:v>
                </c:pt>
                <c:pt idx="323">
                  <c:v>45425</c:v>
                </c:pt>
                <c:pt idx="324">
                  <c:v>45426</c:v>
                </c:pt>
                <c:pt idx="325">
                  <c:v>45427</c:v>
                </c:pt>
                <c:pt idx="326">
                  <c:v>45428</c:v>
                </c:pt>
                <c:pt idx="327">
                  <c:v>45431</c:v>
                </c:pt>
                <c:pt idx="328">
                  <c:v>45432</c:v>
                </c:pt>
                <c:pt idx="329">
                  <c:v>45433</c:v>
                </c:pt>
                <c:pt idx="330">
                  <c:v>45434</c:v>
                </c:pt>
                <c:pt idx="331">
                  <c:v>45435</c:v>
                </c:pt>
                <c:pt idx="332">
                  <c:v>45439</c:v>
                </c:pt>
                <c:pt idx="333">
                  <c:v>45440</c:v>
                </c:pt>
                <c:pt idx="334">
                  <c:v>45441</c:v>
                </c:pt>
                <c:pt idx="335">
                  <c:v>45442</c:v>
                </c:pt>
                <c:pt idx="336">
                  <c:v>45445</c:v>
                </c:pt>
                <c:pt idx="337">
                  <c:v>45446</c:v>
                </c:pt>
                <c:pt idx="338">
                  <c:v>45447</c:v>
                </c:pt>
                <c:pt idx="339">
                  <c:v>45448</c:v>
                </c:pt>
                <c:pt idx="340">
                  <c:v>45449</c:v>
                </c:pt>
                <c:pt idx="341">
                  <c:v>45452</c:v>
                </c:pt>
                <c:pt idx="342">
                  <c:v>45453</c:v>
                </c:pt>
                <c:pt idx="343">
                  <c:v>45454</c:v>
                </c:pt>
                <c:pt idx="344">
                  <c:v>45455</c:v>
                </c:pt>
                <c:pt idx="345">
                  <c:v>45456</c:v>
                </c:pt>
                <c:pt idx="346">
                  <c:v>45459</c:v>
                </c:pt>
                <c:pt idx="347">
                  <c:v>45460</c:v>
                </c:pt>
                <c:pt idx="348">
                  <c:v>45461</c:v>
                </c:pt>
                <c:pt idx="349">
                  <c:v>45462</c:v>
                </c:pt>
                <c:pt idx="350">
                  <c:v>45463</c:v>
                </c:pt>
                <c:pt idx="351">
                  <c:v>45466</c:v>
                </c:pt>
                <c:pt idx="352">
                  <c:v>45467</c:v>
                </c:pt>
                <c:pt idx="353">
                  <c:v>45468</c:v>
                </c:pt>
                <c:pt idx="354">
                  <c:v>45469</c:v>
                </c:pt>
                <c:pt idx="355">
                  <c:v>45470</c:v>
                </c:pt>
                <c:pt idx="356">
                  <c:v>45473</c:v>
                </c:pt>
                <c:pt idx="357">
                  <c:v>45474</c:v>
                </c:pt>
                <c:pt idx="358">
                  <c:v>45475</c:v>
                </c:pt>
                <c:pt idx="359">
                  <c:v>45477</c:v>
                </c:pt>
                <c:pt idx="360">
                  <c:v>45480</c:v>
                </c:pt>
                <c:pt idx="361">
                  <c:v>45481</c:v>
                </c:pt>
                <c:pt idx="362">
                  <c:v>45482</c:v>
                </c:pt>
                <c:pt idx="363">
                  <c:v>45483</c:v>
                </c:pt>
                <c:pt idx="364">
                  <c:v>45484</c:v>
                </c:pt>
                <c:pt idx="365">
                  <c:v>45487</c:v>
                </c:pt>
                <c:pt idx="366">
                  <c:v>45488</c:v>
                </c:pt>
                <c:pt idx="367">
                  <c:v>45489</c:v>
                </c:pt>
                <c:pt idx="368">
                  <c:v>45490</c:v>
                </c:pt>
                <c:pt idx="369">
                  <c:v>45494</c:v>
                </c:pt>
                <c:pt idx="370">
                  <c:v>45495</c:v>
                </c:pt>
                <c:pt idx="371">
                  <c:v>45496</c:v>
                </c:pt>
                <c:pt idx="372">
                  <c:v>45497</c:v>
                </c:pt>
                <c:pt idx="373">
                  <c:v>45498</c:v>
                </c:pt>
                <c:pt idx="374">
                  <c:v>45501</c:v>
                </c:pt>
                <c:pt idx="375">
                  <c:v>45502</c:v>
                </c:pt>
                <c:pt idx="376">
                  <c:v>45503</c:v>
                </c:pt>
                <c:pt idx="377">
                  <c:v>45504</c:v>
                </c:pt>
                <c:pt idx="378">
                  <c:v>45505</c:v>
                </c:pt>
                <c:pt idx="379">
                  <c:v>45508</c:v>
                </c:pt>
                <c:pt idx="380">
                  <c:v>45509</c:v>
                </c:pt>
                <c:pt idx="381">
                  <c:v>45510</c:v>
                </c:pt>
                <c:pt idx="382">
                  <c:v>45511</c:v>
                </c:pt>
                <c:pt idx="383">
                  <c:v>45512</c:v>
                </c:pt>
                <c:pt idx="384">
                  <c:v>45515</c:v>
                </c:pt>
                <c:pt idx="385">
                  <c:v>45516</c:v>
                </c:pt>
                <c:pt idx="386">
                  <c:v>45517</c:v>
                </c:pt>
                <c:pt idx="387">
                  <c:v>45518</c:v>
                </c:pt>
                <c:pt idx="388">
                  <c:v>45519</c:v>
                </c:pt>
                <c:pt idx="389">
                  <c:v>45522</c:v>
                </c:pt>
                <c:pt idx="390">
                  <c:v>45523</c:v>
                </c:pt>
                <c:pt idx="391">
                  <c:v>45524</c:v>
                </c:pt>
                <c:pt idx="392">
                  <c:v>45525</c:v>
                </c:pt>
                <c:pt idx="393">
                  <c:v>45526</c:v>
                </c:pt>
                <c:pt idx="394">
                  <c:v>45531</c:v>
                </c:pt>
                <c:pt idx="395">
                  <c:v>45532</c:v>
                </c:pt>
                <c:pt idx="396">
                  <c:v>45533</c:v>
                </c:pt>
                <c:pt idx="397">
                  <c:v>45537</c:v>
                </c:pt>
                <c:pt idx="398">
                  <c:v>45538</c:v>
                </c:pt>
                <c:pt idx="399">
                  <c:v>45539</c:v>
                </c:pt>
                <c:pt idx="400">
                  <c:v>45540</c:v>
                </c:pt>
                <c:pt idx="401">
                  <c:v>45543</c:v>
                </c:pt>
                <c:pt idx="402">
                  <c:v>45544</c:v>
                </c:pt>
                <c:pt idx="403">
                  <c:v>45545</c:v>
                </c:pt>
                <c:pt idx="404">
                  <c:v>45546</c:v>
                </c:pt>
                <c:pt idx="405">
                  <c:v>45547</c:v>
                </c:pt>
                <c:pt idx="406">
                  <c:v>45548</c:v>
                </c:pt>
                <c:pt idx="407">
                  <c:v>45550</c:v>
                </c:pt>
                <c:pt idx="408">
                  <c:v>45551</c:v>
                </c:pt>
                <c:pt idx="409">
                  <c:v>45552</c:v>
                </c:pt>
                <c:pt idx="410">
                  <c:v>45553</c:v>
                </c:pt>
                <c:pt idx="411">
                  <c:v>45554</c:v>
                </c:pt>
                <c:pt idx="412">
                  <c:v>45557</c:v>
                </c:pt>
                <c:pt idx="413">
                  <c:v>45558</c:v>
                </c:pt>
                <c:pt idx="414">
                  <c:v>45559</c:v>
                </c:pt>
                <c:pt idx="415">
                  <c:v>45560</c:v>
                </c:pt>
                <c:pt idx="416">
                  <c:v>45561</c:v>
                </c:pt>
                <c:pt idx="417">
                  <c:v>45564</c:v>
                </c:pt>
                <c:pt idx="418">
                  <c:v>45565</c:v>
                </c:pt>
                <c:pt idx="419">
                  <c:v>45566</c:v>
                </c:pt>
                <c:pt idx="420">
                  <c:v>45567</c:v>
                </c:pt>
                <c:pt idx="421">
                  <c:v>45568</c:v>
                </c:pt>
                <c:pt idx="422">
                  <c:v>45572</c:v>
                </c:pt>
                <c:pt idx="423">
                  <c:v>45573</c:v>
                </c:pt>
                <c:pt idx="424">
                  <c:v>45574</c:v>
                </c:pt>
                <c:pt idx="425">
                  <c:v>45575</c:v>
                </c:pt>
                <c:pt idx="426">
                  <c:v>45578</c:v>
                </c:pt>
                <c:pt idx="427">
                  <c:v>45579</c:v>
                </c:pt>
                <c:pt idx="428">
                  <c:v>45580</c:v>
                </c:pt>
                <c:pt idx="429">
                  <c:v>45581</c:v>
                </c:pt>
                <c:pt idx="430">
                  <c:v>45582</c:v>
                </c:pt>
                <c:pt idx="431">
                  <c:v>45585</c:v>
                </c:pt>
                <c:pt idx="432">
                  <c:v>45586</c:v>
                </c:pt>
                <c:pt idx="433">
                  <c:v>45587</c:v>
                </c:pt>
                <c:pt idx="434">
                  <c:v>45588</c:v>
                </c:pt>
                <c:pt idx="435">
                  <c:v>45592</c:v>
                </c:pt>
                <c:pt idx="436">
                  <c:v>45593</c:v>
                </c:pt>
                <c:pt idx="437">
                  <c:v>45594</c:v>
                </c:pt>
                <c:pt idx="438">
                  <c:v>45595</c:v>
                </c:pt>
                <c:pt idx="439">
                  <c:v>45596</c:v>
                </c:pt>
                <c:pt idx="440">
                  <c:v>45599</c:v>
                </c:pt>
                <c:pt idx="441">
                  <c:v>45600</c:v>
                </c:pt>
                <c:pt idx="442">
                  <c:v>45601</c:v>
                </c:pt>
                <c:pt idx="443">
                  <c:v>45602</c:v>
                </c:pt>
                <c:pt idx="444">
                  <c:v>45603</c:v>
                </c:pt>
                <c:pt idx="445">
                  <c:v>45607</c:v>
                </c:pt>
                <c:pt idx="446">
                  <c:v>45608</c:v>
                </c:pt>
                <c:pt idx="447">
                  <c:v>45609</c:v>
                </c:pt>
                <c:pt idx="448">
                  <c:v>45610</c:v>
                </c:pt>
                <c:pt idx="449">
                  <c:v>45613</c:v>
                </c:pt>
                <c:pt idx="450">
                  <c:v>45614</c:v>
                </c:pt>
                <c:pt idx="451">
                  <c:v>45615</c:v>
                </c:pt>
                <c:pt idx="452">
                  <c:v>45616</c:v>
                </c:pt>
                <c:pt idx="453">
                  <c:v>45617</c:v>
                </c:pt>
                <c:pt idx="454">
                  <c:v>45620</c:v>
                </c:pt>
                <c:pt idx="455">
                  <c:v>45621</c:v>
                </c:pt>
                <c:pt idx="456">
                  <c:v>45622</c:v>
                </c:pt>
                <c:pt idx="457">
                  <c:v>45623</c:v>
                </c:pt>
                <c:pt idx="458">
                  <c:v>45624</c:v>
                </c:pt>
                <c:pt idx="459">
                  <c:v>45627</c:v>
                </c:pt>
                <c:pt idx="460">
                  <c:v>45628</c:v>
                </c:pt>
                <c:pt idx="461">
                  <c:v>45629</c:v>
                </c:pt>
                <c:pt idx="462">
                  <c:v>45630</c:v>
                </c:pt>
                <c:pt idx="463">
                  <c:v>45631</c:v>
                </c:pt>
                <c:pt idx="464">
                  <c:v>45634</c:v>
                </c:pt>
                <c:pt idx="465">
                  <c:v>45635</c:v>
                </c:pt>
                <c:pt idx="466">
                  <c:v>45636</c:v>
                </c:pt>
                <c:pt idx="467">
                  <c:v>45637</c:v>
                </c:pt>
                <c:pt idx="468">
                  <c:v>45638</c:v>
                </c:pt>
                <c:pt idx="469">
                  <c:v>45641</c:v>
                </c:pt>
                <c:pt idx="470">
                  <c:v>45642</c:v>
                </c:pt>
                <c:pt idx="471">
                  <c:v>45643</c:v>
                </c:pt>
                <c:pt idx="472">
                  <c:v>45644</c:v>
                </c:pt>
                <c:pt idx="473">
                  <c:v>45645</c:v>
                </c:pt>
                <c:pt idx="474">
                  <c:v>45648</c:v>
                </c:pt>
                <c:pt idx="475">
                  <c:v>45649</c:v>
                </c:pt>
                <c:pt idx="476">
                  <c:v>45650</c:v>
                </c:pt>
                <c:pt idx="477">
                  <c:v>45651</c:v>
                </c:pt>
                <c:pt idx="478">
                  <c:v>45652</c:v>
                </c:pt>
                <c:pt idx="479">
                  <c:v>45655</c:v>
                </c:pt>
                <c:pt idx="480">
                  <c:v>45656</c:v>
                </c:pt>
                <c:pt idx="481">
                  <c:v>45658</c:v>
                </c:pt>
                <c:pt idx="482">
                  <c:v>45659</c:v>
                </c:pt>
                <c:pt idx="483">
                  <c:v>45662</c:v>
                </c:pt>
                <c:pt idx="484">
                  <c:v>45663</c:v>
                </c:pt>
                <c:pt idx="485">
                  <c:v>45664</c:v>
                </c:pt>
                <c:pt idx="486">
                  <c:v>45665</c:v>
                </c:pt>
                <c:pt idx="487">
                  <c:v>45666</c:v>
                </c:pt>
                <c:pt idx="488">
                  <c:v>45669</c:v>
                </c:pt>
                <c:pt idx="489">
                  <c:v>45670</c:v>
                </c:pt>
                <c:pt idx="490">
                  <c:v>45671</c:v>
                </c:pt>
                <c:pt idx="491">
                  <c:v>45672</c:v>
                </c:pt>
                <c:pt idx="492">
                  <c:v>45673</c:v>
                </c:pt>
                <c:pt idx="493">
                  <c:v>45676</c:v>
                </c:pt>
                <c:pt idx="494">
                  <c:v>45677</c:v>
                </c:pt>
                <c:pt idx="495">
                  <c:v>45678</c:v>
                </c:pt>
                <c:pt idx="496">
                  <c:v>45679</c:v>
                </c:pt>
                <c:pt idx="497">
                  <c:v>45680</c:v>
                </c:pt>
                <c:pt idx="498">
                  <c:v>45683</c:v>
                </c:pt>
                <c:pt idx="499">
                  <c:v>45684</c:v>
                </c:pt>
                <c:pt idx="500">
                  <c:v>45685</c:v>
                </c:pt>
                <c:pt idx="501">
                  <c:v>45686</c:v>
                </c:pt>
                <c:pt idx="502">
                  <c:v>45687</c:v>
                </c:pt>
                <c:pt idx="503">
                  <c:v>45690</c:v>
                </c:pt>
                <c:pt idx="504">
                  <c:v>45691</c:v>
                </c:pt>
                <c:pt idx="505">
                  <c:v>45692</c:v>
                </c:pt>
                <c:pt idx="506">
                  <c:v>45693</c:v>
                </c:pt>
                <c:pt idx="507">
                  <c:v>45694</c:v>
                </c:pt>
                <c:pt idx="508">
                  <c:v>45697</c:v>
                </c:pt>
                <c:pt idx="509">
                  <c:v>45698</c:v>
                </c:pt>
                <c:pt idx="510">
                  <c:v>45699</c:v>
                </c:pt>
                <c:pt idx="511">
                  <c:v>45700</c:v>
                </c:pt>
                <c:pt idx="512">
                  <c:v>45701</c:v>
                </c:pt>
                <c:pt idx="513">
                  <c:v>45705</c:v>
                </c:pt>
                <c:pt idx="514">
                  <c:v>45706</c:v>
                </c:pt>
                <c:pt idx="515">
                  <c:v>45707</c:v>
                </c:pt>
                <c:pt idx="516">
                  <c:v>45708</c:v>
                </c:pt>
                <c:pt idx="517">
                  <c:v>45711</c:v>
                </c:pt>
                <c:pt idx="518">
                  <c:v>45712</c:v>
                </c:pt>
                <c:pt idx="519">
                  <c:v>45713</c:v>
                </c:pt>
                <c:pt idx="520">
                  <c:v>45714</c:v>
                </c:pt>
                <c:pt idx="521">
                  <c:v>45715</c:v>
                </c:pt>
                <c:pt idx="522">
                  <c:v>45718</c:v>
                </c:pt>
                <c:pt idx="523">
                  <c:v>45719</c:v>
                </c:pt>
                <c:pt idx="524">
                  <c:v>45720</c:v>
                </c:pt>
                <c:pt idx="525">
                  <c:v>45721</c:v>
                </c:pt>
                <c:pt idx="526">
                  <c:v>45722</c:v>
                </c:pt>
                <c:pt idx="527">
                  <c:v>45725</c:v>
                </c:pt>
                <c:pt idx="528">
                  <c:v>45726</c:v>
                </c:pt>
                <c:pt idx="529">
                  <c:v>45727</c:v>
                </c:pt>
                <c:pt idx="530">
                  <c:v>45728</c:v>
                </c:pt>
                <c:pt idx="531">
                  <c:v>45729</c:v>
                </c:pt>
                <c:pt idx="532">
                  <c:v>45732</c:v>
                </c:pt>
                <c:pt idx="533">
                  <c:v>45733</c:v>
                </c:pt>
                <c:pt idx="534">
                  <c:v>45734</c:v>
                </c:pt>
                <c:pt idx="535">
                  <c:v>45735</c:v>
                </c:pt>
                <c:pt idx="536">
                  <c:v>45736</c:v>
                </c:pt>
                <c:pt idx="537">
                  <c:v>45739</c:v>
                </c:pt>
                <c:pt idx="538">
                  <c:v>45740</c:v>
                </c:pt>
                <c:pt idx="539">
                  <c:v>45741</c:v>
                </c:pt>
                <c:pt idx="540">
                  <c:v>45742</c:v>
                </c:pt>
                <c:pt idx="541">
                  <c:v>45743</c:v>
                </c:pt>
                <c:pt idx="542">
                  <c:v>45746</c:v>
                </c:pt>
                <c:pt idx="543">
                  <c:v>45747</c:v>
                </c:pt>
                <c:pt idx="544">
                  <c:v>45748</c:v>
                </c:pt>
                <c:pt idx="545">
                  <c:v>45749</c:v>
                </c:pt>
                <c:pt idx="546">
                  <c:v>45750</c:v>
                </c:pt>
                <c:pt idx="547">
                  <c:v>45753</c:v>
                </c:pt>
                <c:pt idx="548">
                  <c:v>45754</c:v>
                </c:pt>
                <c:pt idx="549">
                  <c:v>45755</c:v>
                </c:pt>
                <c:pt idx="550">
                  <c:v>45756</c:v>
                </c:pt>
                <c:pt idx="551">
                  <c:v>45757</c:v>
                </c:pt>
                <c:pt idx="552">
                  <c:v>45758</c:v>
                </c:pt>
                <c:pt idx="553">
                  <c:v>45760</c:v>
                </c:pt>
                <c:pt idx="554">
                  <c:v>45761</c:v>
                </c:pt>
                <c:pt idx="555">
                  <c:v>45762</c:v>
                </c:pt>
                <c:pt idx="556">
                  <c:v>45763</c:v>
                </c:pt>
                <c:pt idx="557">
                  <c:v>45764</c:v>
                </c:pt>
                <c:pt idx="558">
                  <c:v>45767</c:v>
                </c:pt>
                <c:pt idx="559">
                  <c:v>45768</c:v>
                </c:pt>
                <c:pt idx="560">
                  <c:v>45769</c:v>
                </c:pt>
                <c:pt idx="561">
                  <c:v>45770</c:v>
                </c:pt>
                <c:pt idx="562">
                  <c:v>45771</c:v>
                </c:pt>
                <c:pt idx="563">
                  <c:v>45774</c:v>
                </c:pt>
                <c:pt idx="564">
                  <c:v>45775</c:v>
                </c:pt>
                <c:pt idx="565">
                  <c:v>45776</c:v>
                </c:pt>
                <c:pt idx="566">
                  <c:v>45777</c:v>
                </c:pt>
                <c:pt idx="567">
                  <c:v>45778</c:v>
                </c:pt>
                <c:pt idx="568">
                  <c:v>45781</c:v>
                </c:pt>
                <c:pt idx="569">
                  <c:v>45782</c:v>
                </c:pt>
                <c:pt idx="570">
                  <c:v>45783</c:v>
                </c:pt>
                <c:pt idx="571">
                  <c:v>45784</c:v>
                </c:pt>
                <c:pt idx="572">
                  <c:v>45785</c:v>
                </c:pt>
                <c:pt idx="573">
                  <c:v>45788</c:v>
                </c:pt>
                <c:pt idx="574">
                  <c:v>45789</c:v>
                </c:pt>
                <c:pt idx="575">
                  <c:v>45790</c:v>
                </c:pt>
                <c:pt idx="576">
                  <c:v>45791</c:v>
                </c:pt>
                <c:pt idx="577">
                  <c:v>45792</c:v>
                </c:pt>
                <c:pt idx="578">
                  <c:v>45795</c:v>
                </c:pt>
                <c:pt idx="579">
                  <c:v>45796</c:v>
                </c:pt>
                <c:pt idx="580">
                  <c:v>45798</c:v>
                </c:pt>
                <c:pt idx="581">
                  <c:v>45799</c:v>
                </c:pt>
                <c:pt idx="582">
                  <c:v>45804</c:v>
                </c:pt>
                <c:pt idx="583">
                  <c:v>45805</c:v>
                </c:pt>
                <c:pt idx="584">
                  <c:v>45806</c:v>
                </c:pt>
                <c:pt idx="585">
                  <c:v>45809</c:v>
                </c:pt>
                <c:pt idx="586">
                  <c:v>45810</c:v>
                </c:pt>
                <c:pt idx="587">
                  <c:v>45811</c:v>
                </c:pt>
                <c:pt idx="588">
                  <c:v>45812</c:v>
                </c:pt>
                <c:pt idx="589">
                  <c:v>45813</c:v>
                </c:pt>
                <c:pt idx="590">
                  <c:v>45816</c:v>
                </c:pt>
                <c:pt idx="591">
                  <c:v>45817</c:v>
                </c:pt>
                <c:pt idx="592">
                  <c:v>45818</c:v>
                </c:pt>
                <c:pt idx="593">
                  <c:v>45825</c:v>
                </c:pt>
                <c:pt idx="594">
                  <c:v>45827</c:v>
                </c:pt>
                <c:pt idx="595">
                  <c:v>45830</c:v>
                </c:pt>
                <c:pt idx="596">
                  <c:v>45831</c:v>
                </c:pt>
                <c:pt idx="597">
                  <c:v>45832</c:v>
                </c:pt>
                <c:pt idx="598">
                  <c:v>45833</c:v>
                </c:pt>
                <c:pt idx="599">
                  <c:v>45834</c:v>
                </c:pt>
                <c:pt idx="600">
                  <c:v>45837</c:v>
                </c:pt>
                <c:pt idx="601">
                  <c:v>45838</c:v>
                </c:pt>
                <c:pt idx="602">
                  <c:v>45839</c:v>
                </c:pt>
                <c:pt idx="603">
                  <c:v>45840</c:v>
                </c:pt>
                <c:pt idx="604">
                  <c:v>45844</c:v>
                </c:pt>
                <c:pt idx="605">
                  <c:v>45845</c:v>
                </c:pt>
                <c:pt idx="606">
                  <c:v>45846</c:v>
                </c:pt>
                <c:pt idx="607">
                  <c:v>45847</c:v>
                </c:pt>
                <c:pt idx="608">
                  <c:v>45848</c:v>
                </c:pt>
                <c:pt idx="609">
                  <c:v>45851</c:v>
                </c:pt>
                <c:pt idx="610">
                  <c:v>45852</c:v>
                </c:pt>
                <c:pt idx="611">
                  <c:v>45853</c:v>
                </c:pt>
                <c:pt idx="612">
                  <c:v>45854</c:v>
                </c:pt>
                <c:pt idx="613">
                  <c:v>45855</c:v>
                </c:pt>
                <c:pt idx="614">
                  <c:v>45859</c:v>
                </c:pt>
                <c:pt idx="615">
                  <c:v>45860</c:v>
                </c:pt>
                <c:pt idx="616">
                  <c:v>45861</c:v>
                </c:pt>
                <c:pt idx="617">
                  <c:v>45862</c:v>
                </c:pt>
                <c:pt idx="618">
                  <c:v>45865</c:v>
                </c:pt>
                <c:pt idx="619">
                  <c:v>45866</c:v>
                </c:pt>
                <c:pt idx="620">
                  <c:v>45867</c:v>
                </c:pt>
                <c:pt idx="621">
                  <c:v>45868</c:v>
                </c:pt>
                <c:pt idx="622">
                  <c:v>45869</c:v>
                </c:pt>
                <c:pt idx="623">
                  <c:v>45872</c:v>
                </c:pt>
                <c:pt idx="624">
                  <c:v>45873</c:v>
                </c:pt>
                <c:pt idx="625">
                  <c:v>45874</c:v>
                </c:pt>
                <c:pt idx="626">
                  <c:v>45875</c:v>
                </c:pt>
                <c:pt idx="627">
                  <c:v>45876</c:v>
                </c:pt>
                <c:pt idx="628">
                  <c:v>45879</c:v>
                </c:pt>
                <c:pt idx="629">
                  <c:v>45880</c:v>
                </c:pt>
                <c:pt idx="630">
                  <c:v>45881</c:v>
                </c:pt>
                <c:pt idx="631">
                  <c:v>45882</c:v>
                </c:pt>
                <c:pt idx="632">
                  <c:v>45883</c:v>
                </c:pt>
                <c:pt idx="633">
                  <c:v>45886</c:v>
                </c:pt>
                <c:pt idx="634">
                  <c:v>45887</c:v>
                </c:pt>
                <c:pt idx="635">
                  <c:v>45888</c:v>
                </c:pt>
                <c:pt idx="636">
                  <c:v>45889</c:v>
                </c:pt>
                <c:pt idx="637">
                  <c:v>45890</c:v>
                </c:pt>
                <c:pt idx="638">
                  <c:v>45893</c:v>
                </c:pt>
                <c:pt idx="639">
                  <c:v>45894</c:v>
                </c:pt>
                <c:pt idx="640">
                  <c:v>45895</c:v>
                </c:pt>
                <c:pt idx="641">
                  <c:v>45896</c:v>
                </c:pt>
                <c:pt idx="642">
                  <c:v>45897</c:v>
                </c:pt>
                <c:pt idx="643">
                  <c:v>45901</c:v>
                </c:pt>
                <c:pt idx="644">
                  <c:v>45902</c:v>
                </c:pt>
                <c:pt idx="645">
                  <c:v>45903</c:v>
                </c:pt>
                <c:pt idx="646">
                  <c:v>45904</c:v>
                </c:pt>
                <c:pt idx="647">
                  <c:v>45907</c:v>
                </c:pt>
                <c:pt idx="648">
                  <c:v>45908</c:v>
                </c:pt>
                <c:pt idx="649">
                  <c:v>45909</c:v>
                </c:pt>
                <c:pt idx="650">
                  <c:v>45910</c:v>
                </c:pt>
                <c:pt idx="651">
                  <c:v>45911</c:v>
                </c:pt>
                <c:pt idx="652">
                  <c:v>45914</c:v>
                </c:pt>
                <c:pt idx="653">
                  <c:v>45915</c:v>
                </c:pt>
                <c:pt idx="654">
                  <c:v>45916</c:v>
                </c:pt>
                <c:pt idx="655">
                  <c:v>45917</c:v>
                </c:pt>
                <c:pt idx="656">
                  <c:v>45918</c:v>
                </c:pt>
                <c:pt idx="657">
                  <c:v>45921</c:v>
                </c:pt>
                <c:pt idx="658">
                  <c:v>45922</c:v>
                </c:pt>
                <c:pt idx="659">
                  <c:v>45923</c:v>
                </c:pt>
                <c:pt idx="660">
                  <c:v>45924</c:v>
                </c:pt>
                <c:pt idx="661">
                  <c:v>45925</c:v>
                </c:pt>
                <c:pt idx="662">
                  <c:v>45928</c:v>
                </c:pt>
                <c:pt idx="663">
                  <c:v>45929</c:v>
                </c:pt>
                <c:pt idx="664">
                  <c:v>45930</c:v>
                </c:pt>
                <c:pt idx="665">
                  <c:v>45931</c:v>
                </c:pt>
                <c:pt idx="666">
                  <c:v>45932</c:v>
                </c:pt>
                <c:pt idx="667">
                  <c:v>45935</c:v>
                </c:pt>
                <c:pt idx="668">
                  <c:v>45936</c:v>
                </c:pt>
                <c:pt idx="669">
                  <c:v>45937</c:v>
                </c:pt>
                <c:pt idx="670">
                  <c:v>45938</c:v>
                </c:pt>
                <c:pt idx="671">
                  <c:v>45939</c:v>
                </c:pt>
                <c:pt idx="672">
                  <c:v>45943</c:v>
                </c:pt>
                <c:pt idx="673">
                  <c:v>45944</c:v>
                </c:pt>
                <c:pt idx="674">
                  <c:v>45945</c:v>
                </c:pt>
                <c:pt idx="675">
                  <c:v>45946</c:v>
                </c:pt>
                <c:pt idx="676">
                  <c:v>45949</c:v>
                </c:pt>
                <c:pt idx="677">
                  <c:v>45950</c:v>
                </c:pt>
                <c:pt idx="678">
                  <c:v>45951</c:v>
                </c:pt>
                <c:pt idx="679">
                  <c:v>45952</c:v>
                </c:pt>
                <c:pt idx="680">
                  <c:v>45953</c:v>
                </c:pt>
                <c:pt idx="681">
                  <c:v>45956</c:v>
                </c:pt>
                <c:pt idx="682">
                  <c:v>45957</c:v>
                </c:pt>
                <c:pt idx="683">
                  <c:v>45958</c:v>
                </c:pt>
                <c:pt idx="684">
                  <c:v>45959</c:v>
                </c:pt>
                <c:pt idx="685">
                  <c:v>45960</c:v>
                </c:pt>
                <c:pt idx="686">
                  <c:v>45963</c:v>
                </c:pt>
                <c:pt idx="687">
                  <c:v>45964</c:v>
                </c:pt>
                <c:pt idx="688">
                  <c:v>45965</c:v>
                </c:pt>
                <c:pt idx="689">
                  <c:v>45966</c:v>
                </c:pt>
                <c:pt idx="690">
                  <c:v>45967</c:v>
                </c:pt>
                <c:pt idx="691">
                  <c:v>45970</c:v>
                </c:pt>
                <c:pt idx="692">
                  <c:v>45972</c:v>
                </c:pt>
                <c:pt idx="693">
                  <c:v>45973</c:v>
                </c:pt>
                <c:pt idx="694">
                  <c:v>45974</c:v>
                </c:pt>
                <c:pt idx="695">
                  <c:v>45977</c:v>
                </c:pt>
                <c:pt idx="696">
                  <c:v>45978</c:v>
                </c:pt>
                <c:pt idx="697">
                  <c:v>45979</c:v>
                </c:pt>
                <c:pt idx="698">
                  <c:v>45980</c:v>
                </c:pt>
                <c:pt idx="699">
                  <c:v>45981</c:v>
                </c:pt>
                <c:pt idx="700">
                  <c:v>45984</c:v>
                </c:pt>
                <c:pt idx="701">
                  <c:v>45985</c:v>
                </c:pt>
                <c:pt idx="702">
                  <c:v>45986</c:v>
                </c:pt>
                <c:pt idx="703">
                  <c:v>45988</c:v>
                </c:pt>
                <c:pt idx="704">
                  <c:v>45991</c:v>
                </c:pt>
                <c:pt idx="705">
                  <c:v>45992</c:v>
                </c:pt>
                <c:pt idx="706">
                  <c:v>45993</c:v>
                </c:pt>
                <c:pt idx="707">
                  <c:v>45994</c:v>
                </c:pt>
                <c:pt idx="708">
                  <c:v>45995</c:v>
                </c:pt>
                <c:pt idx="709">
                  <c:v>45998</c:v>
                </c:pt>
                <c:pt idx="710">
                  <c:v>45999</c:v>
                </c:pt>
                <c:pt idx="711">
                  <c:v>46000</c:v>
                </c:pt>
                <c:pt idx="712">
                  <c:v>46001</c:v>
                </c:pt>
                <c:pt idx="713">
                  <c:v>46002</c:v>
                </c:pt>
                <c:pt idx="714">
                  <c:v>46005</c:v>
                </c:pt>
                <c:pt idx="715">
                  <c:v>46006</c:v>
                </c:pt>
                <c:pt idx="716">
                  <c:v>46007</c:v>
                </c:pt>
                <c:pt idx="717">
                  <c:v>46008</c:v>
                </c:pt>
                <c:pt idx="718">
                  <c:v>46009</c:v>
                </c:pt>
                <c:pt idx="719">
                  <c:v>46012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4B-4437-BC9D-96E6B465E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2682015"/>
        <c:axId val="1582684415"/>
      </c:lineChart>
      <c:catAx>
        <c:axId val="1582682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684415"/>
        <c:crosses val="autoZero"/>
        <c:auto val="1"/>
        <c:lblAlgn val="ctr"/>
        <c:lblOffset val="100"/>
        <c:noMultiLvlLbl val="0"/>
      </c:catAx>
      <c:valAx>
        <c:axId val="158268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68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</xdr:colOff>
      <xdr:row>1</xdr:row>
      <xdr:rowOff>99060</xdr:rowOff>
    </xdr:from>
    <xdr:to>
      <xdr:col>8</xdr:col>
      <xdr:colOff>312420</xdr:colOff>
      <xdr:row>9</xdr:row>
      <xdr:rowOff>7620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F9A0C672-ADFF-8B29-6624-8862FC14A7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93720" y="28194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118110</xdr:colOff>
      <xdr:row>7</xdr:row>
      <xdr:rowOff>45720</xdr:rowOff>
    </xdr:from>
    <xdr:to>
      <xdr:col>17</xdr:col>
      <xdr:colOff>232410</xdr:colOff>
      <xdr:row>22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71D400-FAB2-E478-0AFE-AC556A2CF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468630</xdr:colOff>
      <xdr:row>2</xdr:row>
      <xdr:rowOff>0</xdr:rowOff>
    </xdr:from>
    <xdr:to>
      <xdr:col>12</xdr:col>
      <xdr:colOff>163830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448EFA-313E-6E23-4DEE-0FB31CEA7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6</xdr:row>
      <xdr:rowOff>121920</xdr:rowOff>
    </xdr:from>
    <xdr:to>
      <xdr:col>8</xdr:col>
      <xdr:colOff>91440</xdr:colOff>
      <xdr:row>20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CE7CA9-93B6-3579-983F-C405C53BE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jin Jacob" refreshedDate="46174.571453703706" createdVersion="8" refreshedVersion="8" minRefreshableVersion="3" recordCount="721" xr:uid="{7A4217F5-E5F2-4AAF-9836-3DE94BB5FC52}">
  <cacheSource type="worksheet">
    <worksheetSource ref="A1:N1048576" sheet="HHS_Unaccompanied_Alien_Childre"/>
  </cacheSource>
  <cacheFields count="17">
    <cacheField name="Date" numFmtId="14">
      <sharedItems containsNonDate="0" containsDate="1" containsString="0" containsBlank="1" minDate="2023-01-12T00:00:00" maxDate="2025-12-22T00:00:00" count="721">
        <d v="2025-12-21T00:00:00"/>
        <d v="2025-12-18T00:00:00"/>
        <d v="2025-12-17T00:00:00"/>
        <d v="2025-12-16T00:00:00"/>
        <d v="2025-12-15T00:00:00"/>
        <d v="2025-12-14T00:00:00"/>
        <d v="2025-12-11T00:00:00"/>
        <d v="2025-12-10T00:00:00"/>
        <d v="2025-12-09T00:00:00"/>
        <d v="2025-12-08T00:00:00"/>
        <d v="2025-12-07T00:00:00"/>
        <d v="2025-12-04T00:00:00"/>
        <d v="2025-12-03T00:00:00"/>
        <d v="2025-12-02T00:00:00"/>
        <d v="2025-12-01T00:00:00"/>
        <d v="2025-11-30T00:00:00"/>
        <d v="2025-11-27T00:00:00"/>
        <d v="2025-11-25T00:00:00"/>
        <d v="2025-11-24T00:00:00"/>
        <d v="2025-11-23T00:00:00"/>
        <d v="2025-11-20T00:00:00"/>
        <d v="2025-11-19T00:00:00"/>
        <d v="2025-11-18T00:00:00"/>
        <d v="2025-11-17T00:00:00"/>
        <d v="2025-11-16T00:00:00"/>
        <d v="2025-11-13T00:00:00"/>
        <d v="2025-11-12T00:00:00"/>
        <d v="2025-11-11T00:00:00"/>
        <d v="2025-11-09T00:00:00"/>
        <d v="2025-11-06T00:00:00"/>
        <d v="2025-11-05T00:00:00"/>
        <d v="2025-11-04T00:00:00"/>
        <d v="2025-11-03T00:00:00"/>
        <d v="2025-11-02T00:00:00"/>
        <d v="2025-10-30T00:00:00"/>
        <d v="2025-10-29T00:00:00"/>
        <d v="2025-10-28T00:00:00"/>
        <d v="2025-10-27T00:00:00"/>
        <d v="2025-10-26T00:00:00"/>
        <d v="2025-10-23T00:00:00"/>
        <d v="2025-10-22T00:00:00"/>
        <d v="2025-10-21T00:00:00"/>
        <d v="2025-10-20T00:00:00"/>
        <d v="2025-10-19T00:00:00"/>
        <d v="2025-10-16T00:00:00"/>
        <d v="2025-10-15T00:00:00"/>
        <d v="2025-10-14T00:00:00"/>
        <d v="2025-10-13T00:00:00"/>
        <d v="2025-10-09T00:00:00"/>
        <d v="2025-10-08T00:00:00"/>
        <d v="2025-10-07T00:00:00"/>
        <d v="2025-10-06T00:00:00"/>
        <d v="2025-10-05T00:00:00"/>
        <d v="2025-10-02T00:00:00"/>
        <d v="2025-10-01T00:00:00"/>
        <d v="2025-09-30T00:00:00"/>
        <d v="2025-09-29T00:00:00"/>
        <d v="2025-09-28T00:00:00"/>
        <d v="2025-09-25T00:00:00"/>
        <d v="2025-09-24T00:00:00"/>
        <d v="2025-09-23T00:00:00"/>
        <d v="2025-09-22T00:00:00"/>
        <d v="2025-09-21T00:00:00"/>
        <d v="2025-09-18T00:00:00"/>
        <d v="2025-09-17T00:00:00"/>
        <d v="2025-09-16T00:00:00"/>
        <d v="2025-09-15T00:00:00"/>
        <d v="2025-09-14T00:00:00"/>
        <d v="2025-09-11T00:00:00"/>
        <d v="2025-09-10T00:00:00"/>
        <d v="2025-09-09T00:00:00"/>
        <d v="2025-09-08T00:00:00"/>
        <d v="2025-09-07T00:00:00"/>
        <d v="2025-09-04T00:00:00"/>
        <d v="2025-09-03T00:00:00"/>
        <d v="2025-09-02T00:00:00"/>
        <d v="2025-09-01T00:00:00"/>
        <d v="2025-08-28T00:00:00"/>
        <d v="2025-08-27T00:00:00"/>
        <d v="2025-08-26T00:00:00"/>
        <d v="2025-08-25T00:00:00"/>
        <d v="2025-08-24T00:00:00"/>
        <d v="2025-08-21T00:00:00"/>
        <d v="2025-08-20T00:00:00"/>
        <d v="2025-08-19T00:00:00"/>
        <d v="2025-08-18T00:00:00"/>
        <d v="2025-08-17T00:00:00"/>
        <d v="2025-08-14T00:00:00"/>
        <d v="2025-08-13T00:00:00"/>
        <d v="2025-08-12T00:00:00"/>
        <d v="2025-08-11T00:00:00"/>
        <d v="2025-08-10T00:00:00"/>
        <d v="2025-08-07T00:00:00"/>
        <d v="2025-08-06T00:00:00"/>
        <d v="2025-08-05T00:00:00"/>
        <d v="2025-08-04T00:00:00"/>
        <d v="2025-08-03T00:00:00"/>
        <d v="2025-07-31T00:00:00"/>
        <d v="2025-07-30T00:00:00"/>
        <d v="2025-07-29T00:00:00"/>
        <d v="2025-07-28T00:00:00"/>
        <d v="2025-07-27T00:00:00"/>
        <d v="2025-07-24T00:00:00"/>
        <d v="2025-07-23T00:00:00"/>
        <d v="2025-07-22T00:00:00"/>
        <d v="2025-07-21T00:00:00"/>
        <d v="2025-07-17T00:00:00"/>
        <d v="2025-07-16T00:00:00"/>
        <d v="2025-07-15T00:00:00"/>
        <d v="2025-07-14T00:00:00"/>
        <d v="2025-07-13T00:00:00"/>
        <d v="2025-07-10T00:00:00"/>
        <d v="2025-07-09T00:00:00"/>
        <d v="2025-07-08T00:00:00"/>
        <d v="2025-07-07T00:00:00"/>
        <d v="2025-07-06T00:00:00"/>
        <d v="2025-07-02T00:00:00"/>
        <d v="2025-07-01T00:00:00"/>
        <d v="2025-06-30T00:00:00"/>
        <d v="2025-06-29T00:00:00"/>
        <d v="2025-06-26T00:00:00"/>
        <d v="2025-06-25T00:00:00"/>
        <d v="2025-06-24T00:00:00"/>
        <d v="2025-06-23T00:00:00"/>
        <d v="2025-06-22T00:00:00"/>
        <d v="2025-06-19T00:00:00"/>
        <d v="2025-06-17T00:00:00"/>
        <d v="2025-06-10T00:00:00"/>
        <d v="2025-06-09T00:00:00"/>
        <d v="2025-06-08T00:00:00"/>
        <d v="2025-06-05T00:00:00"/>
        <d v="2025-06-04T00:00:00"/>
        <d v="2025-06-03T00:00:00"/>
        <d v="2025-06-02T00:00:00"/>
        <d v="2025-06-01T00:00:00"/>
        <d v="2025-05-29T00:00:00"/>
        <d v="2025-05-28T00:00:00"/>
        <d v="2025-05-27T00:00:00"/>
        <d v="2025-05-22T00:00:00"/>
        <d v="2025-05-21T00:00:00"/>
        <d v="2025-05-19T00:00:00"/>
        <d v="2025-05-18T00:00:00"/>
        <d v="2025-05-15T00:00:00"/>
        <d v="2025-05-14T00:00:00"/>
        <d v="2025-05-13T00:00:00"/>
        <d v="2025-05-12T00:00:00"/>
        <d v="2025-05-11T00:00:00"/>
        <d v="2025-05-08T00:00:00"/>
        <d v="2025-05-07T00:00:00"/>
        <d v="2025-05-06T00:00:00"/>
        <d v="2025-05-05T00:00:00"/>
        <d v="2025-05-04T00:00:00"/>
        <d v="2025-05-01T00:00:00"/>
        <d v="2025-04-30T00:00:00"/>
        <d v="2025-04-29T00:00:00"/>
        <d v="2025-04-28T00:00:00"/>
        <d v="2025-04-27T00:00:00"/>
        <d v="2025-04-24T00:00:00"/>
        <d v="2025-04-23T00:00:00"/>
        <d v="2025-04-22T00:00:00"/>
        <d v="2025-04-21T00:00:00"/>
        <d v="2025-04-20T00:00:00"/>
        <d v="2025-04-17T00:00:00"/>
        <d v="2025-04-16T00:00:00"/>
        <d v="2025-04-15T00:00:00"/>
        <d v="2025-04-14T00:00:00"/>
        <d v="2025-04-13T00:00:00"/>
        <d v="2025-04-11T00:00:00"/>
        <d v="2025-04-10T00:00:00"/>
        <d v="2025-04-09T00:00:00"/>
        <d v="2025-04-08T00:00:00"/>
        <d v="2025-04-07T00:00:00"/>
        <d v="2025-04-06T00:00:00"/>
        <d v="2025-04-03T00:00:00"/>
        <d v="2025-04-02T00:00:00"/>
        <d v="2025-04-01T00:00:00"/>
        <d v="2025-03-31T00:00:00"/>
        <d v="2025-03-30T00:00:00"/>
        <d v="2025-03-27T00:00:00"/>
        <d v="2025-03-26T00:00:00"/>
        <d v="2025-03-25T00:00:00"/>
        <d v="2025-03-24T00:00:00"/>
        <d v="2025-03-23T00:00:00"/>
        <d v="2025-03-20T00:00:00"/>
        <d v="2025-03-19T00:00:00"/>
        <d v="2025-03-18T00:00:00"/>
        <d v="2025-03-17T00:00:00"/>
        <d v="2025-03-16T00:00:00"/>
        <d v="2025-03-13T00:00:00"/>
        <d v="2025-03-12T00:00:00"/>
        <d v="2025-03-11T00:00:00"/>
        <d v="2025-03-10T00:00:00"/>
        <d v="2025-03-09T00:00:00"/>
        <d v="2025-03-06T00:00:00"/>
        <d v="2025-03-05T00:00:00"/>
        <d v="2025-03-04T00:00:00"/>
        <d v="2025-03-03T00:00:00"/>
        <d v="2025-03-02T00:00:00"/>
        <d v="2025-02-27T00:00:00"/>
        <d v="2025-02-26T00:00:00"/>
        <d v="2025-02-25T00:00:00"/>
        <d v="2025-02-24T00:00:00"/>
        <d v="2025-02-23T00:00:00"/>
        <d v="2025-02-20T00:00:00"/>
        <d v="2025-02-19T00:00:00"/>
        <d v="2025-02-18T00:00:00"/>
        <d v="2025-02-17T00:00:00"/>
        <d v="2025-02-13T00:00:00"/>
        <d v="2025-02-12T00:00:00"/>
        <d v="2025-02-11T00:00:00"/>
        <d v="2025-02-10T00:00:00"/>
        <d v="2025-02-09T00:00:00"/>
        <d v="2025-02-06T00:00:00"/>
        <d v="2025-02-05T00:00:00"/>
        <d v="2025-02-04T00:00:00"/>
        <d v="2025-02-03T00:00:00"/>
        <d v="2025-02-02T00:00:00"/>
        <d v="2025-01-30T00:00:00"/>
        <d v="2025-01-29T00:00:00"/>
        <d v="2025-01-28T00:00:00"/>
        <d v="2025-01-27T00:00:00"/>
        <d v="2025-01-26T00:00:00"/>
        <d v="2025-01-23T00:00:00"/>
        <d v="2025-01-22T00:00:00"/>
        <d v="2025-01-21T00:00:00"/>
        <d v="2025-01-20T00:00:00"/>
        <d v="2025-01-19T00:00:00"/>
        <d v="2025-01-16T00:00:00"/>
        <d v="2025-01-15T00:00:00"/>
        <d v="2025-01-14T00:00:00"/>
        <d v="2025-01-13T00:00:00"/>
        <d v="2025-01-12T00:00:00"/>
        <d v="2025-01-09T00:00:00"/>
        <d v="2025-01-08T00:00:00"/>
        <d v="2025-01-07T00:00:00"/>
        <d v="2025-01-06T00:00:00"/>
        <d v="2025-01-05T00:00:00"/>
        <d v="2025-01-02T00:00:00"/>
        <d v="2025-01-01T00:00:00"/>
        <d v="2024-12-30T00:00:00"/>
        <d v="2024-12-29T00:00:00"/>
        <d v="2024-12-26T00:00:00"/>
        <d v="2024-12-25T00:00:00"/>
        <d v="2024-12-24T00:00:00"/>
        <d v="2024-12-23T00:00:00"/>
        <d v="2024-12-22T00:00:00"/>
        <d v="2024-12-19T00:00:00"/>
        <d v="2024-12-18T00:00:00"/>
        <d v="2024-12-17T00:00:00"/>
        <d v="2024-12-16T00:00:00"/>
        <d v="2024-12-15T00:00:00"/>
        <d v="2024-12-12T00:00:00"/>
        <d v="2024-12-11T00:00:00"/>
        <d v="2024-12-10T00:00:00"/>
        <d v="2024-12-09T00:00:00"/>
        <d v="2024-12-08T00:00:00"/>
        <d v="2024-12-05T00:00:00"/>
        <d v="2024-12-04T00:00:00"/>
        <d v="2024-12-03T00:00:00"/>
        <d v="2024-12-02T00:00:00"/>
        <d v="2024-12-01T00:00:00"/>
        <d v="2024-11-28T00:00:00"/>
        <d v="2024-11-27T00:00:00"/>
        <d v="2024-11-26T00:00:00"/>
        <d v="2024-11-25T00:00:00"/>
        <d v="2024-11-24T00:00:00"/>
        <d v="2024-11-21T00:00:00"/>
        <d v="2024-11-20T00:00:00"/>
        <d v="2024-11-19T00:00:00"/>
        <d v="2024-11-18T00:00:00"/>
        <d v="2024-11-17T00:00:00"/>
        <d v="2024-11-14T00:00:00"/>
        <d v="2024-11-13T00:00:00"/>
        <d v="2024-11-12T00:00:00"/>
        <d v="2024-11-11T00:00:00"/>
        <d v="2024-11-07T00:00:00"/>
        <d v="2024-11-06T00:00:00"/>
        <d v="2024-11-05T00:00:00"/>
        <d v="2024-11-04T00:00:00"/>
        <d v="2024-11-03T00:00:00"/>
        <d v="2024-10-31T00:00:00"/>
        <d v="2024-10-30T00:00:00"/>
        <d v="2024-10-29T00:00:00"/>
        <d v="2024-10-28T00:00:00"/>
        <d v="2024-10-27T00:00:00"/>
        <d v="2024-10-23T00:00:00"/>
        <d v="2024-10-22T00:00:00"/>
        <d v="2024-10-21T00:00:00"/>
        <d v="2024-10-20T00:00:00"/>
        <d v="2024-10-17T00:00:00"/>
        <d v="2024-10-16T00:00:00"/>
        <d v="2024-10-15T00:00:00"/>
        <d v="2024-10-14T00:00:00"/>
        <d v="2024-10-13T00:00:00"/>
        <d v="2024-10-10T00:00:00"/>
        <d v="2024-10-09T00:00:00"/>
        <d v="2024-10-08T00:00:00"/>
        <d v="2024-10-07T00:00:00"/>
        <d v="2024-10-03T00:00:00"/>
        <d v="2024-10-02T00:00:00"/>
        <d v="2024-10-01T00:00:00"/>
        <d v="2024-09-30T00:00:00"/>
        <d v="2024-09-29T00:00:00"/>
        <d v="2024-09-26T00:00:00"/>
        <d v="2024-09-25T00:00:00"/>
        <d v="2024-09-24T00:00:00"/>
        <d v="2024-09-23T00:00:00"/>
        <d v="2024-09-22T00:00:00"/>
        <d v="2024-09-19T00:00:00"/>
        <d v="2024-09-18T00:00:00"/>
        <d v="2024-09-17T00:00:00"/>
        <d v="2024-09-16T00:00:00"/>
        <d v="2024-09-15T00:00:00"/>
        <d v="2024-09-13T00:00:00"/>
        <d v="2024-09-12T00:00:00"/>
        <d v="2024-09-11T00:00:00"/>
        <d v="2024-09-10T00:00:00"/>
        <d v="2024-09-09T00:00:00"/>
        <d v="2024-09-08T00:00:00"/>
        <d v="2024-09-05T00:00:00"/>
        <d v="2024-09-04T00:00:00"/>
        <d v="2024-09-03T00:00:00"/>
        <d v="2024-09-02T00:00:00"/>
        <d v="2024-08-29T00:00:00"/>
        <d v="2024-08-28T00:00:00"/>
        <d v="2024-08-27T00:00:00"/>
        <d v="2024-08-22T00:00:00"/>
        <d v="2024-08-21T00:00:00"/>
        <d v="2024-08-20T00:00:00"/>
        <d v="2024-08-19T00:00:00"/>
        <d v="2024-08-18T00:00:00"/>
        <d v="2024-08-15T00:00:00"/>
        <d v="2024-08-14T00:00:00"/>
        <d v="2024-08-13T00:00:00"/>
        <d v="2024-08-12T00:00:00"/>
        <d v="2024-08-11T00:00:00"/>
        <d v="2024-08-08T00:00:00"/>
        <d v="2024-08-07T00:00:00"/>
        <d v="2024-08-06T00:00:00"/>
        <d v="2024-08-05T00:00:00"/>
        <d v="2024-08-04T00:00:00"/>
        <d v="2024-08-01T00:00:00"/>
        <d v="2024-07-31T00:00:00"/>
        <d v="2024-07-30T00:00:00"/>
        <d v="2024-07-29T00:00:00"/>
        <d v="2024-07-28T00:00:00"/>
        <d v="2024-07-25T00:00:00"/>
        <d v="2024-07-24T00:00:00"/>
        <d v="2024-07-23T00:00:00"/>
        <d v="2024-07-22T00:00:00"/>
        <d v="2024-07-21T00:00:00"/>
        <d v="2024-07-17T00:00:00"/>
        <d v="2024-07-16T00:00:00"/>
        <d v="2024-07-15T00:00:00"/>
        <d v="2024-07-14T00:00:00"/>
        <d v="2024-07-11T00:00:00"/>
        <d v="2024-07-10T00:00:00"/>
        <d v="2024-07-09T00:00:00"/>
        <d v="2024-07-08T00:00:00"/>
        <d v="2024-07-07T00:00:00"/>
        <d v="2024-07-04T00:00:00"/>
        <d v="2024-07-02T00:00:00"/>
        <d v="2024-07-01T00:00:00"/>
        <d v="2024-06-30T00:00:00"/>
        <d v="2024-06-27T00:00:00"/>
        <d v="2024-06-26T00:00:00"/>
        <d v="2024-06-25T00:00:00"/>
        <d v="2024-06-24T00:00:00"/>
        <d v="2024-06-23T00:00:00"/>
        <d v="2024-06-20T00:00:00"/>
        <d v="2024-06-19T00:00:00"/>
        <d v="2024-06-18T00:00:00"/>
        <d v="2024-06-17T00:00:00"/>
        <d v="2024-06-16T00:00:00"/>
        <d v="2024-06-13T00:00:00"/>
        <d v="2024-06-12T00:00:00"/>
        <d v="2024-06-11T00:00:00"/>
        <d v="2024-06-10T00:00:00"/>
        <d v="2024-06-09T00:00:00"/>
        <d v="2024-06-06T00:00:00"/>
        <d v="2024-06-05T00:00:00"/>
        <d v="2024-06-04T00:00:00"/>
        <d v="2024-06-03T00:00:00"/>
        <d v="2024-06-02T00:00:00"/>
        <d v="2024-05-30T00:00:00"/>
        <d v="2024-05-29T00:00:00"/>
        <d v="2024-05-28T00:00:00"/>
        <d v="2024-05-27T00:00:00"/>
        <d v="2024-05-23T00:00:00"/>
        <d v="2024-05-22T00:00:00"/>
        <d v="2024-05-21T00:00:00"/>
        <d v="2024-05-20T00:00:00"/>
        <d v="2024-05-19T00:00:00"/>
        <d v="2024-05-16T00:00:00"/>
        <d v="2024-05-15T00:00:00"/>
        <d v="2024-05-14T00:00:00"/>
        <d v="2024-05-13T00:00:00"/>
        <d v="2024-05-12T00:00:00"/>
        <d v="2024-05-09T00:00:00"/>
        <d v="2024-05-08T00:00:00"/>
        <d v="2024-05-07T00:00:00"/>
        <d v="2024-05-06T00:00:00"/>
        <d v="2024-05-05T00:00:00"/>
        <d v="2024-05-02T00:00:00"/>
        <d v="2024-05-01T00:00:00"/>
        <d v="2024-04-30T00:00:00"/>
        <d v="2024-04-29T00:00:00"/>
        <d v="2024-04-28T00:00:00"/>
        <d v="2024-04-25T00:00:00"/>
        <d v="2024-04-24T00:00:00"/>
        <d v="2024-04-23T00:00:00"/>
        <d v="2024-04-22T00:00:00"/>
        <d v="2024-04-21T00:00:00"/>
        <d v="2024-04-18T00:00:00"/>
        <d v="2024-04-17T00:00:00"/>
        <d v="2024-04-16T00:00:00"/>
        <d v="2024-04-15T00:00:00"/>
        <d v="2024-04-14T00:00:00"/>
        <d v="2024-04-11T00:00:00"/>
        <d v="2024-04-10T00:00:00"/>
        <d v="2024-04-09T00:00:00"/>
        <d v="2024-04-08T00:00:00"/>
        <d v="2024-04-07T00:00:00"/>
        <d v="2024-04-04T00:00:00"/>
        <d v="2024-04-03T00:00:00"/>
        <d v="2024-04-02T00:00:00"/>
        <d v="2024-04-01T00:00:00"/>
        <d v="2024-03-31T00:00:00"/>
        <d v="2024-03-28T00:00:00"/>
        <d v="2024-03-27T00:00:00"/>
        <d v="2024-03-26T00:00:00"/>
        <d v="2024-03-25T00:00:00"/>
        <d v="2024-03-24T00:00:00"/>
        <d v="2024-03-21T00:00:00"/>
        <d v="2024-03-20T00:00:00"/>
        <d v="2024-03-19T00:00:00"/>
        <d v="2024-03-18T00:00:00"/>
        <d v="2024-03-17T00:00:00"/>
        <d v="2024-03-14T00:00:00"/>
        <d v="2024-03-13T00:00:00"/>
        <d v="2024-03-12T00:00:00"/>
        <d v="2024-03-11T00:00:00"/>
        <d v="2024-03-10T00:00:00"/>
        <d v="2024-03-07T00:00:00"/>
        <d v="2024-03-06T00:00:00"/>
        <d v="2024-03-05T00:00:00"/>
        <d v="2024-03-04T00:00:00"/>
        <d v="2024-03-03T00:00:00"/>
        <d v="2024-02-29T00:00:00"/>
        <d v="2024-02-28T00:00:00"/>
        <d v="2024-02-27T00:00:00"/>
        <d v="2024-02-26T00:00:00"/>
        <d v="2024-02-25T00:00:00"/>
        <d v="2024-02-22T00:00:00"/>
        <d v="2024-02-21T00:00:00"/>
        <d v="2024-02-20T00:00:00"/>
        <d v="2024-02-19T00:00:00"/>
        <d v="2024-02-15T00:00:00"/>
        <d v="2024-02-14T00:00:00"/>
        <d v="2024-02-13T00:00:00"/>
        <d v="2024-02-12T00:00:00"/>
        <d v="2024-02-11T00:00:00"/>
        <d v="2024-02-08T00:00:00"/>
        <d v="2024-02-07T00:00:00"/>
        <d v="2024-02-06T00:00:00"/>
        <d v="2024-02-05T00:00:00"/>
        <d v="2024-02-04T00:00:00"/>
        <d v="2024-02-01T00:00:00"/>
        <d v="2024-01-31T00:00:00"/>
        <d v="2024-01-30T00:00:00"/>
        <d v="2024-01-29T00:00:00"/>
        <d v="2024-01-28T00:00:00"/>
        <d v="2024-01-25T00:00:00"/>
        <d v="2024-01-24T00:00:00"/>
        <d v="2024-01-23T00:00:00"/>
        <d v="2024-01-22T00:00:00"/>
        <d v="2024-01-21T00:00:00"/>
        <d v="2024-01-18T00:00:00"/>
        <d v="2024-01-17T00:00:00"/>
        <d v="2024-01-16T00:00:00"/>
        <d v="2024-01-15T00:00:00"/>
        <d v="2024-01-11T00:00:00"/>
        <d v="2024-01-10T00:00:00"/>
        <d v="2024-01-09T00:00:00"/>
        <d v="2024-01-08T00:00:00"/>
        <d v="2024-01-07T00:00:00"/>
        <d v="2024-01-04T00:00:00"/>
        <d v="2024-01-03T00:00:00"/>
        <d v="2024-01-02T00:00:00"/>
        <d v="2024-01-01T00:00:00"/>
        <d v="2023-12-28T00:00:00"/>
        <d v="2023-12-27T00:00:00"/>
        <d v="2023-12-26T00:00:00"/>
        <d v="2023-12-25T00:00:00"/>
        <d v="2023-12-21T00:00:00"/>
        <d v="2023-12-20T00:00:00"/>
        <d v="2023-12-19T00:00:00"/>
        <d v="2023-12-18T00:00:00"/>
        <d v="2023-12-17T00:00:00"/>
        <d v="2023-12-14T00:00:00"/>
        <d v="2023-12-13T00:00:00"/>
        <d v="2023-12-12T00:00:00"/>
        <d v="2023-12-11T00:00:00"/>
        <d v="2023-12-10T00:00:00"/>
        <d v="2023-12-07T00:00:00"/>
        <d v="2023-12-06T00:00:00"/>
        <d v="2023-12-05T00:00:00"/>
        <d v="2023-12-04T00:00:00"/>
        <d v="2023-12-03T00:00:00"/>
        <d v="2023-11-30T00:00:00"/>
        <d v="2023-11-29T00:00:00"/>
        <d v="2023-11-28T00:00:00"/>
        <d v="2023-11-27T00:00:00"/>
        <d v="2023-11-26T00:00:00"/>
        <d v="2023-11-23T00:00:00"/>
        <d v="2023-11-21T00:00:00"/>
        <d v="2023-11-20T00:00:00"/>
        <d v="2023-11-19T00:00:00"/>
        <d v="2023-11-16T00:00:00"/>
        <d v="2023-11-15T00:00:00"/>
        <d v="2023-11-14T00:00:00"/>
        <d v="2023-11-13T00:00:00"/>
        <d v="2023-11-12T00:00:00"/>
        <d v="2023-11-08T00:00:00"/>
        <d v="2023-11-07T00:00:00"/>
        <d v="2023-11-06T00:00:00"/>
        <d v="2023-11-05T00:00:00"/>
        <d v="2023-11-02T00:00:00"/>
        <d v="2023-11-01T00:00:00"/>
        <d v="2023-10-31T00:00:00"/>
        <d v="2023-10-30T00:00:00"/>
        <d v="2023-10-29T00:00:00"/>
        <d v="2023-10-26T00:00:00"/>
        <d v="2023-10-25T00:00:00"/>
        <d v="2023-10-24T00:00:00"/>
        <d v="2023-10-23T00:00:00"/>
        <d v="2023-10-22T00:00:00"/>
        <d v="2023-10-19T00:00:00"/>
        <d v="2023-10-18T00:00:00"/>
        <d v="2023-10-17T00:00:00"/>
        <d v="2023-10-16T00:00:00"/>
        <d v="2023-10-15T00:00:00"/>
        <d v="2023-10-12T00:00:00"/>
        <d v="2023-10-11T00:00:00"/>
        <d v="2023-10-10T00:00:00"/>
        <d v="2023-10-09T00:00:00"/>
        <d v="2023-10-05T00:00:00"/>
        <d v="2023-10-04T00:00:00"/>
        <d v="2023-10-03T00:00:00"/>
        <d v="2023-10-02T00:00:00"/>
        <d v="2023-10-01T00:00:00"/>
        <d v="2023-09-28T00:00:00"/>
        <d v="2023-09-27T00:00:00"/>
        <d v="2023-09-26T00:00:00"/>
        <d v="2023-09-25T00:00:00"/>
        <d v="2023-09-24T00:00:00"/>
        <d v="2023-09-21T00:00:00"/>
        <d v="2023-09-20T00:00:00"/>
        <d v="2023-09-19T00:00:00"/>
        <d v="2023-09-18T00:00:00"/>
        <d v="2023-09-17T00:00:00"/>
        <d v="2023-09-14T00:00:00"/>
        <d v="2023-09-13T00:00:00"/>
        <d v="2023-09-12T00:00:00"/>
        <d v="2023-09-11T00:00:00"/>
        <d v="2023-09-10T00:00:00"/>
        <d v="2023-09-07T00:00:00"/>
        <d v="2023-09-06T00:00:00"/>
        <d v="2023-09-05T00:00:00"/>
        <d v="2023-09-04T00:00:00"/>
        <d v="2023-08-31T00:00:00"/>
        <d v="2023-08-30T00:00:00"/>
        <d v="2023-08-29T00:00:00"/>
        <d v="2023-08-28T00:00:00"/>
        <d v="2023-08-27T00:00:00"/>
        <d v="2023-08-24T00:00:00"/>
        <d v="2023-08-23T00:00:00"/>
        <d v="2023-08-22T00:00:00"/>
        <d v="2023-08-21T00:00:00"/>
        <d v="2023-08-20T00:00:00"/>
        <d v="2023-08-17T00:00:00"/>
        <d v="2023-08-16T00:00:00"/>
        <d v="2023-08-10T00:00:00"/>
        <d v="2023-08-09T00:00:00"/>
        <d v="2023-08-08T00:00:00"/>
        <d v="2023-08-07T00:00:00"/>
        <d v="2023-08-06T00:00:00"/>
        <d v="2023-08-03T00:00:00"/>
        <d v="2023-08-02T00:00:00"/>
        <d v="2023-08-01T00:00:00"/>
        <d v="2023-07-31T00:00:00"/>
        <d v="2023-07-30T00:00:00"/>
        <d v="2023-07-27T00:00:00"/>
        <d v="2023-07-26T00:00:00"/>
        <d v="2023-07-25T00:00:00"/>
        <d v="2023-07-24T00:00:00"/>
        <d v="2023-07-23T00:00:00"/>
        <d v="2023-07-20T00:00:00"/>
        <d v="2023-07-19T00:00:00"/>
        <d v="2023-07-18T00:00:00"/>
        <d v="2023-07-17T00:00:00"/>
        <d v="2023-07-16T00:00:00"/>
        <d v="2023-07-13T00:00:00"/>
        <d v="2023-07-12T00:00:00"/>
        <d v="2023-07-11T00:00:00"/>
        <d v="2023-07-10T00:00:00"/>
        <d v="2023-07-09T00:00:00"/>
        <d v="2023-07-06T00:00:00"/>
        <d v="2023-07-05T00:00:00"/>
        <d v="2023-07-04T00:00:00"/>
        <d v="2023-07-02T00:00:00"/>
        <d v="2023-06-29T00:00:00"/>
        <d v="2023-06-28T00:00:00"/>
        <d v="2023-06-27T00:00:00"/>
        <d v="2023-06-26T00:00:00"/>
        <d v="2023-06-25T00:00:00"/>
        <d v="2023-06-22T00:00:00"/>
        <d v="2023-06-21T00:00:00"/>
        <d v="2023-06-20T00:00:00"/>
        <d v="2023-06-19T00:00:00"/>
        <d v="2023-06-15T00:00:00"/>
        <d v="2023-06-14T00:00:00"/>
        <d v="2023-06-13T00:00:00"/>
        <d v="2023-06-12T00:00:00"/>
        <d v="2023-06-11T00:00:00"/>
        <d v="2023-06-08T00:00:00"/>
        <d v="2023-06-07T00:00:00"/>
        <d v="2023-06-06T00:00:00"/>
        <d v="2023-06-05T00:00:00"/>
        <d v="2023-06-04T00:00:00"/>
        <d v="2023-06-01T00:00:00"/>
        <d v="2023-05-31T00:00:00"/>
        <d v="2023-05-30T00:00:00"/>
        <d v="2023-05-29T00:00:00"/>
        <d v="2023-05-25T00:00:00"/>
        <d v="2023-05-24T00:00:00"/>
        <d v="2023-05-23T00:00:00"/>
        <d v="2023-05-22T00:00:00"/>
        <d v="2023-05-21T00:00:00"/>
        <d v="2023-05-18T00:00:00"/>
        <d v="2023-05-17T00:00:00"/>
        <d v="2023-05-16T00:00:00"/>
        <d v="2023-05-15T00:00:00"/>
        <d v="2023-05-14T00:00:00"/>
        <d v="2023-05-11T00:00:00"/>
        <d v="2023-05-10T00:00:00"/>
        <d v="2023-05-09T00:00:00"/>
        <d v="2023-05-08T00:00:00"/>
        <d v="2023-05-07T00:00:00"/>
        <d v="2023-05-04T00:00:00"/>
        <d v="2023-05-03T00:00:00"/>
        <d v="2023-05-02T00:00:00"/>
        <d v="2023-05-01T00:00:00"/>
        <d v="2023-04-30T00:00:00"/>
        <d v="2023-04-27T00:00:00"/>
        <d v="2023-04-26T00:00:00"/>
        <d v="2023-04-25T00:00:00"/>
        <d v="2023-04-24T00:00:00"/>
        <d v="2023-04-23T00:00:00"/>
        <d v="2023-04-20T00:00:00"/>
        <d v="2023-04-19T00:00:00"/>
        <d v="2023-04-18T00:00:00"/>
        <d v="2023-04-17T00:00:00"/>
        <d v="2023-04-16T00:00:00"/>
        <d v="2023-04-13T00:00:00"/>
        <d v="2023-04-12T00:00:00"/>
        <d v="2023-04-11T00:00:00"/>
        <d v="2023-04-10T00:00:00"/>
        <d v="2023-04-09T00:00:00"/>
        <d v="2023-04-06T00:00:00"/>
        <d v="2023-04-05T00:00:00"/>
        <d v="2023-04-04T00:00:00"/>
        <d v="2023-04-03T00:00:00"/>
        <d v="2023-04-02T00:00:00"/>
        <d v="2023-03-30T00:00:00"/>
        <d v="2023-03-29T00:00:00"/>
        <d v="2023-03-28T00:00:00"/>
        <d v="2023-03-27T00:00:00"/>
        <d v="2023-03-26T00:00:00"/>
        <d v="2023-03-23T00:00:00"/>
        <d v="2023-03-22T00:00:00"/>
        <d v="2023-03-21T00:00:00"/>
        <d v="2023-03-20T00:00:00"/>
        <d v="2023-03-19T00:00:00"/>
        <d v="2023-03-16T00:00:00"/>
        <d v="2023-03-15T00:00:00"/>
        <d v="2023-03-14T00:00:00"/>
        <d v="2023-03-13T00:00:00"/>
        <d v="2023-03-09T00:00:00"/>
        <d v="2023-03-08T00:00:00"/>
        <d v="2023-03-07T00:00:00"/>
        <d v="2023-03-02T00:00:00"/>
        <d v="2023-03-01T00:00:00"/>
        <d v="2023-02-28T00:00:00"/>
        <d v="2023-02-27T00:00:00"/>
        <d v="2023-02-26T00:00:00"/>
        <d v="2023-02-23T00:00:00"/>
        <d v="2023-02-22T00:00:00"/>
        <d v="2023-02-21T00:00:00"/>
        <d v="2023-02-20T00:00:00"/>
        <d v="2023-02-16T00:00:00"/>
        <d v="2023-02-15T00:00:00"/>
        <d v="2023-02-14T00:00:00"/>
        <d v="2023-02-13T00:00:00"/>
        <d v="2023-02-12T00:00:00"/>
        <d v="2023-02-09T00:00:00"/>
        <d v="2023-02-08T00:00:00"/>
        <d v="2023-02-07T00:00:00"/>
        <d v="2023-02-06T00:00:00"/>
        <d v="2023-02-05T00:00:00"/>
        <d v="2023-02-02T00:00:00"/>
        <d v="2023-02-01T00:00:00"/>
        <d v="2023-01-31T00:00:00"/>
        <d v="2023-01-30T00:00:00"/>
        <d v="2023-01-29T00:00:00"/>
        <d v="2023-01-25T00:00:00"/>
        <d v="2023-01-24T00:00:00"/>
        <d v="2023-01-23T00:00:00"/>
        <d v="2023-01-22T00:00:00"/>
        <d v="2023-01-12T00:00:00"/>
        <m/>
      </sharedItems>
      <fieldGroup par="16"/>
    </cacheField>
    <cacheField name="Children apprehended and placed in CBP custody*" numFmtId="49">
      <sharedItems containsString="0" containsBlank="1" containsNumber="1" containsInteger="1" minValue="0" maxValue="333"/>
    </cacheField>
    <cacheField name="Children in CBP custody" numFmtId="49">
      <sharedItems containsString="0" containsBlank="1" containsNumber="1" containsInteger="1" minValue="7" maxValue="531"/>
    </cacheField>
    <cacheField name="Children transferred out of CBP custody" numFmtId="49">
      <sharedItems containsString="0" containsBlank="1" containsNumber="1" containsInteger="1" minValue="0" maxValue="440"/>
    </cacheField>
    <cacheField name="Children in HHS Care" numFmtId="0">
      <sharedItems containsString="0" containsBlank="1" containsNumber="1" containsInteger="1" minValue="1972" maxValue="11516"/>
    </cacheField>
    <cacheField name="Children discharged from HHS Care" numFmtId="0">
      <sharedItems containsString="0" containsBlank="1" containsNumber="1" containsInteger="1" minValue="0" maxValue="505"/>
    </cacheField>
    <cacheField name="Total System Load" numFmtId="49">
      <sharedItems containsString="0" containsBlank="1" containsNumber="1" containsInteger="1" minValue="2002" maxValue="11762"/>
    </cacheField>
    <cacheField name="Net Daily Intake" numFmtId="0">
      <sharedItems containsString="0" containsBlank="1" containsNumber="1" containsInteger="1" minValue="1951" maxValue="11126" count="657">
        <n v="2470"/>
        <n v="2456"/>
        <n v="2471"/>
        <n v="2459"/>
        <n v="2463"/>
        <n v="2454"/>
        <n v="2427"/>
        <n v="2430"/>
        <n v="2435"/>
        <n v="2436"/>
        <n v="2417"/>
        <n v="2405"/>
        <n v="2412"/>
        <n v="2399"/>
        <n v="2401"/>
        <n v="2415"/>
        <n v="2382"/>
        <n v="2364"/>
        <n v="2358"/>
        <n v="2374"/>
        <n v="2331"/>
        <n v="2330"/>
        <n v="2333"/>
        <n v="2335"/>
        <n v="2312"/>
        <n v="2295"/>
        <n v="2280"/>
        <n v="2290"/>
        <n v="2245"/>
        <n v="2265"/>
        <n v="2262"/>
        <n v="2257"/>
        <n v="2270"/>
        <n v="2275"/>
        <n v="2263"/>
        <n v="2271"/>
        <n v="2266"/>
        <n v="2248"/>
        <n v="2249"/>
        <n v="2242"/>
        <n v="2236"/>
        <n v="2230"/>
        <n v="2224"/>
        <n v="2210"/>
        <n v="2227"/>
        <n v="2217"/>
        <n v="2180"/>
        <n v="2175"/>
        <n v="2179"/>
        <n v="2177"/>
        <n v="2164"/>
        <n v="2148"/>
        <n v="2149"/>
        <n v="2152"/>
        <n v="2135"/>
        <n v="2137"/>
        <n v="2114"/>
        <n v="2121"/>
        <n v="2130"/>
        <n v="2131"/>
        <n v="2129"/>
        <n v="2082"/>
        <n v="2083"/>
        <n v="2076"/>
        <n v="2078"/>
        <n v="2041"/>
        <n v="2007"/>
        <n v="2009"/>
        <n v="2019"/>
        <n v="2001"/>
        <n v="2011"/>
        <n v="2005"/>
        <n v="1967"/>
        <n v="1969"/>
        <n v="1974"/>
        <n v="1976"/>
        <n v="1951"/>
        <n v="1973"/>
        <n v="1971"/>
        <n v="1988"/>
        <n v="1983"/>
        <n v="1980"/>
        <n v="1990"/>
        <n v="1994"/>
        <n v="2014"/>
        <n v="2023"/>
        <n v="2028"/>
        <n v="2026"/>
        <n v="2044"/>
        <n v="2043"/>
        <n v="2047"/>
        <n v="2060"/>
        <n v="2066"/>
        <n v="2084"/>
        <n v="2067"/>
        <n v="2097"/>
        <n v="2101"/>
        <n v="2105"/>
        <n v="2136"/>
        <n v="2153"/>
        <n v="2154"/>
        <n v="2155"/>
        <n v="2194"/>
        <n v="2213"/>
        <n v="2286"/>
        <n v="2297"/>
        <n v="2324"/>
        <n v="2369"/>
        <n v="2391"/>
        <n v="2393"/>
        <n v="2446"/>
        <n v="2473"/>
        <n v="2478"/>
        <n v="2501"/>
        <n v="2483"/>
        <n v="2509"/>
        <n v="2499"/>
        <n v="2507"/>
        <n v="2494"/>
        <n v="2482"/>
        <n v="2500"/>
        <n v="2504"/>
        <n v="2502"/>
        <n v="2516"/>
        <n v="2495"/>
        <n v="2485"/>
        <n v="2493"/>
        <n v="2458"/>
        <n v="2449"/>
        <n v="2451"/>
        <n v="2428"/>
        <n v="2396"/>
        <n v="2383"/>
        <n v="2385"/>
        <n v="2350"/>
        <n v="2325"/>
        <n v="2323"/>
        <n v="2314"/>
        <n v="2289"/>
        <n v="2299"/>
        <n v="2281"/>
        <n v="2288"/>
        <n v="2302"/>
        <n v="2301"/>
        <n v="2274"/>
        <n v="2283"/>
        <n v="2279"/>
        <n v="2269"/>
        <n v="2258"/>
        <n v="2259"/>
        <n v="2246"/>
        <n v="2234"/>
        <n v="2232"/>
        <n v="2223"/>
        <n v="2215"/>
        <n v="2205"/>
        <n v="2188"/>
        <n v="2186"/>
        <n v="2157"/>
        <n v="2139"/>
        <n v="2132"/>
        <n v="2134"/>
        <n v="2117"/>
        <n v="2110"/>
        <n v="2103"/>
        <n v="2112"/>
        <n v="2096"/>
        <n v="2102"/>
        <n v="2107"/>
        <n v="2185"/>
        <n v="2198"/>
        <n v="2354"/>
        <n v="2388"/>
        <n v="2390"/>
        <n v="2389"/>
        <n v="2488"/>
        <n v="2527"/>
        <n v="2517"/>
        <n v="2631"/>
        <n v="2686"/>
        <n v="2749"/>
        <n v="2771"/>
        <n v="2779"/>
        <n v="3036"/>
        <n v="3186"/>
        <n v="3285"/>
        <n v="3301"/>
        <n v="3315"/>
        <n v="3764"/>
        <n v="3937"/>
        <n v="3995"/>
        <n v="4034"/>
        <n v="4059"/>
        <n v="4447"/>
        <n v="4634"/>
        <n v="4674"/>
        <n v="4511"/>
        <n v="4452"/>
        <n v="4722"/>
        <n v="4739"/>
        <n v="4818"/>
        <n v="4838"/>
        <n v="4857"/>
        <n v="5343"/>
        <n v="5421"/>
        <n v="5570"/>
        <n v="5579"/>
        <n v="5697"/>
        <n v="6122"/>
        <n v="6261"/>
        <n v="6277"/>
        <n v="6249"/>
        <n v="6572"/>
        <n v="6582"/>
        <n v="6467"/>
        <n v="6317"/>
        <n v="6327"/>
        <n v="6362"/>
        <n v="6464"/>
        <n v="6355"/>
        <n v="6305"/>
        <n v="6184"/>
        <n v="6287"/>
        <n v="6250"/>
        <n v="6161"/>
        <n v="6094"/>
        <n v="6114"/>
        <n v="6160"/>
        <n v="6154"/>
        <n v="6085"/>
        <n v="5946"/>
        <n v="5837"/>
        <n v="5820"/>
        <n v="5651"/>
        <n v="5714"/>
        <n v="5586"/>
        <n v="5457"/>
        <n v="5640"/>
        <n v="5731"/>
        <n v="5698"/>
        <n v="5681"/>
        <n v="5621"/>
        <n v="5853"/>
        <n v="5815"/>
        <n v="5818"/>
        <n v="5907"/>
        <n v="5949"/>
        <n v="5919"/>
        <n v="5875"/>
        <n v="5806"/>
        <n v="5971"/>
        <n v="5989"/>
        <n v="5980"/>
        <n v="5852"/>
        <n v="5782"/>
        <n v="5939"/>
        <n v="5934"/>
        <n v="5812"/>
        <n v="5723"/>
        <n v="5916"/>
        <n v="5906"/>
        <n v="5829"/>
        <n v="5679"/>
        <n v="5910"/>
        <n v="5890"/>
        <n v="5925"/>
        <n v="5918"/>
        <n v="5903"/>
        <n v="5748"/>
        <n v="5905"/>
        <n v="5881"/>
        <n v="5880"/>
        <n v="5792"/>
        <n v="6082"/>
        <n v="6096"/>
        <n v="6067"/>
        <n v="6065"/>
        <n v="6024"/>
        <n v="6047"/>
        <n v="6140"/>
        <n v="6248"/>
        <n v="6212"/>
        <n v="6091"/>
        <n v="6063"/>
        <n v="6081"/>
        <n v="6093"/>
        <n v="6055"/>
        <n v="5883"/>
        <n v="5872"/>
        <n v="5707"/>
        <n v="5643"/>
        <n v="5675"/>
        <n v="5809"/>
        <n v="5858"/>
        <n v="5755"/>
        <n v="5645"/>
        <n v="5864"/>
        <n v="5855"/>
        <n v="5800"/>
        <n v="5773"/>
        <n v="5847"/>
        <n v="5838"/>
        <n v="5656"/>
        <n v="5536"/>
        <n v="5760"/>
        <n v="5750"/>
        <n v="5795"/>
        <n v="5768"/>
        <n v="5796"/>
        <n v="6041"/>
        <n v="6066"/>
        <n v="6112"/>
        <n v="6071"/>
        <n v="6443"/>
        <n v="6472"/>
        <n v="6521"/>
        <n v="6494"/>
        <n v="6386"/>
        <n v="6565"/>
        <n v="6639"/>
        <n v="6596"/>
        <n v="6601"/>
        <n v="6980"/>
        <n v="7081"/>
        <n v="7037"/>
        <n v="6953"/>
        <n v="7196"/>
        <n v="7235"/>
        <n v="7126"/>
        <n v="7094"/>
        <n v="7013"/>
        <n v="7285"/>
        <n v="7336"/>
        <n v="7337"/>
        <n v="7227"/>
        <n v="7139"/>
        <n v="7503"/>
        <n v="7493"/>
        <n v="7362"/>
        <n v="7372"/>
        <n v="7240"/>
        <n v="7373"/>
        <n v="7350"/>
        <n v="7267"/>
        <n v="7198"/>
        <n v="7266"/>
        <n v="7259"/>
        <n v="7176"/>
        <n v="7058"/>
        <n v="7331"/>
        <n v="7324"/>
        <n v="7360"/>
        <n v="7342"/>
        <n v="7219"/>
        <n v="7326"/>
        <n v="7381"/>
        <n v="7403"/>
        <n v="7244"/>
        <n v="7115"/>
        <n v="7383"/>
        <n v="7318"/>
        <n v="7296"/>
        <n v="7186"/>
        <n v="7048"/>
        <n v="6992"/>
        <n v="6974"/>
        <n v="6833"/>
        <n v="6585"/>
        <n v="6505"/>
        <n v="6468"/>
        <n v="6498"/>
        <n v="6522"/>
        <n v="6490"/>
        <n v="6340"/>
        <n v="6627"/>
        <n v="6772"/>
        <n v="6913"/>
        <n v="6789"/>
        <n v="6703"/>
        <n v="7092"/>
        <n v="7183"/>
        <n v="7208"/>
        <n v="7099"/>
        <n v="6970"/>
        <n v="7402"/>
        <n v="7678"/>
        <n v="7711"/>
        <n v="7670"/>
        <n v="7526"/>
        <n v="8057"/>
        <n v="8138"/>
        <n v="8193"/>
        <n v="8050"/>
        <n v="8031"/>
        <n v="8385"/>
        <n v="8580"/>
        <n v="8630"/>
        <n v="8504"/>
        <n v="8341"/>
        <n v="8597"/>
        <n v="8638"/>
        <n v="8586"/>
        <n v="8431"/>
        <n v="8240"/>
        <n v="8425"/>
        <n v="8442"/>
        <n v="8444"/>
        <n v="8075"/>
        <n v="8314"/>
        <n v="8342"/>
        <n v="8296"/>
        <n v="8162"/>
        <n v="8151"/>
        <n v="8282"/>
        <n v="8188"/>
        <n v="7858"/>
        <n v="7709"/>
        <n v="7873"/>
        <n v="7938"/>
        <n v="7867"/>
        <n v="7630"/>
        <n v="7471"/>
        <n v="7689"/>
        <n v="7887"/>
        <n v="7995"/>
        <n v="7862"/>
        <n v="7697"/>
        <n v="7969"/>
        <n v="7931"/>
        <n v="7786"/>
        <n v="7603"/>
        <n v="7683"/>
        <n v="7719"/>
        <n v="7945"/>
        <n v="7799"/>
        <n v="8353"/>
        <n v="8795"/>
        <n v="9025"/>
        <n v="9303"/>
        <n v="10196"/>
        <n v="10455"/>
        <n v="10454"/>
        <n v="10580"/>
        <n v="10873"/>
        <n v="10871"/>
        <n v="10929"/>
        <n v="10797"/>
        <n v="10878"/>
        <n v="11126"/>
        <n v="11019"/>
        <n v="10785"/>
        <n v="10636"/>
        <n v="10846"/>
        <n v="10857"/>
        <n v="10818"/>
        <n v="10694"/>
        <n v="10460"/>
        <n v="10431"/>
        <n v="10456"/>
        <n v="10500"/>
        <n v="10362"/>
        <n v="10162"/>
        <n v="10216"/>
        <n v="10114"/>
        <n v="10000"/>
        <n v="9909"/>
        <n v="9533"/>
        <n v="9555"/>
        <n v="9554"/>
        <n v="9340"/>
        <n v="9138"/>
        <n v="9388"/>
        <n v="9446"/>
        <n v="9418"/>
        <n v="9223"/>
        <n v="9164"/>
        <n v="9324"/>
        <n v="9252"/>
        <n v="8970"/>
        <n v="8903"/>
        <n v="9112"/>
        <n v="8971"/>
        <n v="8777"/>
        <n v="8748"/>
        <n v="8507"/>
        <n v="8845"/>
        <n v="9058"/>
        <n v="9096"/>
        <n v="9109"/>
        <n v="9052"/>
        <n v="9913"/>
        <n v="10118"/>
        <n v="10315"/>
        <n v="10298"/>
        <n v="10137"/>
        <n v="10594"/>
        <n v="10653"/>
        <n v="10533"/>
        <n v="10703"/>
        <n v="10633"/>
        <n v="10531"/>
        <n v="10440"/>
        <n v="10105"/>
        <n v="10537"/>
        <n v="10686"/>
        <n v="10646"/>
        <n v="10558"/>
        <n v="10341"/>
        <n v="10639"/>
        <n v="10700"/>
        <n v="10835"/>
        <n v="10579"/>
        <n v="10372"/>
        <n v="10423"/>
        <n v="10335"/>
        <n v="10333"/>
        <n v="10215"/>
        <n v="9900"/>
        <n v="10021"/>
        <n v="10065"/>
        <n v="9899"/>
        <n v="9695"/>
        <n v="9635"/>
        <n v="9914"/>
        <n v="9894"/>
        <n v="9624"/>
        <n v="9385"/>
        <n v="9583"/>
        <n v="9786"/>
        <n v="9691"/>
        <n v="9387"/>
        <n v="9093"/>
        <n v="9287"/>
        <n v="9346"/>
        <n v="8561"/>
        <n v="8637"/>
        <n v="8518"/>
        <n v="8291"/>
        <n v="7976"/>
        <n v="7955"/>
        <n v="7990"/>
        <n v="7935"/>
        <n v="7580"/>
        <n v="7366"/>
        <n v="7495"/>
        <n v="7432"/>
        <n v="7374"/>
        <n v="7033"/>
        <n v="6776"/>
        <n v="6835"/>
        <n v="6775"/>
        <n v="6693"/>
        <n v="6378"/>
        <n v="6311"/>
        <n v="6183"/>
        <n v="6018"/>
        <n v="6034"/>
        <n v="6026"/>
        <n v="6003"/>
        <n v="5594"/>
        <n v="5845"/>
        <n v="5825"/>
        <n v="5762"/>
        <n v="5503"/>
        <n v="5749"/>
        <n v="5770"/>
        <n v="5537"/>
        <n v="5766"/>
        <n v="5898"/>
        <n v="5915"/>
        <n v="5844"/>
        <n v="5769"/>
        <n v="6191"/>
        <n v="6275"/>
        <n v="6321"/>
        <n v="6334"/>
        <n v="6263"/>
        <n v="6715"/>
        <n v="6843"/>
        <n v="6878"/>
        <n v="7138"/>
        <n v="7433"/>
        <n v="7542"/>
        <n v="7608"/>
        <n v="7483"/>
        <n v="8123"/>
        <n v="8262"/>
        <n v="8300"/>
        <n v="8294"/>
        <n v="8157"/>
        <n v="8280"/>
        <n v="8377"/>
        <n v="8356"/>
        <n v="8329"/>
        <n v="8110"/>
        <n v="8458"/>
        <n v="8437"/>
        <n v="8409"/>
        <n v="8255"/>
        <n v="8059"/>
        <n v="7849"/>
        <n v="7861"/>
        <n v="7815"/>
        <n v="7583"/>
        <n v="7268"/>
        <n v="7170"/>
        <n v="7127"/>
        <n v="7142"/>
        <n v="7096"/>
        <n v="7108"/>
        <n v="7425"/>
        <n v="7593"/>
        <n v="7735"/>
        <n v="7561"/>
        <n v="7571"/>
        <n v="7894"/>
        <n v="7915"/>
        <n v="7809"/>
        <n v="7770"/>
        <n v="7677"/>
        <n v="7941"/>
        <n v="7856"/>
        <n v="7759"/>
        <n v="7771"/>
        <n v="7851"/>
        <n v="7829"/>
        <n v="7652"/>
        <n v="7579"/>
        <n v="7681"/>
        <n v="7629"/>
        <n v="7446"/>
        <n v="7594"/>
        <n v="7600"/>
        <n v="7535"/>
        <n v="7623"/>
        <n v="7696"/>
        <n v="7552"/>
        <n v="7286"/>
        <n v="7528"/>
        <n v="7746"/>
        <n v="7754"/>
        <n v="7239"/>
        <n v="7117"/>
        <n v="7555"/>
        <n v="7598"/>
        <n v="7655"/>
        <n v="7524"/>
        <n v="7581"/>
        <n v="7672"/>
        <n v="7645"/>
        <n v="7547"/>
        <n v="7169"/>
        <n v="7358"/>
        <n v="7258"/>
        <n v="6895"/>
        <n v="6130"/>
        <m/>
      </sharedItems>
    </cacheField>
    <cacheField name="Care Load Growth Rate" numFmtId="0">
      <sharedItems containsString="0" containsBlank="1" containsNumber="1" minValue="-1" maxValue="0.13544494720965308"/>
    </cacheField>
    <cacheField name="Backlog Indicator" numFmtId="0">
      <sharedItems containsBlank="1"/>
    </cacheField>
    <cacheField name="Daily Intake" numFmtId="0">
      <sharedItems containsString="0" containsBlank="1" containsNumber="1" minValue="0.89537392138063276" maxValue="0.99341486359360298"/>
    </cacheField>
    <cacheField name="Weekly Intake" numFmtId="0">
      <sharedItems containsString="0" containsBlank="1" containsNumber="1" minValue="6.2676174496644297" maxValue="6.9539040451552205"/>
    </cacheField>
    <cacheField name="Monthly Intake" numFmtId="0">
      <sharedItems containsString="0" containsBlank="1" containsNumber="1" minValue="26.861217641418982" maxValue="29.802445907808089"/>
    </cacheField>
    <cacheField name="Stress" numFmtId="0">
      <sharedItems containsBlank="1"/>
    </cacheField>
    <cacheField name="Months (Date)" numFmtId="0" databaseField="0">
      <fieldGroup base="0">
        <rangePr groupBy="months" startDate="2023-01-12T00:00:00" endDate="2025-12-22T00:00:00"/>
        <groupItems count="14">
          <s v="&lt;1/12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2/2025"/>
        </groupItems>
      </fieldGroup>
    </cacheField>
    <cacheField name="Quarters (Date)" numFmtId="0" databaseField="0">
      <fieldGroup base="0">
        <rangePr groupBy="quarters" startDate="2023-01-12T00:00:00" endDate="2025-12-22T00:00:00"/>
        <groupItems count="6">
          <s v="&lt;1/12/2023"/>
          <s v="Qtr1"/>
          <s v="Qtr2"/>
          <s v="Qtr3"/>
          <s v="Qtr4"/>
          <s v="&gt;12/22/2025"/>
        </groupItems>
      </fieldGroup>
    </cacheField>
    <cacheField name="Years (Date)" numFmtId="0" databaseField="0">
      <fieldGroup base="0">
        <rangePr groupBy="years" startDate="2023-01-12T00:00:00" endDate="2025-12-22T00:00:00"/>
        <groupItems count="5">
          <s v="&lt;1/12/2023"/>
          <s v="2023"/>
          <s v="2024"/>
          <s v="2025"/>
          <s v="&gt;12/22/2025"/>
        </groupItems>
      </fieldGroup>
    </cacheField>
  </cacheFields>
  <extLst>
    <ext xmlns:x14="http://schemas.microsoft.com/office/spreadsheetml/2009/9/main" uri="{725AE2AE-9491-48be-B2B4-4EB974FC3084}">
      <x14:pivotCacheDefinition pivotCacheId="128006479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jin Jacob" refreshedDate="46174.589713541667" createdVersion="8" refreshedVersion="8" minRefreshableVersion="3" recordCount="720" xr:uid="{92700303-BDC9-4A68-BC99-F448FEC708F5}">
  <cacheSource type="worksheet">
    <worksheetSource ref="A1:O721" sheet="HHS_Unaccompanied_Alien_Childre"/>
  </cacheSource>
  <cacheFields count="15">
    <cacheField name="Date" numFmtId="14">
      <sharedItems containsSemiMixedTypes="0" containsNonDate="0" containsDate="1" containsString="0" minDate="2023-01-12T00:00:00" maxDate="2025-12-22T00:00:00"/>
    </cacheField>
    <cacheField name="Children apprehended and placed in CBP custody*" numFmtId="49">
      <sharedItems containsSemiMixedTypes="0" containsString="0" containsNumber="1" containsInteger="1" minValue="0" maxValue="333"/>
    </cacheField>
    <cacheField name="Children in CBP custody" numFmtId="49">
      <sharedItems containsSemiMixedTypes="0" containsString="0" containsNumber="1" containsInteger="1" minValue="7" maxValue="531"/>
    </cacheField>
    <cacheField name="Children transferred out of CBP custody" numFmtId="49">
      <sharedItems containsSemiMixedTypes="0" containsString="0" containsNumber="1" containsInteger="1" minValue="0" maxValue="440"/>
    </cacheField>
    <cacheField name="Children in HHS Care" numFmtId="0">
      <sharedItems containsSemiMixedTypes="0" containsString="0" containsNumber="1" containsInteger="1" minValue="1972" maxValue="11516"/>
    </cacheField>
    <cacheField name="Children discharged from HHS Care" numFmtId="0">
      <sharedItems containsSemiMixedTypes="0" containsString="0" containsNumber="1" containsInteger="1" minValue="0" maxValue="505"/>
    </cacheField>
    <cacheField name="Total System Load" numFmtId="49">
      <sharedItems containsSemiMixedTypes="0" containsString="0" containsNumber="1" containsInteger="1" minValue="2002" maxValue="11762"/>
    </cacheField>
    <cacheField name="Net Daily Intake" numFmtId="0">
      <sharedItems containsSemiMixedTypes="0" containsString="0" containsNumber="1" containsInteger="1" minValue="1951" maxValue="11126"/>
    </cacheField>
    <cacheField name="Care Load Growth Rate" numFmtId="0">
      <sharedItems containsSemiMixedTypes="0" containsString="0" containsNumber="1" minValue="-1" maxValue="0.13544494720965308"/>
    </cacheField>
    <cacheField name="Backlog Indicator" numFmtId="0">
      <sharedItems/>
    </cacheField>
    <cacheField name="Daily Intake" numFmtId="49">
      <sharedItems containsSemiMixedTypes="0" containsString="0" containsNumber="1" minValue="0.89537392138063276" maxValue="0.99341486359360298"/>
    </cacheField>
    <cacheField name="Weekly Intake" numFmtId="49">
      <sharedItems containsSemiMixedTypes="0" containsString="0" containsNumber="1" minValue="6.2676174496644297" maxValue="6.9539040451552205"/>
    </cacheField>
    <cacheField name="Monthly Intake" numFmtId="49">
      <sharedItems containsSemiMixedTypes="0" containsString="0" containsNumber="1" minValue="26.861217641418982" maxValue="29.802445907808089" count="719">
        <n v="29.61630695443645"/>
        <n v="29.214908802537668"/>
        <n v="29.510350318471339"/>
        <n v="29.250594766058683"/>
        <n v="29.414808917197455"/>
        <n v="29.483380056067283"/>
        <n v="29.311594202898551"/>
        <n v="29.241877256317689"/>
        <n v="29.539021431459766"/>
        <n v="29.623023915687067"/>
        <n v="29.559722788422338"/>
        <n v="29.365079365079364"/>
        <n v="29.522643818849449"/>
        <n v="29.483818107333061"/>
        <n v="29.568965517241381"/>
        <n v="29.778051787916155"/>
        <n v="29.614587650227932"/>
        <n v="29.281585466556564"/>
        <n v="29.340522604728328"/>
        <n v="29.417596034696405"/>
        <n v="29.173967459324153"/>
        <n v="29.468802698145026"/>
        <n v="29.370541334452369"/>
        <n v="29.457527333894028"/>
        <n v="29.657070279424218"/>
        <n v="29.603072983354675"/>
        <n v="29.297872340425531"/>
        <n v="29.318474067723962"/>
        <n v="29.522990975504943"/>
        <n v="29.320853286895954"/>
        <n v="29.377431906614785"/>
        <n v="29.465914025184542"/>
        <n v="29.477579451458425"/>
        <n v="29.634464751958227"/>
        <n v="29.622395833333332"/>
        <n v="29.453362255965292"/>
        <n v="29.636048526863085"/>
        <n v="29.455252918287936"/>
        <n v="29.415837299870187"/>
        <n v="29.411251635412121"/>
        <n v="29.29656969170647"/>
        <n v="29.37117903930131"/>
        <n v="29.39526730937774"/>
        <n v="29.458388375165125"/>
        <n v="29.443954104148279"/>
        <n v="29.414374445430347"/>
        <n v="29.496688741721854"/>
        <n v="29.599465954606138"/>
        <n v="29.10547396528705"/>
        <n v="29.116465863453815"/>
        <n v="29.261414503133391"/>
        <n v="29.418918918918919"/>
        <n v="29.40217391304348"/>
        <n v="29.092550790067722"/>
        <n v="29.357923497267759"/>
        <n v="29.465997261524418"/>
        <n v="29.340357306459001"/>
        <n v="29.475862068965519"/>
        <n v="29.26626672819566"/>
        <n v="29.241727941176471"/>
        <n v="29.298486932599726"/>
        <n v="29.312242090784046"/>
        <n v="29.446749654218532"/>
        <n v="29.07821229050279"/>
        <n v="29.283036551077785"/>
        <n v="29.434762129062648"/>
        <n v="29.19831223628692"/>
        <n v="29.377945334590009"/>
        <n v="29.366906474820141"/>
        <n v="29.058880308880308"/>
        <n v="29.1864406779661"/>
        <n v="29.546341463414635"/>
        <n v="29.618581907090466"/>
        <n v="29.211678832116789"/>
        <n v="29.4287109375"/>
        <n v="29.357664233576642"/>
        <n v="29.499754781755762"/>
        <n v="29.2563212692117"/>
        <n v="29.431988041853511"/>
        <n v="29.46268656716418"/>
        <n v="29.388059701492537"/>
        <n v="29.61038961038961"/>
        <n v="28.96091044037605"/>
        <n v="29.287481444829293"/>
        <n v="29.315136476426797"/>
        <n v="29.49127182044888"/>
        <n v="29.74563591022444"/>
        <n v="29.435922810489856"/>
        <n v="29.420505200594352"/>
        <n v="29.307805596465389"/>
        <n v="29.421364985163201"/>
        <n v="29.555335968379445"/>
        <n v="29.487554904831626"/>
        <n v="29.561617145640525"/>
        <n v="29.491032476975278"/>
        <n v="29.476236663433557"/>
        <n v="29.551807228915663"/>
        <n v="29.651669085631351"/>
        <n v="29.552454282964391"/>
        <n v="29.711538461538463"/>
        <n v="29.669698420296793"/>
        <n v="29.771428571428572"/>
        <n v="29.333017975402079"/>
        <n v="29.507504690431521"/>
        <n v="29.591549295774648"/>
        <n v="29.523141654978964"/>
        <n v="29.543568464730292"/>
        <n v="29.723884031293142"/>
        <n v="29.655805415328132"/>
        <n v="29.520547945205479"/>
        <n v="29.688768606224627"/>
        <n v="29.324204946996463"/>
        <n v="29.347542409743365"/>
        <n v="29.534883720930232"/>
        <n v="29.511777301927193"/>
        <n v="29.680715197956577"/>
        <n v="29.27287923109068"/>
        <n v="29.550935550935552"/>
        <n v="29.530671058048583"/>
        <n v="29.543209876543209"/>
        <n v="29.462540716612377"/>
        <n v="29.564867042707494"/>
        <n v="29.569549621363091"/>
        <n v="29.617529880478088"/>
        <n v="29.761999206664022"/>
        <n v="29.55952380952381"/>
        <n v="29.552414605418139"/>
        <n v="29.527372981488778"/>
        <n v="29.645250295624752"/>
        <n v="29.655172413793103"/>
        <n v="29.442467378410438"/>
        <n v="29.620853080568722"/>
        <n v="29.551534225019672"/>
        <n v="29.586125344895546"/>
        <n v="29.576802507836991"/>
        <n v="29.422169811320757"/>
        <n v="29.373522458628841"/>
        <n v="29.584651898734176"/>
        <n v="29.390195296931047"/>
        <n v="29.051008303677342"/>
        <n v="29.60144927536232"/>
        <n v="29.549695740365113"/>
        <n v="29.446947972142567"/>
        <n v="29.492574257425741"/>
        <n v="29.50474618241849"/>
        <n v="29.505154639175256"/>
        <n v="29.713097713097714"/>
        <n v="29.559748427672954"/>
        <n v="29.492600422832982"/>
        <n v="29.38026981450253"/>
        <n v="29.229473684210529"/>
        <n v="29.543533389687234"/>
        <n v="29.38408896492729"/>
        <n v="29.411011523687581"/>
        <n v="29.484757406612278"/>
        <n v="29.562794684954994"/>
        <n v="29.436138402392139"/>
        <n v="29.71341728180634"/>
        <n v="29.560912613000433"/>
        <n v="29.535283993115318"/>
        <n v="29.601371624517789"/>
        <n v="29.754310344827587"/>
        <n v="29.48141745894555"/>
        <n v="29.508832399827661"/>
        <n v="29.661605206073752"/>
        <n v="29.49306759098787"/>
        <n v="29.623213512343003"/>
        <n v="29.593709043250328"/>
        <n v="29.593886462882097"/>
        <n v="29.682819383259911"/>
        <n v="29.433465085639"/>
        <n v="29.641434262948209"/>
        <n v="29.666370106761565"/>
        <n v="29.546465095598045"/>
        <n v="29.544439481911567"/>
        <n v="29.35339021104625"/>
        <n v="29.594229035166816"/>
        <n v="29.701086956521738"/>
        <n v="29.710743801652892"/>
        <n v="29.683486238532108"/>
        <n v="29.653419593345657"/>
        <n v="29.721189591078069"/>
        <n v="29.570438799076211"/>
        <n v="29.622201492537314"/>
        <n v="29.565623540401681"/>
        <n v="29.412039197386839"/>
        <n v="29.689411764705884"/>
        <n v="29.802445907808089"/>
        <n v="29.634831460674157"/>
        <n v="29.633974659784137"/>
        <n v="29.562764456981665"/>
        <n v="29.289363678588018"/>
        <n v="29.236817761332102"/>
        <n v="29.198218262806236"/>
        <n v="29.202834366696191"/>
        <n v="29.281671745755332"/>
        <n v="29.300518134715027"/>
        <n v="29.289099526066352"/>
        <n v="29.351620947630924"/>
        <n v="29.457236842105264"/>
        <n v="29.628099173553721"/>
        <n v="29.433264887063658"/>
        <n v="29.372693726937268"/>
        <n v="29.328094302554028"/>
        <n v="29.575638506876228"/>
        <n v="29.671232876712331"/>
        <n v="29.62338171832091"/>
        <n v="29.093254699594546"/>
        <n v="29.069264069264069"/>
        <n v="29.23431407302375"/>
        <n v="29.147966339410942"/>
        <n v="28.837772397094433"/>
        <n v="28.347338935574228"/>
        <n v="28.73722188815394"/>
        <n v="28.874890125988866"/>
        <n v="28.720997679814385"/>
        <n v="28.373751783166906"/>
        <n v="28.47919293820933"/>
        <n v="28.906020558002936"/>
        <n v="28.914354644149576"/>
        <n v="28.718557190317988"/>
        <n v="28.371388630009321"/>
        <n v="28.409284497444634"/>
        <n v="28.878271707519733"/>
        <n v="29.261268781302171"/>
        <n v="28.454583683767872"/>
        <n v="27.94142259414226"/>
        <n v="27.902304510537721"/>
        <n v="28.069101678183614"/>
        <n v="28.447156071639441"/>
        <n v="28.31447522434647"/>
        <n v="28.048123195380171"/>
        <n v="28.679549114331724"/>
        <n v="28.606860158311346"/>
        <n v="28.880055305910819"/>
        <n v="28.713329902213072"/>
        <n v="28.700251889168765"/>
        <n v="28.868280414963849"/>
        <n v="29.026425591098747"/>
        <n v="28.488653555219365"/>
        <n v="28.254709871891485"/>
        <n v="28.870991360374873"/>
        <n v="28.822069770836375"/>
        <n v="28.011839445567428"/>
        <n v="27.698041508330896"/>
        <n v="27.709489051094891"/>
        <n v="27.219053051911011"/>
        <n v="28.173761441232021"/>
        <n v="27.970950704225352"/>
        <n v="28.059635068980864"/>
        <n v="27.504818383988137"/>
        <n v="28.008613008613008"/>
        <n v="27.757216876387862"/>
        <n v="27.852622061482823"/>
        <n v="27.771532735834725"/>
        <n v="28.093122989738092"/>
        <n v="28.029728499924161"/>
        <n v="28.342032545287076"/>
        <n v="28.425724073497353"/>
        <n v="27.911125019558757"/>
        <n v="27.830578512396691"/>
        <n v="27.967323402210475"/>
        <n v="27.216246588537487"/>
        <n v="28.110856018366679"/>
        <n v="27.874251497005989"/>
        <n v="27.528165461577267"/>
        <n v="27.902374670184695"/>
        <n v="28.226892135938268"/>
        <n v="28.240541880059475"/>
        <n v="28.301228827632016"/>
        <n v="27.983737139064054"/>
        <n v="28.121396540679054"/>
        <n v="28.087264530671387"/>
        <n v="28.198067632850243"/>
        <n v="28.603736479842674"/>
        <n v="28.057314756174794"/>
        <n v="28.140964995269631"/>
        <n v="28.230524642289346"/>
        <n v="28.354247104247104"/>
        <n v="28.271384515500731"/>
        <n v="28.015326868939631"/>
        <n v="27.96420233463035"/>
        <n v="28.105906313645622"/>
        <n v="27.955414012738853"/>
        <n v="27.590265627485287"/>
        <n v="27.965782451734423"/>
        <n v="28.154357108967265"/>
        <n v="28.18622696411251"/>
        <n v="27.718760090410075"/>
        <n v="28.144624167459561"/>
        <n v="28.035121025154247"/>
        <n v="28.480951615495901"/>
        <n v="28.438770531793789"/>
        <n v="27.856442119032046"/>
        <n v="28.474249959890905"/>
        <n v="28.309117036563947"/>
        <n v="28.262955854126677"/>
        <n v="28.329002923026959"/>
        <n v="28.304140127388536"/>
        <n v="28.154138915318747"/>
        <n v="27.870632672332388"/>
        <n v="27.970249520153551"/>
        <n v="28.093841642228739"/>
        <n v="28.168230243281922"/>
        <n v="28.116334661354582"/>
        <n v="28.08022922636103"/>
        <n v="28.220789685737309"/>
        <n v="27.922224007713321"/>
        <n v="28.21837302814723"/>
        <n v="28.318364818829359"/>
        <n v="27.868626550298575"/>
        <n v="28.2618825722274"/>
        <n v="28.001239541369692"/>
        <n v="27.798038614771684"/>
        <n v="27.740963855421686"/>
        <n v="28.152598377891259"/>
        <n v="28.199187603430119"/>
        <n v="28.117079058539531"/>
        <n v="27.825491091822752"/>
        <n v="28.423180592991915"/>
        <n v="28.433242506811986"/>
        <n v="28.278500382555471"/>
        <n v="28.147632311977716"/>
        <n v="27.87318563789152"/>
        <n v="28.069717444717444"/>
        <n v="28.219667546993943"/>
        <n v="27.745637478383902"/>
        <n v="28.082257293161167"/>
        <n v="28.152815441059179"/>
        <n v="27.980062101650599"/>
        <n v="27.912613355317397"/>
        <n v="27.746088657105606"/>
        <n v="28.049251569290199"/>
        <n v="28.254019292604504"/>
        <n v="28.201568114995098"/>
        <n v="27.739557739557739"/>
        <n v="28.080456129236616"/>
        <n v="27.875138646807162"/>
        <n v="27.965292150931383"/>
        <n v="28.023836366564662"/>
        <n v="28.345335515548278"/>
        <n v="27.781121317706685"/>
        <n v="27.999678663239074"/>
        <n v="28.556986792760476"/>
        <n v="28.143970807762482"/>
        <n v="27.528592739930385"/>
        <n v="28.088426527958386"/>
        <n v="27.827068882077754"/>
        <n v="27.941176470588236"/>
        <n v="27.950250363430786"/>
        <n v="27.803006076111288"/>
        <n v="28.071561338289964"/>
        <n v="28.061680801850425"/>
        <n v="28.348794063079779"/>
        <n v="28.037253694581281"/>
        <n v="28.358274647887324"/>
        <n v="28.52776961504555"/>
        <n v="28.634367681498826"/>
        <n v="28.692194403534611"/>
        <n v="28.344429649356414"/>
        <n v="28.071550741163058"/>
        <n v="28.231041814316089"/>
        <n v="28.036270898271464"/>
        <n v="27.875844594594593"/>
        <n v="28.084763948497852"/>
        <n v="28.312674930027988"/>
        <n v="28.140495867768596"/>
        <n v="28.474507688157537"/>
        <n v="27.908750334492908"/>
        <n v="28.116697056525137"/>
        <n v="27.992004126902245"/>
        <n v="27.992667277726856"/>
        <n v="27.899842684845304"/>
        <n v="27.602991340855418"/>
        <n v="27.886946535664158"/>
        <n v="28.16483235218838"/>
        <n v="28.05736137667304"/>
        <n v="27.892705519104595"/>
        <n v="27.670542635658915"/>
        <n v="27.902566009669023"/>
        <n v="27.972872075659534"/>
        <n v="27.882843075369269"/>
        <n v="28.209183673469386"/>
        <n v="27.577450482478415"/>
        <n v="27.756305684527543"/>
        <n v="27.725386646548472"/>
        <n v="28.072366726757661"/>
        <n v="28.011415228953169"/>
        <n v="27.863990796369677"/>
        <n v="28.092105263157894"/>
        <n v="28.192771084337352"/>
        <n v="27.674813749836623"/>
        <n v="27.821631878557874"/>
        <n v="27.904495808991616"/>
        <n v="27.721280602636533"/>
        <n v="28.130268199233718"/>
        <n v="27.890534449452673"/>
        <n v="27.979630808402291"/>
        <n v="27.828327259017218"/>
        <n v="28.112658227848101"/>
        <n v="27.911636270228616"/>
        <n v="27.49935583612471"/>
        <n v="27.727841762643965"/>
        <n v="27.632473253618627"/>
        <n v="27.797815595631192"/>
        <n v="28.125244618395303"/>
        <n v="27.650058846606512"/>
        <n v="27.724028548770818"/>
        <n v="27.751691205730204"/>
        <n v="27.723830132539895"/>
        <n v="27.350131524297382"/>
        <n v="27.389473684210525"/>
        <n v="27.52340425531915"/>
        <n v="27.471815107102593"/>
        <n v="27.647308181432809"/>
        <n v="27.878006872852236"/>
        <n v="27.665454545454548"/>
        <n v="27.871863171176223"/>
        <n v="28.049150904321415"/>
        <n v="28.511135551278525"/>
        <n v="28.216957605985037"/>
        <n v="27.847943498130455"/>
        <n v="28.206283971894472"/>
        <n v="28.443769799366418"/>
        <n v="28.565389696169088"/>
        <n v="28.373301358912869"/>
        <n v="27.839169218479565"/>
        <n v="27.585093167701864"/>
        <n v="28.158924205378973"/>
        <n v="28.228187919463085"/>
        <n v="28.264340990050364"/>
        <n v="27.658948915839765"/>
        <n v="28.260259558049807"/>
        <n v="28.567750994617363"/>
        <n v="28.606843575418996"/>
        <n v="28.159981343283579"/>
        <n v="27.908027336962817"/>
        <n v="27.962427745664741"/>
        <n v="28.048381824125531"/>
        <n v="28.335339827076723"/>
        <n v="28.056746948201916"/>
        <n v="27.552301255230127"/>
        <n v="27.654943169633281"/>
        <n v="27.78385332904471"/>
        <n v="27.780414150129424"/>
        <n v="27.585341912967607"/>
        <n v="27.278746413595233"/>
        <n v="27.568717277486911"/>
        <n v="27.690793789634814"/>
        <n v="28.087371105444063"/>
        <n v="27.397647591042752"/>
        <n v="27.261985145172179"/>
        <n v="27.691795270345288"/>
        <n v="27.797400866377874"/>
        <n v="28.017561634582911"/>
        <n v="27.824999999999999"/>
        <n v="27.257830788094971"/>
        <n v="28.125424496264433"/>
        <n v="28.179419525065963"/>
        <n v="27.662520535085658"/>
        <n v="26.98284914245712"/>
        <n v="27.188902958443652"/>
        <n v="27.648902821316614"/>
        <n v="27.765882352941176"/>
        <n v="27.452626529143679"/>
        <n v="26.861217641418982"/>
        <n v="27.18562168532705"/>
        <n v="27.417149478563154"/>
        <n v="28.621718377088303"/>
        <n v="28.317925321167007"/>
        <n v="27.951821813339787"/>
        <n v="28.272195005376986"/>
        <n v="28.43363463368221"/>
        <n v="28.457122353785433"/>
        <n v="28.29900654228253"/>
        <n v="27.955631817624706"/>
        <n v="28.006075334143375"/>
        <n v="28.075897187196897"/>
        <n v="29.131019310681985"/>
        <n v="28.935196636161269"/>
        <n v="28.219594594594593"/>
        <n v="28.620240807028964"/>
        <n v="28.778698979591837"/>
        <n v="28.671666324224368"/>
        <n v="28.51348590110339"/>
        <n v="28.560224089635852"/>
        <n v="28.738317757009348"/>
        <n v="28.688254665203072"/>
        <n v="28.870292887029287"/>
        <n v="28.772161947605188"/>
        <n v="28.838093553806704"/>
        <n v="29.017612178068855"/>
        <n v="28.563492063492063"/>
        <n v="28.125484788416792"/>
        <n v="28.377826900187042"/>
        <n v="28.805332868595329"/>
        <n v="28.539296110082031"/>
        <n v="28.317358892438762"/>
        <n v="28.544609176243529"/>
        <n v="28.638881561593248"/>
        <n v="28.847999999999999"/>
        <n v="28.752464599390571"/>
        <n v="28.277912949445795"/>
        <n v="28.118429328780664"/>
        <n v="28.348847718029823"/>
        <n v="28.659812573924118"/>
        <n v="28.669187494235914"/>
        <n v="28.191233586092103"/>
        <n v="28.75046904315197"/>
        <n v="28.883388862446452"/>
        <n v="29.052876234747242"/>
        <n v="29.129838314551691"/>
        <n v="28.482222886166717"/>
        <n v="28.477051460361615"/>
        <n v="28.519402985074628"/>
        <n v="28.524890562964472"/>
        <n v="28.085237168322919"/>
        <n v="28.339706178305494"/>
        <n v="28.569412239137012"/>
        <n v="28.695917123705058"/>
        <n v="28.574821852731588"/>
        <n v="28.527550067448377"/>
        <n v="28.369168356997971"/>
        <n v="28.570252187339165"/>
        <n v="28.269776236999686"/>
        <n v="28.105861306955699"/>
        <n v="28.327461139896371"/>
        <n v="28.374275171323145"/>
        <n v="28.855890410958903"/>
        <n v="28.912636333590392"/>
        <n v="28.356666666666666"/>
        <n v="28.434419202743246"/>
        <n v="28.862453531598511"/>
        <n v="28.681942400672693"/>
        <n v="28.501251564455568"/>
        <n v="27.990105132962277"/>
        <n v="28.374200935025286"/>
        <n v="28.541607898448518"/>
        <n v="28.820899692651579"/>
        <n v="28.786805814386881"/>
        <n v="28.546888200506899"/>
        <n v="28.704841040462426"/>
        <n v="29.051888073892965"/>
        <n v="29.133090246125796"/>
        <n v="29.02185892725937"/>
        <n v="28.668749999999999"/>
        <n v="28.922839786018677"/>
        <n v="28.788955713504645"/>
        <n v="28.7497705158803"/>
        <n v="28.27891791044776"/>
        <n v="28.360846940606493"/>
        <n v="28.31728645879339"/>
        <n v="28.333924769339959"/>
        <n v="28.542849418761829"/>
        <n v="27.808354248834707"/>
        <n v="28.115750528541227"/>
        <n v="28.222261297696498"/>
        <n v="28.558249868212968"/>
        <n v="28.263425060112208"/>
        <n v="28.154180238870794"/>
        <n v="27.943699731903486"/>
        <n v="28.176117775354417"/>
        <n v="28.273440350237141"/>
        <n v="28.546809501630182"/>
        <n v="28.111689540937057"/>
        <n v="28.191110277569393"/>
        <n v="28.523521632344604"/>
        <n v="28.358479755538582"/>
        <n v="28.254322906547504"/>
        <n v="27.739923224568138"/>
        <n v="27.934629473091015"/>
        <n v="28.398392652123995"/>
        <n v="28.00659617809681"/>
        <n v="27.722528554549037"/>
        <n v="28.0751953125"/>
        <n v="28.550034036759701"/>
        <n v="28.699901283316883"/>
        <n v="28.529024414952893"/>
        <n v="28.142989786443824"/>
        <n v="28.105518006657924"/>
        <n v="28.381415122988155"/>
        <n v="28.071920428462128"/>
        <n v="28.703888334995014"/>
        <n v="28.529641621078486"/>
        <n v="28.429534803977596"/>
        <n v="28.008896172304812"/>
        <n v="28.066564741855817"/>
        <n v="28.427419354838712"/>
        <n v="28.512396694214878"/>
        <n v="28.157503714710252"/>
        <n v="27.80322093608455"/>
        <n v="28.015200598056317"/>
        <n v="28.010050251256281"/>
        <n v="28.347001537672988"/>
        <n v="28.131999999999998"/>
        <n v="27.953795379537954"/>
        <n v="27.739448051948052"/>
        <n v="28.108145484718573"/>
        <n v="28.047213297946641"/>
        <n v="28.385964912280702"/>
        <n v="28.060460939838372"/>
        <n v="28.010540184453227"/>
        <n v="28.347057942805808"/>
        <n v="28.395889186773903"/>
        <n v="28.168564920273347"/>
        <n v="28.191755153029359"/>
        <n v="28.279956256834868"/>
        <n v="28.211610486891388"/>
        <n v="27.959944108057755"/>
        <n v="27.120232708468002"/>
        <n v="27.962047520331684"/>
        <n v="28.1945788964182"/>
        <n v="28.143927059589711"/>
        <n v="27.86278381046397"/>
        <n v="27.657899145585525"/>
        <n v="27.862681744749594"/>
        <n v="28.30827067669173"/>
        <n v="29.058250797381234"/>
        <n v="28.98952879581152"/>
        <n v="28.297071814166532"/>
        <n v="28.714703018500487"/>
        <n v="28.971428571428572"/>
        <n v="28.558397133083563"/>
        <n v="28.100340964442278"/>
        <n v="27.962962962962965"/>
        <n v="28.329571106094811"/>
        <n v="28.593184559710497"/>
        <n v="28.660633484162897"/>
        <n v="28.22018624211475"/>
        <n v="28.437323546019197"/>
        <n v="28.780316837235386"/>
        <n v="28.9437508767008"/>
        <n v="28.864795918367349"/>
        <n v="28.106050662816642"/>
        <n v="28.665638256845352"/>
        <n v="28.808250572956457"/>
        <n v="28.515742128935532"/>
        <n v="28.075287643821909"/>
        <n v="28.349232201023732"/>
        <n v="28.388500744473713"/>
        <n v="28.053177106804867"/>
        <n v="28.067681895093063"/>
        <n v="28.127586206896552"/>
        <n v="27.344782034346103"/>
        <n v="28.029221503457507"/>
        <n v="28.115746971736204"/>
        <n v="28.148022980736734"/>
        <n v="27.578780321922469"/>
        <n v="28.059272365365477"/>
        <n v="27.946339847631666"/>
        <n v="28.092427616926503"/>
        <n v="28.119677529238107"/>
        <n v="28.129144851657941"/>
        <n v="27.892679459843638"/>
        <n v="28.202583114087542"/>
        <n v="28.428519461622408"/>
        <n v="27.995323652473544"/>
        <n v="27.811224489795919"/>
        <n v="27.683397683397686"/>
        <n v="27.684837498381459"/>
        <n v="28.015167364016737"/>
        <n v="27.860227718884961"/>
        <n v="27.827221714733131"/>
        <n v="27.81246098139593"/>
        <n v="28.163946587537094"/>
        <n v="28.538925101463533"/>
        <n v="28.251338896500187"/>
        <n v="28.006165228113442"/>
        <n v="28.202929617720613"/>
        <n v="28.200712589073632"/>
        <n v="28.215102974828376"/>
        <n v="28.451116807030392"/>
        <n v="28.042128333130403"/>
        <n v="27.8072260518184"/>
        <n v="28.182893647225836"/>
        <n v="28.436293436293436"/>
        <n v="28.508266993263931"/>
        <n v="27.783269492153714"/>
        <n v="27.826450226784434"/>
        <n v="28.12634344399331"/>
        <n v="28.222782984859407"/>
        <n v="27.845705967976713"/>
        <n v="27.799241961119943"/>
        <n v="27.866731164590639"/>
        <n v="28.133988936693303"/>
        <n v="28.304476873608706"/>
        <n v="28.156983455175066"/>
        <n v="27.676867798290175"/>
        <n v="28.150253305325588"/>
        <n v="28.24228911185433"/>
        <n v="27.917747313819934"/>
        <n v="28.275222551928781"/>
        <n v="28.46153846153846"/>
        <n v="28.18260977733549"/>
        <n v="28.026670085908449"/>
        <n v="27.964338781575037"/>
        <n v="28.363236909556939"/>
        <n v="28.090810288612488"/>
        <n v="28.170822019254508"/>
        <n v="27.849113165126155"/>
        <n v="28.181705503222609"/>
        <n v="28.323980546202769"/>
        <n v="28.050891242572977"/>
        <n v="27.957313081052767"/>
        <n v="27.837140751658069"/>
        <n v="28.102576747626678"/>
        <n v="29.161904761904761"/>
        <n v="29.15525703952467"/>
        <n v="28.57969489742241"/>
        <n v="28.817790167257982"/>
        <n v="29.005671077504726"/>
        <n v="29.257558362035972"/>
        <n v="29.038091573682188"/>
        <n v="28.611148064387386"/>
        <n v="29.198412698412699"/>
        <n v="29.129096989966555"/>
        <n v="29.054570259208731"/>
        <n v="28.845349323664763"/>
        <n v="27.783653119806619"/>
      </sharedItems>
    </cacheField>
    <cacheField name="Stress" numFmtId="0">
      <sharedItems/>
    </cacheField>
    <cacheField name="Weekly Trend" numFmtId="0">
      <sharedItems containsSemiMixedTypes="0" containsString="0" containsNumber="1" containsInteger="1" minValue="1" maxValue="53" count="53">
        <n v="2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1"/>
        <n v="3"/>
        <n v="5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jin Jacob" refreshedDate="46174.630009259257" createdVersion="8" refreshedVersion="8" minRefreshableVersion="3" recordCount="721" xr:uid="{656A6EFE-565B-4F90-B773-D7B7D4E7E977}">
  <cacheSource type="worksheet">
    <worksheetSource ref="A1:S1048576" sheet="HHS_Unaccompanied_Alien_Childre"/>
  </cacheSource>
  <cacheFields count="22">
    <cacheField name="Date" numFmtId="14">
      <sharedItems containsNonDate="0" containsDate="1" containsString="0" containsBlank="1" minDate="2023-01-12T00:00:00" maxDate="2025-12-22T00:00:00" count="721">
        <d v="2023-01-12T00:00:00"/>
        <d v="2023-01-22T00:00:00"/>
        <d v="2023-01-23T00:00:00"/>
        <d v="2023-01-24T00:00:00"/>
        <d v="2023-01-25T00:00:00"/>
        <d v="2023-01-29T00:00:00"/>
        <d v="2023-01-30T00:00:00"/>
        <d v="2023-01-31T00:00:00"/>
        <d v="2023-02-01T00:00:00"/>
        <d v="2023-02-02T00:00:00"/>
        <d v="2023-02-05T00:00:00"/>
        <d v="2023-02-06T00:00:00"/>
        <d v="2023-02-07T00:00:00"/>
        <d v="2023-02-08T00:00:00"/>
        <d v="2023-02-09T00:00:00"/>
        <d v="2023-02-12T00:00:00"/>
        <d v="2023-02-13T00:00:00"/>
        <d v="2023-02-14T00:00:00"/>
        <d v="2023-02-15T00:00:00"/>
        <d v="2023-02-16T00:00:00"/>
        <d v="2023-02-20T00:00:00"/>
        <d v="2023-02-21T00:00:00"/>
        <d v="2023-02-22T00:00:00"/>
        <d v="2023-02-23T00:00:00"/>
        <d v="2023-02-26T00:00:00"/>
        <d v="2023-02-27T00:00:00"/>
        <d v="2023-02-28T00:00:00"/>
        <d v="2023-03-01T00:00:00"/>
        <d v="2023-03-02T00:00:00"/>
        <d v="2023-03-07T00:00:00"/>
        <d v="2023-03-08T00:00:00"/>
        <d v="2023-03-09T00:00:00"/>
        <d v="2023-03-13T00:00:00"/>
        <d v="2023-03-14T00:00:00"/>
        <d v="2023-03-15T00:00:00"/>
        <d v="2023-03-16T00:00:00"/>
        <d v="2023-03-19T00:00:00"/>
        <d v="2023-03-20T00:00:00"/>
        <d v="2023-03-21T00:00:00"/>
        <d v="2023-03-22T00:00:00"/>
        <d v="2023-03-23T00:00:00"/>
        <d v="2023-03-26T00:00:00"/>
        <d v="2023-03-27T00:00:00"/>
        <d v="2023-03-28T00:00:00"/>
        <d v="2023-03-29T00:00:00"/>
        <d v="2023-03-30T00:00:00"/>
        <d v="2023-04-02T00:00:00"/>
        <d v="2023-04-03T00:00:00"/>
        <d v="2023-04-04T00:00:00"/>
        <d v="2023-04-05T00:00:00"/>
        <d v="2023-04-06T00:00:00"/>
        <d v="2023-04-09T00:00:00"/>
        <d v="2023-04-10T00:00:00"/>
        <d v="2023-04-11T00:00:00"/>
        <d v="2023-04-12T00:00:00"/>
        <d v="2023-04-13T00:00:00"/>
        <d v="2023-04-16T00:00:00"/>
        <d v="2023-04-17T00:00:00"/>
        <d v="2023-04-18T00:00:00"/>
        <d v="2023-04-19T00:00:00"/>
        <d v="2023-04-20T00:00:00"/>
        <d v="2023-04-23T00:00:00"/>
        <d v="2023-04-24T00:00:00"/>
        <d v="2023-04-25T00:00:00"/>
        <d v="2023-04-26T00:00:00"/>
        <d v="2023-04-27T00:00:00"/>
        <d v="2023-04-30T00:00:00"/>
        <d v="2023-05-01T00:00:00"/>
        <d v="2023-05-02T00:00:00"/>
        <d v="2023-05-03T00:00:00"/>
        <d v="2023-05-04T00:00:00"/>
        <d v="2023-05-07T00:00:00"/>
        <d v="2023-05-08T00:00:00"/>
        <d v="2023-05-09T00:00:00"/>
        <d v="2023-05-10T00:00:00"/>
        <d v="2023-05-11T00:00:00"/>
        <d v="2023-05-14T00:00:00"/>
        <d v="2023-05-15T00:00:00"/>
        <d v="2023-05-16T00:00:00"/>
        <d v="2023-05-17T00:00:00"/>
        <d v="2023-05-18T00:00:00"/>
        <d v="2023-05-21T00:00:00"/>
        <d v="2023-05-22T00:00:00"/>
        <d v="2023-05-23T00:00:00"/>
        <d v="2023-05-24T00:00:00"/>
        <d v="2023-05-25T00:00:00"/>
        <d v="2023-05-29T00:00:00"/>
        <d v="2023-05-30T00:00:00"/>
        <d v="2023-05-31T00:00:00"/>
        <d v="2023-06-01T00:00:00"/>
        <d v="2023-06-04T00:00:00"/>
        <d v="2023-06-05T00:00:00"/>
        <d v="2023-06-06T00:00:00"/>
        <d v="2023-06-07T00:00:00"/>
        <d v="2023-06-08T00:00:00"/>
        <d v="2023-06-11T00:00:00"/>
        <d v="2023-06-12T00:00:00"/>
        <d v="2023-06-13T00:00:00"/>
        <d v="2023-06-14T00:00:00"/>
        <d v="2023-06-15T00:00:00"/>
        <d v="2023-06-19T00:00:00"/>
        <d v="2023-06-20T00:00:00"/>
        <d v="2023-06-21T00:00:00"/>
        <d v="2023-06-22T00:00:00"/>
        <d v="2023-06-25T00:00:00"/>
        <d v="2023-06-26T00:00:00"/>
        <d v="2023-06-27T00:00:00"/>
        <d v="2023-06-28T00:00:00"/>
        <d v="2023-06-29T00:00:00"/>
        <d v="2023-07-02T00:00:00"/>
        <d v="2023-07-04T00:00:00"/>
        <d v="2023-07-05T00:00:00"/>
        <d v="2023-07-06T00:00:00"/>
        <d v="2023-07-09T00:00:00"/>
        <d v="2023-07-10T00:00:00"/>
        <d v="2023-07-11T00:00:00"/>
        <d v="2023-07-12T00:00:00"/>
        <d v="2023-07-13T00:00:00"/>
        <d v="2023-07-16T00:00:00"/>
        <d v="2023-07-17T00:00:00"/>
        <d v="2023-07-18T00:00:00"/>
        <d v="2023-07-19T00:00:00"/>
        <d v="2023-07-20T00:00:00"/>
        <d v="2023-07-23T00:00:00"/>
        <d v="2023-07-24T00:00:00"/>
        <d v="2023-07-25T00:00:00"/>
        <d v="2023-07-26T00:00:00"/>
        <d v="2023-07-27T00:00:00"/>
        <d v="2023-07-30T00:00:00"/>
        <d v="2023-07-31T00:00:00"/>
        <d v="2023-08-01T00:00:00"/>
        <d v="2023-08-02T00:00:00"/>
        <d v="2023-08-03T00:00:00"/>
        <d v="2023-08-06T00:00:00"/>
        <d v="2023-08-07T00:00:00"/>
        <d v="2023-08-08T00:00:00"/>
        <d v="2023-08-09T00:00:00"/>
        <d v="2023-08-10T00:00:00"/>
        <d v="2023-08-16T00:00:00"/>
        <d v="2023-08-17T00:00:00"/>
        <d v="2023-08-20T00:00:00"/>
        <d v="2023-08-21T00:00:00"/>
        <d v="2023-08-22T00:00:00"/>
        <d v="2023-08-23T00:00:00"/>
        <d v="2023-08-24T00:00:00"/>
        <d v="2023-08-27T00:00:00"/>
        <d v="2023-08-28T00:00:00"/>
        <d v="2023-08-29T00:00:00"/>
        <d v="2023-08-30T00:00:00"/>
        <d v="2023-08-31T00:00:00"/>
        <d v="2023-09-04T00:00:00"/>
        <d v="2023-09-05T00:00:00"/>
        <d v="2023-09-06T00:00:00"/>
        <d v="2023-09-07T00:00:00"/>
        <d v="2023-09-10T00:00:00"/>
        <d v="2023-09-11T00:00:00"/>
        <d v="2023-09-12T00:00:00"/>
        <d v="2023-09-13T00:00:00"/>
        <d v="2023-09-14T00:00:00"/>
        <d v="2023-09-17T00:00:00"/>
        <d v="2023-09-18T00:00:00"/>
        <d v="2023-09-19T00:00:00"/>
        <d v="2023-09-20T00:00:00"/>
        <d v="2023-09-21T00:00:00"/>
        <d v="2023-09-24T00:00:00"/>
        <d v="2023-09-25T00:00:00"/>
        <d v="2023-09-26T00:00:00"/>
        <d v="2023-09-27T00:00:00"/>
        <d v="2023-09-28T00:00:00"/>
        <d v="2023-10-01T00:00:00"/>
        <d v="2023-10-02T00:00:00"/>
        <d v="2023-10-03T00:00:00"/>
        <d v="2023-10-04T00:00:00"/>
        <d v="2023-10-05T00:00:00"/>
        <d v="2023-10-09T00:00:00"/>
        <d v="2023-10-10T00:00:00"/>
        <d v="2023-10-11T00:00:00"/>
        <d v="2023-10-12T00:00:00"/>
        <d v="2023-10-15T00:00:00"/>
        <d v="2023-10-16T00:00:00"/>
        <d v="2023-10-17T00:00:00"/>
        <d v="2023-10-18T00:00:00"/>
        <d v="2023-10-19T00:00:00"/>
        <d v="2023-10-22T00:00:00"/>
        <d v="2023-10-23T00:00:00"/>
        <d v="2023-10-24T00:00:00"/>
        <d v="2023-10-25T00:00:00"/>
        <d v="2023-10-26T00:00:00"/>
        <d v="2023-10-29T00:00:00"/>
        <d v="2023-10-30T00:00:00"/>
        <d v="2023-10-31T00:00:00"/>
        <d v="2023-11-01T00:00:00"/>
        <d v="2023-11-02T00:00:00"/>
        <d v="2023-11-05T00:00:00"/>
        <d v="2023-11-06T00:00:00"/>
        <d v="2023-11-07T00:00:00"/>
        <d v="2023-11-08T00:00:00"/>
        <d v="2023-11-12T00:00:00"/>
        <d v="2023-11-13T00:00:00"/>
        <d v="2023-11-14T00:00:00"/>
        <d v="2023-11-15T00:00:00"/>
        <d v="2023-11-16T00:00:00"/>
        <d v="2023-11-19T00:00:00"/>
        <d v="2023-11-20T00:00:00"/>
        <d v="2023-11-21T00:00:00"/>
        <d v="2023-11-23T00:00:00"/>
        <d v="2023-11-26T00:00:00"/>
        <d v="2023-11-27T00:00:00"/>
        <d v="2023-11-28T00:00:00"/>
        <d v="2023-11-29T00:00:00"/>
        <d v="2023-11-30T00:00:00"/>
        <d v="2023-12-03T00:00:00"/>
        <d v="2023-12-04T00:00:00"/>
        <d v="2023-12-05T00:00:00"/>
        <d v="2023-12-06T00:00:00"/>
        <d v="2023-12-07T00:00:00"/>
        <d v="2023-12-10T00:00:00"/>
        <d v="2023-12-11T00:00:00"/>
        <d v="2023-12-12T00:00:00"/>
        <d v="2023-12-13T00:00:00"/>
        <d v="2023-12-14T00:00:00"/>
        <d v="2023-12-17T00:00:00"/>
        <d v="2023-12-18T00:00:00"/>
        <d v="2023-12-19T00:00:00"/>
        <d v="2023-12-20T00:00:00"/>
        <d v="2023-12-21T00:00:00"/>
        <d v="2023-12-25T00:00:00"/>
        <d v="2023-12-26T00:00:00"/>
        <d v="2023-12-27T00:00:00"/>
        <d v="2023-12-28T00:00:00"/>
        <d v="2024-01-01T00:00:00"/>
        <d v="2024-01-02T00:00:00"/>
        <d v="2024-01-03T00:00:00"/>
        <d v="2024-01-04T00:00:00"/>
        <d v="2024-01-07T00:00:00"/>
        <d v="2024-01-08T00:00:00"/>
        <d v="2024-01-09T00:00:00"/>
        <d v="2024-01-10T00:00:00"/>
        <d v="2024-01-11T00:00:00"/>
        <d v="2024-01-15T00:00:00"/>
        <d v="2024-01-16T00:00:00"/>
        <d v="2024-01-17T00:00:00"/>
        <d v="2024-01-18T00:00:00"/>
        <d v="2024-01-21T00:00:00"/>
        <d v="2024-01-22T00:00:00"/>
        <d v="2024-01-23T00:00:00"/>
        <d v="2024-01-24T00:00:00"/>
        <d v="2024-01-25T00:00:00"/>
        <d v="2024-01-28T00:00:00"/>
        <d v="2024-01-29T00:00:00"/>
        <d v="2024-01-30T00:00:00"/>
        <d v="2024-01-31T00:00:00"/>
        <d v="2024-02-01T00:00:00"/>
        <d v="2024-02-04T00:00:00"/>
        <d v="2024-02-05T00:00:00"/>
        <d v="2024-02-06T00:00:00"/>
        <d v="2024-02-07T00:00:00"/>
        <d v="2024-02-08T00:00:00"/>
        <d v="2024-02-11T00:00:00"/>
        <d v="2024-02-12T00:00:00"/>
        <d v="2024-02-13T00:00:00"/>
        <d v="2024-02-14T00:00:00"/>
        <d v="2024-02-15T00:00:00"/>
        <d v="2024-02-19T00:00:00"/>
        <d v="2024-02-20T00:00:00"/>
        <d v="2024-02-21T00:00:00"/>
        <d v="2024-02-22T00:00:00"/>
        <d v="2024-02-25T00:00:00"/>
        <d v="2024-02-26T00:00:00"/>
        <d v="2024-02-27T00:00:00"/>
        <d v="2024-02-28T00:00:00"/>
        <d v="2024-02-29T00:00:00"/>
        <d v="2024-03-03T00:00:00"/>
        <d v="2024-03-04T00:00:00"/>
        <d v="2024-03-05T00:00:00"/>
        <d v="2024-03-06T00:00:00"/>
        <d v="2024-03-07T00:00:00"/>
        <d v="2024-03-10T00:00:00"/>
        <d v="2024-03-11T00:00:00"/>
        <d v="2024-03-12T00:00:00"/>
        <d v="2024-03-13T00:00:00"/>
        <d v="2024-03-14T00:00:00"/>
        <d v="2024-03-17T00:00:00"/>
        <d v="2024-03-18T00:00:00"/>
        <d v="2024-03-19T00:00:00"/>
        <d v="2024-03-20T00:00:00"/>
        <d v="2024-03-21T00:00:00"/>
        <d v="2024-03-24T00:00:00"/>
        <d v="2024-03-25T00:00:00"/>
        <d v="2024-03-26T00:00:00"/>
        <d v="2024-03-27T00:00:00"/>
        <d v="2024-03-28T00:00:00"/>
        <d v="2024-03-31T00:00:00"/>
        <d v="2024-04-01T00:00:00"/>
        <d v="2024-04-02T00:00:00"/>
        <d v="2024-04-03T00:00:00"/>
        <d v="2024-04-04T00:00:00"/>
        <d v="2024-04-07T00:00:00"/>
        <d v="2024-04-08T00:00:00"/>
        <d v="2024-04-09T00:00:00"/>
        <d v="2024-04-10T00:00:00"/>
        <d v="2024-04-11T00:00:00"/>
        <d v="2024-04-14T00:00:00"/>
        <d v="2024-04-15T00:00:00"/>
        <d v="2024-04-16T00:00:00"/>
        <d v="2024-04-17T00:00:00"/>
        <d v="2024-04-18T00:00:00"/>
        <d v="2024-04-21T00:00:00"/>
        <d v="2024-04-22T00:00:00"/>
        <d v="2024-04-23T00:00:00"/>
        <d v="2024-04-24T00:00:00"/>
        <d v="2024-04-25T00:00:00"/>
        <d v="2024-04-28T00:00:00"/>
        <d v="2024-04-29T00:00:00"/>
        <d v="2024-04-30T00:00:00"/>
        <d v="2024-05-01T00:00:00"/>
        <d v="2024-05-02T00:00:00"/>
        <d v="2024-05-05T00:00:00"/>
        <d v="2024-05-06T00:00:00"/>
        <d v="2024-05-07T00:00:00"/>
        <d v="2024-05-08T00:00:00"/>
        <d v="2024-05-09T00:00:00"/>
        <d v="2024-05-12T00:00:00"/>
        <d v="2024-05-13T00:00:00"/>
        <d v="2024-05-14T00:00:00"/>
        <d v="2024-05-15T00:00:00"/>
        <d v="2024-05-16T00:00:00"/>
        <d v="2024-05-19T00:00:00"/>
        <d v="2024-05-20T00:00:00"/>
        <d v="2024-05-21T00:00:00"/>
        <d v="2024-05-22T00:00:00"/>
        <d v="2024-05-23T00:00:00"/>
        <d v="2024-05-27T00:00:00"/>
        <d v="2024-05-28T00:00:00"/>
        <d v="2024-05-29T00:00:00"/>
        <d v="2024-05-30T00:00:00"/>
        <d v="2024-06-02T00:00:00"/>
        <d v="2024-06-03T00:00:00"/>
        <d v="2024-06-04T00:00:00"/>
        <d v="2024-06-05T00:00:00"/>
        <d v="2024-06-06T00:00:00"/>
        <d v="2024-06-09T00:00:00"/>
        <d v="2024-06-10T00:00:00"/>
        <d v="2024-06-11T00:00:00"/>
        <d v="2024-06-12T00:00:00"/>
        <d v="2024-06-13T00:00:00"/>
        <d v="2024-06-16T00:00:00"/>
        <d v="2024-06-17T00:00:00"/>
        <d v="2024-06-18T00:00:00"/>
        <d v="2024-06-19T00:00:00"/>
        <d v="2024-06-20T00:00:00"/>
        <d v="2024-06-23T00:00:00"/>
        <d v="2024-06-24T00:00:00"/>
        <d v="2024-06-25T00:00:00"/>
        <d v="2024-06-26T00:00:00"/>
        <d v="2024-06-27T00:00:00"/>
        <d v="2024-06-30T00:00:00"/>
        <d v="2024-07-01T00:00:00"/>
        <d v="2024-07-02T00:00:00"/>
        <d v="2024-07-04T00:00:00"/>
        <d v="2024-07-07T00:00:00"/>
        <d v="2024-07-08T00:00:00"/>
        <d v="2024-07-09T00:00:00"/>
        <d v="2024-07-10T00:00:00"/>
        <d v="2024-07-11T00:00:00"/>
        <d v="2024-07-14T00:00:00"/>
        <d v="2024-07-15T00:00:00"/>
        <d v="2024-07-16T00:00:00"/>
        <d v="2024-07-17T00:00:00"/>
        <d v="2024-07-21T00:00:00"/>
        <d v="2024-07-22T00:00:00"/>
        <d v="2024-07-23T00:00:00"/>
        <d v="2024-07-24T00:00:00"/>
        <d v="2024-07-25T00:00:00"/>
        <d v="2024-07-28T00:00:00"/>
        <d v="2024-07-29T00:00:00"/>
        <d v="2024-07-30T00:00:00"/>
        <d v="2024-07-31T00:00:00"/>
        <d v="2024-08-01T00:00:00"/>
        <d v="2024-08-04T00:00:00"/>
        <d v="2024-08-05T00:00:00"/>
        <d v="2024-08-06T00:00:00"/>
        <d v="2024-08-07T00:00:00"/>
        <d v="2024-08-08T00:00:00"/>
        <d v="2024-08-11T00:00:00"/>
        <d v="2024-08-12T00:00:00"/>
        <d v="2024-08-13T00:00:00"/>
        <d v="2024-08-14T00:00:00"/>
        <d v="2024-08-15T00:00:00"/>
        <d v="2024-08-18T00:00:00"/>
        <d v="2024-08-19T00:00:00"/>
        <d v="2024-08-20T00:00:00"/>
        <d v="2024-08-21T00:00:00"/>
        <d v="2024-08-22T00:00:00"/>
        <d v="2024-08-27T00:00:00"/>
        <d v="2024-08-28T00:00:00"/>
        <d v="2024-08-29T00:00:00"/>
        <d v="2024-09-02T00:00:00"/>
        <d v="2024-09-03T00:00:00"/>
        <d v="2024-09-04T00:00:00"/>
        <d v="2024-09-05T00:00:00"/>
        <d v="2024-09-08T00:00:00"/>
        <d v="2024-09-09T00:00:00"/>
        <d v="2024-09-10T00:00:00"/>
        <d v="2024-09-11T00:00:00"/>
        <d v="2024-09-12T00:00:00"/>
        <d v="2024-09-13T00:00:00"/>
        <d v="2024-09-15T00:00:00"/>
        <d v="2024-09-16T00:00:00"/>
        <d v="2024-09-17T00:00:00"/>
        <d v="2024-09-18T00:00:00"/>
        <d v="2024-09-19T00:00:00"/>
        <d v="2024-09-22T00:00:00"/>
        <d v="2024-09-23T00:00:00"/>
        <d v="2024-09-24T00:00:00"/>
        <d v="2024-09-25T00:00:00"/>
        <d v="2024-09-26T00:00:00"/>
        <d v="2024-09-29T00:00:00"/>
        <d v="2024-09-30T00:00:00"/>
        <d v="2024-10-01T00:00:00"/>
        <d v="2024-10-02T00:00:00"/>
        <d v="2024-10-03T00:00:00"/>
        <d v="2024-10-07T00:00:00"/>
        <d v="2024-10-08T00:00:00"/>
        <d v="2024-10-09T00:00:00"/>
        <d v="2024-10-10T00:00:00"/>
        <d v="2024-10-13T00:00:00"/>
        <d v="2024-10-14T00:00:00"/>
        <d v="2024-10-15T00:00:00"/>
        <d v="2024-10-16T00:00:00"/>
        <d v="2024-10-17T00:00:00"/>
        <d v="2024-10-20T00:00:00"/>
        <d v="2024-10-21T00:00:00"/>
        <d v="2024-10-22T00:00:00"/>
        <d v="2024-10-23T00:00:00"/>
        <d v="2024-10-27T00:00:00"/>
        <d v="2024-10-28T00:00:00"/>
        <d v="2024-10-29T00:00:00"/>
        <d v="2024-10-30T00:00:00"/>
        <d v="2024-10-31T00:00:00"/>
        <d v="2024-11-03T00:00:00"/>
        <d v="2024-11-04T00:00:00"/>
        <d v="2024-11-05T00:00:00"/>
        <d v="2024-11-06T00:00:00"/>
        <d v="2024-11-07T00:00:00"/>
        <d v="2024-11-11T00:00:00"/>
        <d v="2024-11-12T00:00:00"/>
        <d v="2024-11-13T00:00:00"/>
        <d v="2024-11-14T00:00:00"/>
        <d v="2024-11-17T00:00:00"/>
        <d v="2024-11-18T00:00:00"/>
        <d v="2024-11-19T00:00:00"/>
        <d v="2024-11-20T00:00:00"/>
        <d v="2024-11-21T00:00:00"/>
        <d v="2024-11-24T00:00:00"/>
        <d v="2024-11-25T00:00:00"/>
        <d v="2024-11-26T00:00:00"/>
        <d v="2024-11-27T00:00:00"/>
        <d v="2024-11-28T00:00:00"/>
        <d v="2024-12-01T00:00:00"/>
        <d v="2024-12-02T00:00:00"/>
        <d v="2024-12-03T00:00:00"/>
        <d v="2024-12-04T00:00:00"/>
        <d v="2024-12-05T00:00:00"/>
        <d v="2024-12-08T00:00:00"/>
        <d v="2024-12-09T00:00:00"/>
        <d v="2024-12-10T00:00:00"/>
        <d v="2024-12-11T00:00:00"/>
        <d v="2024-12-12T00:00:00"/>
        <d v="2024-12-15T00:00:00"/>
        <d v="2024-12-16T00:00:00"/>
        <d v="2024-12-17T00:00:00"/>
        <d v="2024-12-18T00:00:00"/>
        <d v="2024-12-19T00:00:00"/>
        <d v="2024-12-22T00:00:00"/>
        <d v="2024-12-23T00:00:00"/>
        <d v="2024-12-24T00:00:00"/>
        <d v="2024-12-25T00:00:00"/>
        <d v="2024-12-26T00:00:00"/>
        <d v="2024-12-29T00:00:00"/>
        <d v="2024-12-30T00:00:00"/>
        <d v="2025-01-01T00:00:00"/>
        <d v="2025-01-02T00:00:00"/>
        <d v="2025-01-05T00:00:00"/>
        <d v="2025-01-06T00:00:00"/>
        <d v="2025-01-07T00:00:00"/>
        <d v="2025-01-08T00:00:00"/>
        <d v="2025-01-09T00:00:00"/>
        <d v="2025-01-12T00:00:00"/>
        <d v="2025-01-13T00:00:00"/>
        <d v="2025-01-14T00:00:00"/>
        <d v="2025-01-15T00:00:00"/>
        <d v="2025-01-16T00:00:00"/>
        <d v="2025-01-19T00:00:00"/>
        <d v="2025-01-20T00:00:00"/>
        <d v="2025-01-21T00:00:00"/>
        <d v="2025-01-22T00:00:00"/>
        <d v="2025-01-23T00:00:00"/>
        <d v="2025-01-26T00:00:00"/>
        <d v="2025-01-27T00:00:00"/>
        <d v="2025-01-28T00:00:00"/>
        <d v="2025-01-29T00:00:00"/>
        <d v="2025-01-30T00:00:00"/>
        <d v="2025-02-02T00:00:00"/>
        <d v="2025-02-03T00:00:00"/>
        <d v="2025-02-04T00:00:00"/>
        <d v="2025-02-05T00:00:00"/>
        <d v="2025-02-06T00:00:00"/>
        <d v="2025-02-09T00:00:00"/>
        <d v="2025-02-10T00:00:00"/>
        <d v="2025-02-11T00:00:00"/>
        <d v="2025-02-12T00:00:00"/>
        <d v="2025-02-13T00:00:00"/>
        <d v="2025-02-17T00:00:00"/>
        <d v="2025-02-18T00:00:00"/>
        <d v="2025-02-19T00:00:00"/>
        <d v="2025-02-20T00:00:00"/>
        <d v="2025-02-23T00:00:00"/>
        <d v="2025-02-24T00:00:00"/>
        <d v="2025-02-25T00:00:00"/>
        <d v="2025-02-26T00:00:00"/>
        <d v="2025-02-27T00:00:00"/>
        <d v="2025-03-02T00:00:00"/>
        <d v="2025-03-03T00:00:00"/>
        <d v="2025-03-04T00:00:00"/>
        <d v="2025-03-05T00:00:00"/>
        <d v="2025-03-06T00:00:00"/>
        <d v="2025-03-09T00:00:00"/>
        <d v="2025-03-10T00:00:00"/>
        <d v="2025-03-11T00:00:00"/>
        <d v="2025-03-12T00:00:00"/>
        <d v="2025-03-13T00:00:00"/>
        <d v="2025-03-16T00:00:00"/>
        <d v="2025-03-17T00:00:00"/>
        <d v="2025-03-18T00:00:00"/>
        <d v="2025-03-19T00:00:00"/>
        <d v="2025-03-20T00:00:00"/>
        <d v="2025-03-23T00:00:00"/>
        <d v="2025-03-24T00:00:00"/>
        <d v="2025-03-25T00:00:00"/>
        <d v="2025-03-26T00:00:00"/>
        <d v="2025-03-27T00:00:00"/>
        <d v="2025-03-30T00:00:00"/>
        <d v="2025-03-31T00:00:00"/>
        <d v="2025-04-01T00:00:00"/>
        <d v="2025-04-02T00:00:00"/>
        <d v="2025-04-03T00:00:00"/>
        <d v="2025-04-06T00:00:00"/>
        <d v="2025-04-07T00:00:00"/>
        <d v="2025-04-08T00:00:00"/>
        <d v="2025-04-09T00:00:00"/>
        <d v="2025-04-10T00:00:00"/>
        <d v="2025-04-11T00:00:00"/>
        <d v="2025-04-13T00:00:00"/>
        <d v="2025-04-14T00:00:00"/>
        <d v="2025-04-15T00:00:00"/>
        <d v="2025-04-16T00:00:00"/>
        <d v="2025-04-17T00:00:00"/>
        <d v="2025-04-20T00:00:00"/>
        <d v="2025-04-21T00:00:00"/>
        <d v="2025-04-22T00:00:00"/>
        <d v="2025-04-23T00:00:00"/>
        <d v="2025-04-24T00:00:00"/>
        <d v="2025-04-27T00:00:00"/>
        <d v="2025-04-28T00:00:00"/>
        <d v="2025-04-29T00:00:00"/>
        <d v="2025-04-30T00:00:00"/>
        <d v="2025-05-01T00:00:00"/>
        <d v="2025-05-04T00:00:00"/>
        <d v="2025-05-05T00:00:00"/>
        <d v="2025-05-06T00:00:00"/>
        <d v="2025-05-07T00:00:00"/>
        <d v="2025-05-08T00:00:00"/>
        <d v="2025-05-11T00:00:00"/>
        <d v="2025-05-12T00:00:00"/>
        <d v="2025-05-13T00:00:00"/>
        <d v="2025-05-14T00:00:00"/>
        <d v="2025-05-15T00:00:00"/>
        <d v="2025-05-18T00:00:00"/>
        <d v="2025-05-19T00:00:00"/>
        <d v="2025-05-21T00:00:00"/>
        <d v="2025-05-22T00:00:00"/>
        <d v="2025-05-27T00:00:00"/>
        <d v="2025-05-28T00:00:00"/>
        <d v="2025-05-29T00:00:00"/>
        <d v="2025-06-01T00:00:00"/>
        <d v="2025-06-02T00:00:00"/>
        <d v="2025-06-03T00:00:00"/>
        <d v="2025-06-04T00:00:00"/>
        <d v="2025-06-05T00:00:00"/>
        <d v="2025-06-08T00:00:00"/>
        <d v="2025-06-09T00:00:00"/>
        <d v="2025-06-10T00:00:00"/>
        <d v="2025-06-17T00:00:00"/>
        <d v="2025-06-19T00:00:00"/>
        <d v="2025-06-22T00:00:00"/>
        <d v="2025-06-23T00:00:00"/>
        <d v="2025-06-24T00:00:00"/>
        <d v="2025-06-25T00:00:00"/>
        <d v="2025-06-26T00:00:00"/>
        <d v="2025-06-29T00:00:00"/>
        <d v="2025-06-30T00:00:00"/>
        <d v="2025-07-01T00:00:00"/>
        <d v="2025-07-02T00:00:00"/>
        <d v="2025-07-06T00:00:00"/>
        <d v="2025-07-07T00:00:00"/>
        <d v="2025-07-08T00:00:00"/>
        <d v="2025-07-09T00:00:00"/>
        <d v="2025-07-10T00:00:00"/>
        <d v="2025-07-13T00:00:00"/>
        <d v="2025-07-14T00:00:00"/>
        <d v="2025-07-15T00:00:00"/>
        <d v="2025-07-16T00:00:00"/>
        <d v="2025-07-17T00:00:00"/>
        <d v="2025-07-21T00:00:00"/>
        <d v="2025-07-22T00:00:00"/>
        <d v="2025-07-23T00:00:00"/>
        <d v="2025-07-24T00:00:00"/>
        <d v="2025-07-27T00:00:00"/>
        <d v="2025-07-28T00:00:00"/>
        <d v="2025-07-29T00:00:00"/>
        <d v="2025-07-30T00:00:00"/>
        <d v="2025-07-31T00:00:00"/>
        <d v="2025-08-03T00:00:00"/>
        <d v="2025-08-04T00:00:00"/>
        <d v="2025-08-05T00:00:00"/>
        <d v="2025-08-06T00:00:00"/>
        <d v="2025-08-07T00:00:00"/>
        <d v="2025-08-10T00:00:00"/>
        <d v="2025-08-11T00:00:00"/>
        <d v="2025-08-12T00:00:00"/>
        <d v="2025-08-13T00:00:00"/>
        <d v="2025-08-14T00:00:00"/>
        <d v="2025-08-17T00:00:00"/>
        <d v="2025-08-18T00:00:00"/>
        <d v="2025-08-19T00:00:00"/>
        <d v="2025-08-20T00:00:00"/>
        <d v="2025-08-21T00:00:00"/>
        <d v="2025-08-24T00:00:00"/>
        <d v="2025-08-25T00:00:00"/>
        <d v="2025-08-26T00:00:00"/>
        <d v="2025-08-27T00:00:00"/>
        <d v="2025-08-28T00:00:00"/>
        <d v="2025-09-01T00:00:00"/>
        <d v="2025-09-02T00:00:00"/>
        <d v="2025-09-03T00:00:00"/>
        <d v="2025-09-04T00:00:00"/>
        <d v="2025-09-07T00:00:00"/>
        <d v="2025-09-08T00:00:00"/>
        <d v="2025-09-09T00:00:00"/>
        <d v="2025-09-10T00:00:00"/>
        <d v="2025-09-11T00:00:00"/>
        <d v="2025-09-14T00:00:00"/>
        <d v="2025-09-15T00:00:00"/>
        <d v="2025-09-16T00:00:00"/>
        <d v="2025-09-17T00:00:00"/>
        <d v="2025-09-18T00:00:00"/>
        <d v="2025-09-21T00:00:00"/>
        <d v="2025-09-22T00:00:00"/>
        <d v="2025-09-23T00:00:00"/>
        <d v="2025-09-24T00:00:00"/>
        <d v="2025-09-25T00:00:00"/>
        <d v="2025-09-28T00:00:00"/>
        <d v="2025-09-29T00:00:00"/>
        <d v="2025-09-30T00:00:00"/>
        <d v="2025-10-01T00:00:00"/>
        <d v="2025-10-02T00:00:00"/>
        <d v="2025-10-05T00:00:00"/>
        <d v="2025-10-06T00:00:00"/>
        <d v="2025-10-07T00:00:00"/>
        <d v="2025-10-08T00:00:00"/>
        <d v="2025-10-09T00:00:00"/>
        <d v="2025-10-13T00:00:00"/>
        <d v="2025-10-14T00:00:00"/>
        <d v="2025-10-15T00:00:00"/>
        <d v="2025-10-16T00:00:00"/>
        <d v="2025-10-19T00:00:00"/>
        <d v="2025-10-20T00:00:00"/>
        <d v="2025-10-21T00:00:00"/>
        <d v="2025-10-22T00:00:00"/>
        <d v="2025-10-23T00:00:00"/>
        <d v="2025-10-26T00:00:00"/>
        <d v="2025-10-27T00:00:00"/>
        <d v="2025-10-28T00:00:00"/>
        <d v="2025-10-29T00:00:00"/>
        <d v="2025-10-30T00:00:00"/>
        <d v="2025-11-02T00:00:00"/>
        <d v="2025-11-03T00:00:00"/>
        <d v="2025-11-04T00:00:00"/>
        <d v="2025-11-05T00:00:00"/>
        <d v="2025-11-06T00:00:00"/>
        <d v="2025-11-09T00:00:00"/>
        <d v="2025-11-11T00:00:00"/>
        <d v="2025-11-12T00:00:00"/>
        <d v="2025-11-13T00:00:00"/>
        <d v="2025-11-16T00:00:00"/>
        <d v="2025-11-17T00:00:00"/>
        <d v="2025-11-18T00:00:00"/>
        <d v="2025-11-19T00:00:00"/>
        <d v="2025-11-20T00:00:00"/>
        <d v="2025-11-23T00:00:00"/>
        <d v="2025-11-24T00:00:00"/>
        <d v="2025-11-25T00:00:00"/>
        <d v="2025-11-27T00:00:00"/>
        <d v="2025-11-30T00:00:00"/>
        <d v="2025-12-01T00:00:00"/>
        <d v="2025-12-02T00:00:00"/>
        <d v="2025-12-03T00:00:00"/>
        <d v="2025-12-04T00:00:00"/>
        <d v="2025-12-07T00:00:00"/>
        <d v="2025-12-08T00:00:00"/>
        <d v="2025-12-09T00:00:00"/>
        <d v="2025-12-10T00:00:00"/>
        <d v="2025-12-11T00:00:00"/>
        <d v="2025-12-14T00:00:00"/>
        <d v="2025-12-15T00:00:00"/>
        <d v="2025-12-16T00:00:00"/>
        <d v="2025-12-17T00:00:00"/>
        <d v="2025-12-18T00:00:00"/>
        <d v="2025-12-21T00:00:00"/>
        <m/>
      </sharedItems>
      <fieldGroup par="21"/>
    </cacheField>
    <cacheField name="Children apprehended and placed in CBP custody*" numFmtId="49">
      <sharedItems containsString="0" containsBlank="1" containsNumber="1" containsInteger="1" minValue="0" maxValue="333"/>
    </cacheField>
    <cacheField name="Children in CBP custody" numFmtId="49">
      <sharedItems containsString="0" containsBlank="1" containsNumber="1" containsInteger="1" minValue="7" maxValue="531"/>
    </cacheField>
    <cacheField name="Children transferred out of CBP custody" numFmtId="49">
      <sharedItems containsString="0" containsBlank="1" containsNumber="1" containsInteger="1" minValue="0" maxValue="440"/>
    </cacheField>
    <cacheField name="Children in HHS Care" numFmtId="0">
      <sharedItems containsString="0" containsBlank="1" containsNumber="1" containsInteger="1" minValue="1972" maxValue="11516"/>
    </cacheField>
    <cacheField name="Children discharged from HHS Care" numFmtId="0">
      <sharedItems containsString="0" containsBlank="1" containsNumber="1" containsInteger="1" minValue="0" maxValue="505"/>
    </cacheField>
    <cacheField name="Total System Load" numFmtId="49">
      <sharedItems containsString="0" containsBlank="1" containsNumber="1" containsInteger="1" minValue="2002" maxValue="11762"/>
    </cacheField>
    <cacheField name="Net Daily Intake" numFmtId="0">
      <sharedItems containsString="0" containsBlank="1" containsNumber="1" containsInteger="1" minValue="1951" maxValue="11126"/>
    </cacheField>
    <cacheField name="Care Load Growth Rate" numFmtId="0">
      <sharedItems containsString="0" containsBlank="1" containsNumber="1" minValue="-1" maxValue="0.13544494720965308"/>
    </cacheField>
    <cacheField name="Backlog Indicator" numFmtId="0">
      <sharedItems containsBlank="1"/>
    </cacheField>
    <cacheField name="Care Load Ratio" numFmtId="0">
      <sharedItems containsString="0" containsBlank="1" containsNumber="1" minValue="0.89537392138063276" maxValue="0.99341486359360298"/>
    </cacheField>
    <cacheField name="Weekly Intake" numFmtId="0">
      <sharedItems containsString="0" containsBlank="1" containsNumber="1" minValue="6.2676174496644297" maxValue="6.9539040451552205"/>
    </cacheField>
    <cacheField name="Monthly Trend" numFmtId="0">
      <sharedItems containsString="0" containsBlank="1" containsNumber="1" minValue="26.861217641418982" maxValue="29.802445907808089"/>
    </cacheField>
    <cacheField name="Stress" numFmtId="0">
      <sharedItems containsBlank="1"/>
    </cacheField>
    <cacheField name="Weekly Trend" numFmtId="0">
      <sharedItems containsString="0" containsBlank="1" containsNumber="1" containsInteger="1" minValue="1" maxValue="53"/>
    </cacheField>
    <cacheField name="7 days rolling" numFmtId="0">
      <sharedItems containsString="0" containsBlank="1" containsNumber="1" minValue="0.90280784712973616" maxValue="0.99206059164810267"/>
    </cacheField>
    <cacheField name="14 days rolling" numFmtId="0">
      <sharedItems containsString="0" containsBlank="1" containsNumber="1" minValue="0.91097697512994769" maxValue="0.99006681623896631"/>
    </cacheField>
    <cacheField name="Prolonged Strain " numFmtId="0">
      <sharedItems containsBlank="1"/>
    </cacheField>
    <cacheField name="Discharg Offset Ratio" numFmtId="0">
      <sharedItems containsString="0" containsBlank="1" containsNumber="1" minValue="0" maxValue="6.5870977489046689E-2"/>
    </cacheField>
    <cacheField name="Months (Date)" numFmtId="0" databaseField="0">
      <fieldGroup base="0">
        <rangePr groupBy="months" startDate="2023-01-12T00:00:00" endDate="2025-12-22T00:00:00"/>
        <groupItems count="14">
          <s v="&lt;1/12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2/2025"/>
        </groupItems>
      </fieldGroup>
    </cacheField>
    <cacheField name="Quarters (Date)" numFmtId="0" databaseField="0">
      <fieldGroup base="0">
        <rangePr groupBy="quarters" startDate="2023-01-12T00:00:00" endDate="2025-12-22T00:00:00"/>
        <groupItems count="6">
          <s v="&lt;1/12/2023"/>
          <s v="Qtr1"/>
          <s v="Qtr2"/>
          <s v="Qtr3"/>
          <s v="Qtr4"/>
          <s v="&gt;12/22/2025"/>
        </groupItems>
      </fieldGroup>
    </cacheField>
    <cacheField name="Years (Date)" numFmtId="0" databaseField="0">
      <fieldGroup base="0">
        <rangePr groupBy="years" startDate="2023-01-12T00:00:00" endDate="2025-12-22T00:00:00"/>
        <groupItems count="5">
          <s v="&lt;1/12/2023"/>
          <s v="2023"/>
          <s v="2024"/>
          <s v="2025"/>
          <s v="&gt;12/2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1">
  <r>
    <x v="0"/>
    <n v="6"/>
    <n v="18"/>
    <n v="11"/>
    <n v="2484"/>
    <n v="14"/>
    <n v="2502"/>
    <x v="0"/>
    <n v="-5.6680161943319842E-3"/>
    <s v="No Backlog"/>
    <n v="0.98721023181454837"/>
    <n v="6.9104716227018388"/>
    <n v="29.61630695443645"/>
    <b v="1"/>
  </r>
  <r>
    <x v="1"/>
    <n v="11"/>
    <n v="50"/>
    <n v="6"/>
    <n v="2472"/>
    <n v="16"/>
    <n v="2522"/>
    <x v="1"/>
    <n v="6.1074918566775245E-3"/>
    <s v="Backlog"/>
    <n v="0.97383029341792227"/>
    <n v="6.8168120539254557"/>
    <n v="29.214908802537668"/>
    <b v="1"/>
  </r>
  <r>
    <x v="2"/>
    <n v="7"/>
    <n v="31"/>
    <n v="11"/>
    <n v="2481"/>
    <n v="10"/>
    <n v="2512"/>
    <x v="2"/>
    <n v="-4.8563334682314848E-3"/>
    <s v="No Backlog"/>
    <n v="0.98367834394904463"/>
    <n v="6.8857484076433124"/>
    <n v="29.510350318471339"/>
    <b v="1"/>
  </r>
  <r>
    <x v="3"/>
    <n v="8"/>
    <n v="54"/>
    <n v="15"/>
    <n v="2468"/>
    <n v="9"/>
    <n v="2522"/>
    <x v="3"/>
    <n v="1.6266775111834079E-3"/>
    <s v="Backlog"/>
    <n v="0.97501982553528943"/>
    <n v="6.8251387787470259"/>
    <n v="29.250594766058683"/>
    <b v="1"/>
  </r>
  <r>
    <x v="4"/>
    <n v="11"/>
    <n v="42"/>
    <n v="9"/>
    <n v="2470"/>
    <n v="7"/>
    <n v="2512"/>
    <x v="4"/>
    <n v="-3.6540803897685747E-3"/>
    <s v="No Backlog"/>
    <n v="0.98049363057324845"/>
    <n v="6.8634554140127388"/>
    <n v="29.414808917197455"/>
    <b v="1"/>
  </r>
  <r>
    <x v="5"/>
    <n v="8"/>
    <n v="35"/>
    <n v="4"/>
    <n v="2462"/>
    <n v="8"/>
    <n v="2497"/>
    <x v="5"/>
    <n v="-1.1002444987775062E-2"/>
    <s v="No Backlog"/>
    <n v="0.9827793352022427"/>
    <n v="6.8794553464156989"/>
    <n v="29.483380056067283"/>
    <b v="1"/>
  </r>
  <r>
    <x v="6"/>
    <n v="7"/>
    <n v="47"/>
    <n v="9"/>
    <n v="2437"/>
    <n v="10"/>
    <n v="2484"/>
    <x v="6"/>
    <n v="1.2360939431396785E-3"/>
    <s v="Backlog"/>
    <n v="0.97705314009661837"/>
    <n v="6.8393719806763285"/>
    <n v="29.311594202898551"/>
    <b v="1"/>
  </r>
  <r>
    <x v="7"/>
    <n v="10"/>
    <n v="54"/>
    <n v="5"/>
    <n v="2439"/>
    <n v="9"/>
    <n v="2493"/>
    <x v="7"/>
    <n v="2.05761316872428E-3"/>
    <s v="Backlog"/>
    <n v="0.97472924187725629"/>
    <n v="6.8231046931407944"/>
    <n v="29.241877256317689"/>
    <b v="1"/>
  </r>
  <r>
    <x v="8"/>
    <n v="4"/>
    <n v="30"/>
    <n v="7"/>
    <n v="2443"/>
    <n v="8"/>
    <n v="2473"/>
    <x v="8"/>
    <n v="4.1067761806981519E-4"/>
    <s v="Backlog"/>
    <n v="0.98463404771532548"/>
    <n v="6.8924383340072781"/>
    <n v="29.539021431459766"/>
    <b v="1"/>
  </r>
  <r>
    <x v="9"/>
    <n v="9"/>
    <n v="27"/>
    <n v="9"/>
    <n v="2440"/>
    <n v="4"/>
    <n v="2467"/>
    <x v="9"/>
    <n v="-7.7996715927750411E-3"/>
    <s v="No Backlog"/>
    <n v="0.9874341305229023"/>
    <n v="6.9120389136603162"/>
    <n v="29.623023915687067"/>
    <b v="1"/>
  </r>
  <r>
    <x v="10"/>
    <n v="4"/>
    <n v="24"/>
    <n v="13"/>
    <n v="2429"/>
    <n v="12"/>
    <n v="2453"/>
    <x v="10"/>
    <n v="-4.9648324369052548E-3"/>
    <s v="No Backlog"/>
    <n v="0.9853240929474113"/>
    <n v="6.8972686506318794"/>
    <n v="29.559722788422338"/>
    <b v="1"/>
  </r>
  <r>
    <x v="11"/>
    <n v="16"/>
    <n v="39"/>
    <n v="7"/>
    <n v="2418"/>
    <n v="13"/>
    <n v="2457"/>
    <x v="11"/>
    <n v="2.9106029106029108E-3"/>
    <s v="Backlog"/>
    <n v="0.97883597883597884"/>
    <n v="6.8518518518518521"/>
    <n v="29.365079365079364"/>
    <b v="1"/>
  </r>
  <r>
    <x v="12"/>
    <n v="4"/>
    <n v="32"/>
    <n v="8"/>
    <n v="2419"/>
    <n v="7"/>
    <n v="2451"/>
    <x v="12"/>
    <n v="-5.3897180762852402E-3"/>
    <s v="No Backlog"/>
    <n v="0.98408812729498163"/>
    <n v="6.8886168910648715"/>
    <n v="29.522643818849449"/>
    <b v="1"/>
  </r>
  <r>
    <x v="13"/>
    <n v="7"/>
    <n v="34"/>
    <n v="6"/>
    <n v="2407"/>
    <n v="8"/>
    <n v="2441"/>
    <x v="13"/>
    <n v="8.3368070029178826E-4"/>
    <s v="Backlog"/>
    <n v="0.98279393691110206"/>
    <n v="6.879557558377714"/>
    <n v="29.483818107333061"/>
    <b v="1"/>
  </r>
  <r>
    <x v="14"/>
    <n v="4"/>
    <n v="26"/>
    <n v="4"/>
    <n v="2410"/>
    <n v="9"/>
    <n v="2436"/>
    <x v="14"/>
    <n v="5.8309037900874635E-3"/>
    <s v="Backlog"/>
    <n v="0.98563218390804597"/>
    <n v="6.8994252873563218"/>
    <n v="29.568965517241381"/>
    <b v="1"/>
  </r>
  <r>
    <x v="15"/>
    <n v="4"/>
    <n v="18"/>
    <n v="10"/>
    <n v="2415"/>
    <n v="0"/>
    <n v="2433"/>
    <x v="15"/>
    <n v="-1.3664596273291925E-2"/>
    <s v="No Backlog"/>
    <n v="0.99260172626387178"/>
    <n v="6.9482120838471024"/>
    <n v="29.778051787916155"/>
    <b v="1"/>
  </r>
  <r>
    <x v="16"/>
    <n v="4"/>
    <n v="24"/>
    <n v="8"/>
    <n v="2389"/>
    <n v="7"/>
    <n v="2413"/>
    <x v="16"/>
    <n v="-7.556675062972292E-3"/>
    <s v="No Backlog"/>
    <n v="0.98715292167426438"/>
    <n v="6.910070451719851"/>
    <n v="29.614587650227932"/>
    <b v="1"/>
  </r>
  <r>
    <x v="17"/>
    <n v="6"/>
    <n v="47"/>
    <n v="14"/>
    <n v="2375"/>
    <n v="11"/>
    <n v="2422"/>
    <x v="17"/>
    <n v="-2.5380710659898475E-3"/>
    <s v="No Backlog"/>
    <n v="0.97605284888521882"/>
    <n v="6.8323699421965314"/>
    <n v="29.281585466556564"/>
    <b v="1"/>
  </r>
  <r>
    <x v="18"/>
    <n v="9"/>
    <n v="40"/>
    <n v="9"/>
    <n v="2371"/>
    <n v="13"/>
    <n v="2411"/>
    <x v="18"/>
    <n v="6.7854113655640372E-3"/>
    <s v="Backlog"/>
    <n v="0.97801742015761095"/>
    <n v="6.8461219411032763"/>
    <n v="29.340522604728328"/>
    <b v="1"/>
  </r>
  <r>
    <x v="19"/>
    <n v="3"/>
    <n v="46"/>
    <n v="22"/>
    <n v="2375"/>
    <n v="1"/>
    <n v="2421"/>
    <x v="19"/>
    <n v="-1.8112889637742206E-2"/>
    <s v="No Backlog"/>
    <n v="0.9805865344898802"/>
    <n v="6.8641057414291611"/>
    <n v="29.417596034696405"/>
    <b v="1"/>
  </r>
  <r>
    <x v="20"/>
    <n v="18"/>
    <n v="57"/>
    <n v="8"/>
    <n v="2340"/>
    <n v="9"/>
    <n v="2397"/>
    <x v="20"/>
    <n v="-4.29000429000429E-4"/>
    <s v="No Backlog"/>
    <n v="0.97246558197747179"/>
    <n v="6.8072590738423022"/>
    <n v="29.173967459324153"/>
    <b v="1"/>
  </r>
  <r>
    <x v="21"/>
    <n v="7"/>
    <n v="32"/>
    <n v="3"/>
    <n v="2340"/>
    <n v="10"/>
    <n v="2372"/>
    <x v="21"/>
    <n v="1.2875536480686696E-3"/>
    <s v="Backlog"/>
    <n v="0.98229342327150082"/>
    <n v="6.8760539629005057"/>
    <n v="29.468802698145026"/>
    <b v="1"/>
  </r>
  <r>
    <x v="22"/>
    <n v="2"/>
    <n v="38"/>
    <n v="8"/>
    <n v="2345"/>
    <n v="12"/>
    <n v="2383"/>
    <x v="22"/>
    <n v="8.5726532361765965E-4"/>
    <s v="Backlog"/>
    <n v="0.97901804448174568"/>
    <n v="6.8531263113722201"/>
    <n v="29.370541334452369"/>
    <b v="1"/>
  </r>
  <r>
    <x v="23"/>
    <n v="1"/>
    <n v="35"/>
    <n v="6"/>
    <n v="2343"/>
    <n v="8"/>
    <n v="2378"/>
    <x v="23"/>
    <n v="0"/>
    <s v="No Backlog"/>
    <n v="0.9819175777964676"/>
    <n v="6.8734230445752731"/>
    <n v="29.457527333894028"/>
    <b v="1"/>
  </r>
  <r>
    <x v="24"/>
    <n v="5"/>
    <n v="22"/>
    <n v="3"/>
    <n v="2340"/>
    <n v="5"/>
    <n v="2362"/>
    <x v="23"/>
    <n v="-9.8501070663811561E-3"/>
    <s v="No Backlog"/>
    <n v="0.9885690093141406"/>
    <n v="6.9199830651989842"/>
    <n v="29.657070279424218"/>
    <b v="1"/>
  </r>
  <r>
    <x v="25"/>
    <n v="6"/>
    <n v="26"/>
    <n v="16"/>
    <n v="2317"/>
    <n v="5"/>
    <n v="2343"/>
    <x v="24"/>
    <n v="-7.3529411764705881E-3"/>
    <s v="No Backlog"/>
    <n v="0.98676909944515578"/>
    <n v="6.9073836961160904"/>
    <n v="29.603072983354675"/>
    <b v="1"/>
  </r>
  <r>
    <x v="26"/>
    <n v="14"/>
    <n v="48"/>
    <n v="20"/>
    <n v="2302"/>
    <n v="7"/>
    <n v="2350"/>
    <x v="25"/>
    <n v="-6.5359477124183009E-3"/>
    <s v="No Backlog"/>
    <n v="0.97659574468085109"/>
    <n v="6.8361702127659578"/>
    <n v="29.297872340425531"/>
    <b v="1"/>
  </r>
  <r>
    <x v="27"/>
    <n v="11"/>
    <n v="39"/>
    <n v="12"/>
    <n v="2294"/>
    <n v="14"/>
    <n v="2333"/>
    <x v="26"/>
    <n v="4.3859649122807015E-3"/>
    <s v="Backlog"/>
    <n v="0.97728246892413206"/>
    <n v="6.8409772824689243"/>
    <n v="29.318474067723962"/>
    <b v="1"/>
  </r>
  <r>
    <x v="28"/>
    <n v="11"/>
    <n v="33"/>
    <n v="5"/>
    <n v="2294"/>
    <n v="4"/>
    <n v="2327"/>
    <x v="27"/>
    <n v="-1.9650655021834062E-2"/>
    <s v="No Backlog"/>
    <n v="0.98409969918349804"/>
    <n v="6.8886978942844861"/>
    <n v="29.522990975504943"/>
    <b v="1"/>
  </r>
  <r>
    <x v="29"/>
    <n v="6"/>
    <n v="33"/>
    <n v="9"/>
    <n v="2264"/>
    <n v="19"/>
    <n v="2297"/>
    <x v="28"/>
    <n v="8.9086859688195987E-3"/>
    <s v="Backlog"/>
    <n v="0.97736177622986509"/>
    <n v="6.8415324336090553"/>
    <n v="29.320853286895954"/>
    <b v="1"/>
  </r>
  <r>
    <x v="30"/>
    <n v="8"/>
    <n v="41"/>
    <n v="8"/>
    <n v="2272"/>
    <n v="7"/>
    <n v="2313"/>
    <x v="29"/>
    <n v="-1.3245033112582781E-3"/>
    <s v="No Backlog"/>
    <n v="0.97924773022049283"/>
    <n v="6.8547341115434497"/>
    <n v="29.377431906614785"/>
    <b v="1"/>
  </r>
  <r>
    <x v="31"/>
    <n v="6"/>
    <n v="33"/>
    <n v="6"/>
    <n v="2270"/>
    <n v="8"/>
    <n v="2303"/>
    <x v="30"/>
    <n v="-2.2104332449160036E-3"/>
    <s v="No Backlog"/>
    <n v="0.98219713417281806"/>
    <n v="6.8753799392097266"/>
    <n v="29.465914025184542"/>
    <b v="1"/>
  </r>
  <r>
    <x v="32"/>
    <n v="3"/>
    <n v="28"/>
    <n v="5"/>
    <n v="2269"/>
    <n v="12"/>
    <n v="2297"/>
    <x v="31"/>
    <n v="5.7598582188746125E-3"/>
    <s v="Backlog"/>
    <n v="0.98258598171528078"/>
    <n v="6.8781018720069653"/>
    <n v="29.477579451458425"/>
    <b v="1"/>
  </r>
  <r>
    <x v="33"/>
    <n v="5"/>
    <n v="21"/>
    <n v="10"/>
    <n v="2277"/>
    <n v="7"/>
    <n v="2298"/>
    <x v="32"/>
    <n v="2.2026431718061676E-3"/>
    <s v="Backlog"/>
    <n v="0.98781549173194083"/>
    <n v="6.9147084421235858"/>
    <n v="29.634464751958227"/>
    <b v="1"/>
  </r>
  <r>
    <x v="34"/>
    <n v="3"/>
    <n v="17"/>
    <n v="14"/>
    <n v="2287"/>
    <n v="12"/>
    <n v="2304"/>
    <x v="33"/>
    <n v="-5.2747252747252747E-3"/>
    <s v="No Backlog"/>
    <n v="0.98741319444444442"/>
    <n v="6.9118923611111107"/>
    <n v="29.622395833333332"/>
    <b v="1"/>
  </r>
  <r>
    <x v="35"/>
    <n v="6"/>
    <n v="25"/>
    <n v="4"/>
    <n v="2280"/>
    <n v="17"/>
    <n v="2305"/>
    <x v="34"/>
    <n v="7.5121520106053909E-3"/>
    <s v="Backlog"/>
    <n v="0.98177874186550973"/>
    <n v="6.8724511930585681"/>
    <n v="29.453362255965292"/>
    <b v="1"/>
  </r>
  <r>
    <x v="36"/>
    <n v="6"/>
    <n v="22"/>
    <n v="11"/>
    <n v="2286"/>
    <n v="6"/>
    <n v="2308"/>
    <x v="26"/>
    <n v="-3.9473684210526317E-3"/>
    <s v="No Backlog"/>
    <n v="0.98786828422876949"/>
    <n v="6.9150779896013868"/>
    <n v="29.636048526863085"/>
    <b v="1"/>
  </r>
  <r>
    <x v="37"/>
    <n v="2"/>
    <n v="31"/>
    <n v="8"/>
    <n v="2282"/>
    <n v="11"/>
    <n v="2313"/>
    <x v="35"/>
    <n v="-2.2016732716864818E-3"/>
    <s v="No Backlog"/>
    <n v="0.98184176394293121"/>
    <n v="6.8728923476005184"/>
    <n v="29.455252918287936"/>
    <b v="1"/>
  </r>
  <r>
    <x v="38"/>
    <n v="4"/>
    <n v="35"/>
    <n v="12"/>
    <n v="2276"/>
    <n v="10"/>
    <n v="2311"/>
    <x v="36"/>
    <n v="-7.9435127978817292E-3"/>
    <s v="No Backlog"/>
    <n v="0.98052790999567285"/>
    <n v="6.8636953699697099"/>
    <n v="29.415837299870187"/>
    <b v="1"/>
  </r>
  <r>
    <x v="39"/>
    <n v="4"/>
    <n v="27"/>
    <n v="26"/>
    <n v="2266"/>
    <n v="18"/>
    <n v="2293"/>
    <x v="37"/>
    <n v="4.4483985765124553E-4"/>
    <s v="Backlog"/>
    <n v="0.98037505451373741"/>
    <n v="6.8626253815961622"/>
    <n v="29.411251635412121"/>
    <b v="1"/>
  </r>
  <r>
    <x v="40"/>
    <n v="12"/>
    <n v="42"/>
    <n v="13"/>
    <n v="2261"/>
    <n v="12"/>
    <n v="2303"/>
    <x v="38"/>
    <n v="-3.1124944419742106E-3"/>
    <s v="No Backlog"/>
    <n v="0.97655232305688233"/>
    <n v="6.8358662613981762"/>
    <n v="29.29656969170647"/>
    <b v="1"/>
  </r>
  <r>
    <x v="41"/>
    <n v="13"/>
    <n v="39"/>
    <n v="17"/>
    <n v="2251"/>
    <n v="9"/>
    <n v="2290"/>
    <x v="39"/>
    <n v="-2.6761819803746653E-3"/>
    <s v="No Backlog"/>
    <n v="0.97903930131004369"/>
    <n v="6.8532751091703057"/>
    <n v="29.37117903930131"/>
    <b v="1"/>
  </r>
  <r>
    <x v="42"/>
    <n v="10"/>
    <n v="39"/>
    <n v="6"/>
    <n v="2243"/>
    <n v="7"/>
    <n v="2282"/>
    <x v="40"/>
    <n v="-2.6833631484794273E-3"/>
    <s v="No Backlog"/>
    <n v="0.97984224364592465"/>
    <n v="6.8588957055214728"/>
    <n v="29.39526730937774"/>
    <b v="1"/>
  </r>
  <r>
    <x v="43"/>
    <n v="9"/>
    <n v="34"/>
    <n v="17"/>
    <n v="2237"/>
    <n v="7"/>
    <n v="2271"/>
    <x v="41"/>
    <n v="-2.6905829596412557E-3"/>
    <s v="No Backlog"/>
    <n v="0.98194627917217081"/>
    <n v="6.873623954205196"/>
    <n v="29.458388375165125"/>
    <b v="1"/>
  </r>
  <r>
    <x v="44"/>
    <n v="9"/>
    <n v="33"/>
    <n v="15"/>
    <n v="2233"/>
    <n v="9"/>
    <n v="2266"/>
    <x v="42"/>
    <n v="-6.2949640287769783E-3"/>
    <s v="No Backlog"/>
    <n v="0.98146513680494263"/>
    <n v="6.8702559576345985"/>
    <n v="29.443954104148279"/>
    <b v="1"/>
  </r>
  <r>
    <x v="45"/>
    <n v="8"/>
    <n v="29"/>
    <n v="10"/>
    <n v="2225"/>
    <n v="15"/>
    <n v="2254"/>
    <x v="43"/>
    <n v="7.6923076923076927E-3"/>
    <s v="Backlog"/>
    <n v="0.98047914818101156"/>
    <n v="6.8633540372670812"/>
    <n v="29.414374445430347"/>
    <b v="1"/>
  </r>
  <r>
    <x v="46"/>
    <n v="7"/>
    <n v="30"/>
    <n v="16"/>
    <n v="2235"/>
    <n v="8"/>
    <n v="2265"/>
    <x v="44"/>
    <n v="-4.4903457566232603E-3"/>
    <s v="No Backlog"/>
    <n v="0.98322295805739512"/>
    <n v="6.8825607064017662"/>
    <n v="29.496688741721854"/>
    <b v="1"/>
  </r>
  <r>
    <x v="47"/>
    <n v="8"/>
    <n v="24"/>
    <n v="7"/>
    <n v="2223"/>
    <n v="6"/>
    <n v="2247"/>
    <x v="45"/>
    <n v="-1.6689219666215605E-2"/>
    <s v="No Backlog"/>
    <n v="0.986648865153538"/>
    <n v="6.9065420560747661"/>
    <n v="29.599465954606138"/>
    <b v="1"/>
  </r>
  <r>
    <x v="48"/>
    <n v="11"/>
    <n v="55"/>
    <n v="13"/>
    <n v="2192"/>
    <n v="12"/>
    <n v="2247"/>
    <x v="46"/>
    <n v="-2.2935779816513763E-3"/>
    <s v="No Backlog"/>
    <n v="0.97018246550956833"/>
    <n v="6.7912772585669785"/>
    <n v="29.10547396528705"/>
    <b v="1"/>
  </r>
  <r>
    <x v="49"/>
    <n v="8"/>
    <n v="49"/>
    <n v="15"/>
    <n v="2192"/>
    <n v="17"/>
    <n v="2241"/>
    <x v="47"/>
    <n v="1.8390804597701149E-3"/>
    <s v="Backlog"/>
    <n v="0.97054886211512714"/>
    <n v="6.7938420348058903"/>
    <n v="29.116465863453815"/>
    <b v="1"/>
  </r>
  <r>
    <x v="50"/>
    <n v="11"/>
    <n v="45"/>
    <n v="4"/>
    <n v="2189"/>
    <n v="10"/>
    <n v="2234"/>
    <x v="48"/>
    <n v="-9.1785222579164757E-4"/>
    <s v="No Backlog"/>
    <n v="0.97538048343777972"/>
    <n v="6.8276633840644578"/>
    <n v="29.261414503133391"/>
    <b v="1"/>
  </r>
  <r>
    <x v="51"/>
    <n v="5"/>
    <n v="33"/>
    <n v="15"/>
    <n v="2187"/>
    <n v="10"/>
    <n v="2220"/>
    <x v="49"/>
    <n v="-5.9715204409738175E-3"/>
    <s v="No Backlog"/>
    <n v="0.98063063063063061"/>
    <n v="6.8644144144144139"/>
    <n v="29.418918918918919"/>
    <b v="1"/>
  </r>
  <r>
    <x v="52"/>
    <n v="8"/>
    <n v="28"/>
    <n v="13"/>
    <n v="2180"/>
    <n v="16"/>
    <n v="2208"/>
    <x v="50"/>
    <n v="-7.3937153419593345E-3"/>
    <s v="No Backlog"/>
    <n v="0.98007246376811596"/>
    <n v="6.8605072463768115"/>
    <n v="29.40217391304348"/>
    <b v="1"/>
  </r>
  <r>
    <x v="53"/>
    <n v="20"/>
    <n v="51"/>
    <n v="15"/>
    <n v="2164"/>
    <n v="16"/>
    <n v="2215"/>
    <x v="51"/>
    <n v="4.6554934823091247E-4"/>
    <s v="Backlog"/>
    <n v="0.96975169300225739"/>
    <n v="6.7882618510158022"/>
    <n v="29.092550790067722"/>
    <b v="1"/>
  </r>
  <r>
    <x v="54"/>
    <n v="4"/>
    <n v="33"/>
    <n v="12"/>
    <n v="2163"/>
    <n v="14"/>
    <n v="2196"/>
    <x v="52"/>
    <n v="1.3959981386691485E-3"/>
    <s v="Backlog"/>
    <n v="0.97859744990892528"/>
    <n v="6.8501821493624773"/>
    <n v="29.357923497267759"/>
    <b v="1"/>
  </r>
  <r>
    <x v="55"/>
    <n v="8"/>
    <n v="32"/>
    <n v="12"/>
    <n v="2159"/>
    <n v="7"/>
    <n v="2191"/>
    <x v="53"/>
    <n v="-7.8996282527881035E-3"/>
    <s v="No Backlog"/>
    <n v="0.98219990871748064"/>
    <n v="6.8753993610223647"/>
    <n v="29.465997261524418"/>
    <b v="1"/>
  </r>
  <r>
    <x v="56"/>
    <n v="8"/>
    <n v="35"/>
    <n v="12"/>
    <n v="2148"/>
    <n v="13"/>
    <n v="2183"/>
    <x v="54"/>
    <n v="9.3676814988290398E-4"/>
    <s v="Backlog"/>
    <n v="0.9780119102153001"/>
    <n v="6.8460833715071008"/>
    <n v="29.340357306459001"/>
    <b v="1"/>
  </r>
  <r>
    <x v="57"/>
    <n v="11"/>
    <n v="29"/>
    <n v="12"/>
    <n v="2146"/>
    <n v="9"/>
    <n v="2175"/>
    <x v="55"/>
    <n v="-1.0762751520823585E-2"/>
    <s v="No Backlog"/>
    <n v="0.9825287356321839"/>
    <n v="6.8777011494252873"/>
    <n v="29.475862068965519"/>
    <b v="1"/>
  </r>
  <r>
    <x v="58"/>
    <n v="6"/>
    <n v="35"/>
    <n v="12"/>
    <n v="2132"/>
    <n v="18"/>
    <n v="2167"/>
    <x v="56"/>
    <n v="3.3112582781456954E-3"/>
    <s v="Backlog"/>
    <n v="0.97554222427318871"/>
    <n v="6.8287955699123213"/>
    <n v="29.26626672819566"/>
    <b v="1"/>
  </r>
  <r>
    <x v="59"/>
    <n v="3"/>
    <n v="38"/>
    <n v="12"/>
    <n v="2138"/>
    <n v="17"/>
    <n v="2176"/>
    <x v="57"/>
    <n v="4.2432814710042432E-3"/>
    <s v="Backlog"/>
    <n v="0.97472426470588236"/>
    <n v="6.8230698529411766"/>
    <n v="29.241727941176471"/>
    <b v="1"/>
  </r>
  <r>
    <x v="60"/>
    <n v="11"/>
    <n v="36"/>
    <n v="10"/>
    <n v="2145"/>
    <n v="15"/>
    <n v="2181"/>
    <x v="58"/>
    <n v="4.6948356807511736E-4"/>
    <s v="Backlog"/>
    <n v="0.97661623108665752"/>
    <n v="6.8363136176066028"/>
    <n v="29.298486932599726"/>
    <b v="1"/>
  </r>
  <r>
    <x v="61"/>
    <n v="17"/>
    <n v="40"/>
    <n v="14"/>
    <n v="2141"/>
    <n v="10"/>
    <n v="2181"/>
    <x v="59"/>
    <n v="-9.3852651337400278E-4"/>
    <s v="No Backlog"/>
    <n v="0.97707473635946818"/>
    <n v="6.8395231545162769"/>
    <n v="29.312242090784046"/>
    <b v="1"/>
  </r>
  <r>
    <x v="62"/>
    <n v="8"/>
    <n v="35"/>
    <n v="13"/>
    <n v="2134"/>
    <n v="5"/>
    <n v="2169"/>
    <x v="60"/>
    <n v="-2.2076092062000941E-2"/>
    <s v="No Backlog"/>
    <n v="0.98155832180728442"/>
    <n v="6.8709082526509908"/>
    <n v="29.446749654218532"/>
    <b v="1"/>
  </r>
  <r>
    <x v="63"/>
    <n v="20"/>
    <n v="52"/>
    <n v="11"/>
    <n v="2096"/>
    <n v="14"/>
    <n v="2148"/>
    <x v="61"/>
    <n v="4.8030739673390969E-4"/>
    <s v="Backlog"/>
    <n v="0.96927374301675973"/>
    <n v="6.7849162011173183"/>
    <n v="29.07821229050279"/>
    <b v="1"/>
  </r>
  <r>
    <x v="64"/>
    <n v="7"/>
    <n v="38"/>
    <n v="5"/>
    <n v="2096"/>
    <n v="13"/>
    <n v="2134"/>
    <x v="62"/>
    <n v="0"/>
    <s v="No Backlog"/>
    <n v="0.97610121836925956"/>
    <n v="6.832708528584817"/>
    <n v="29.283036551077785"/>
    <b v="1"/>
  </r>
  <r>
    <x v="65"/>
    <n v="7"/>
    <n v="28"/>
    <n v="17"/>
    <n v="2095"/>
    <n v="12"/>
    <n v="2123"/>
    <x v="62"/>
    <n v="-3.3605376860297649E-3"/>
    <s v="No Backlog"/>
    <n v="0.98115873763542161"/>
    <n v="6.868111163447951"/>
    <n v="29.434762129062648"/>
    <b v="1"/>
  </r>
  <r>
    <x v="66"/>
    <n v="9"/>
    <n v="47"/>
    <n v="10"/>
    <n v="2086"/>
    <n v="10"/>
    <n v="2133"/>
    <x v="63"/>
    <n v="9.6339113680154141E-4"/>
    <s v="Backlog"/>
    <n v="0.97327707454289736"/>
    <n v="6.8129395218002813"/>
    <n v="29.19831223628692"/>
    <b v="1"/>
  </r>
  <r>
    <x v="67"/>
    <n v="7"/>
    <n v="39"/>
    <n v="13"/>
    <n v="2083"/>
    <n v="5"/>
    <n v="2122"/>
    <x v="64"/>
    <n v="-1.7805582290664101E-2"/>
    <s v="No Backlog"/>
    <n v="0.97926484448633366"/>
    <n v="6.8548539114043354"/>
    <n v="29.377945334590009"/>
    <b v="1"/>
  </r>
  <r>
    <x v="68"/>
    <n v="12"/>
    <n v="38"/>
    <n v="29"/>
    <n v="2047"/>
    <n v="6"/>
    <n v="2085"/>
    <x v="65"/>
    <n v="-1.6658500734933857E-2"/>
    <s v="No Backlog"/>
    <n v="0.97889688249400475"/>
    <n v="6.8522781774580332"/>
    <n v="29.366906474820141"/>
    <b v="1"/>
  </r>
  <r>
    <x v="69"/>
    <n v="10"/>
    <n v="47"/>
    <n v="14"/>
    <n v="2025"/>
    <n v="18"/>
    <n v="2072"/>
    <x v="66"/>
    <n v="9.9651220727453907E-4"/>
    <s v="Backlog"/>
    <n v="0.96862934362934361"/>
    <n v="6.7804054054054053"/>
    <n v="29.058880308880308"/>
    <b v="1"/>
  </r>
  <r>
    <x v="70"/>
    <n v="18"/>
    <n v="42"/>
    <n v="11"/>
    <n v="2023"/>
    <n v="14"/>
    <n v="2065"/>
    <x v="67"/>
    <n v="4.9776007964161271E-3"/>
    <s v="Backlog"/>
    <n v="0.97288135593220337"/>
    <n v="6.8101694915254232"/>
    <n v="29.1864406779661"/>
    <b v="1"/>
  </r>
  <r>
    <x v="71"/>
    <n v="7"/>
    <n v="25"/>
    <n v="5"/>
    <n v="2025"/>
    <n v="6"/>
    <n v="2050"/>
    <x v="68"/>
    <n v="0"/>
    <s v="No Backlog"/>
    <n v="0.98487804878048779"/>
    <n v="6.894146341463415"/>
    <n v="29.546341463414635"/>
    <b v="1"/>
  </r>
  <r>
    <x v="72"/>
    <n v="4"/>
    <n v="19"/>
    <n v="9"/>
    <n v="2026"/>
    <n v="7"/>
    <n v="2045"/>
    <x v="68"/>
    <n v="-8.9153046062407128E-3"/>
    <s v="No Backlog"/>
    <n v="0.98728606356968218"/>
    <n v="6.9110024449877754"/>
    <n v="29.618581907090466"/>
    <b v="1"/>
  </r>
  <r>
    <x v="73"/>
    <n v="11"/>
    <n v="40"/>
    <n v="2"/>
    <n v="2015"/>
    <n v="14"/>
    <n v="2055"/>
    <x v="69"/>
    <n v="3.9980009995002497E-3"/>
    <s v="Backlog"/>
    <n v="0.97372262773722629"/>
    <n v="6.8160583941605841"/>
    <n v="29.211678832116789"/>
    <b v="1"/>
  </r>
  <r>
    <x v="74"/>
    <n v="4"/>
    <n v="29"/>
    <n v="11"/>
    <n v="2019"/>
    <n v="10"/>
    <n v="2048"/>
    <x v="67"/>
    <n v="9.9552015928322545E-4"/>
    <s v="Backlog"/>
    <n v="0.98095703125"/>
    <n v="6.86669921875"/>
    <n v="29.4287109375"/>
    <b v="1"/>
  </r>
  <r>
    <x v="75"/>
    <n v="6"/>
    <n v="35"/>
    <n v="9"/>
    <n v="2020"/>
    <n v="9"/>
    <n v="2055"/>
    <x v="70"/>
    <n v="-2.9835902536051715E-3"/>
    <s v="No Backlog"/>
    <n v="0.97858880778588808"/>
    <n v="6.8501216545012165"/>
    <n v="29.357664233576642"/>
    <b v="1"/>
  </r>
  <r>
    <x v="76"/>
    <n v="10"/>
    <n v="29"/>
    <n v="17"/>
    <n v="2010"/>
    <n v="5"/>
    <n v="2039"/>
    <x v="71"/>
    <n v="-1.8952618453865335E-2"/>
    <s v="No Backlog"/>
    <n v="0.98332515939185872"/>
    <n v="6.8832761157430111"/>
    <n v="29.499754781755762"/>
    <b v="1"/>
  </r>
  <r>
    <x v="77"/>
    <n v="8"/>
    <n v="33"/>
    <n v="6"/>
    <n v="1984"/>
    <n v="17"/>
    <n v="2017"/>
    <x v="72"/>
    <n v="1.0167768174885613E-3"/>
    <s v="Backlog"/>
    <n v="0.97521070897372331"/>
    <n v="6.8264749628160635"/>
    <n v="29.2563212692117"/>
    <b v="1"/>
  </r>
  <r>
    <x v="78"/>
    <n v="5"/>
    <n v="19"/>
    <n v="9"/>
    <n v="1988"/>
    <n v="19"/>
    <n v="2007"/>
    <x v="73"/>
    <n v="2.5393600812595226E-3"/>
    <s v="Backlog"/>
    <n v="0.98106626806178376"/>
    <n v="6.8674638764324865"/>
    <n v="29.431988041853511"/>
    <b v="1"/>
  </r>
  <r>
    <x v="79"/>
    <n v="10"/>
    <n v="21"/>
    <n v="20"/>
    <n v="1989"/>
    <n v="15"/>
    <n v="2010"/>
    <x v="74"/>
    <n v="-2.5329280648429585E-3"/>
    <s v="No Backlog"/>
    <n v="0.98208955223880601"/>
    <n v="6.8746268656716421"/>
    <n v="29.46268656716418"/>
    <b v="1"/>
  </r>
  <r>
    <x v="80"/>
    <n v="8"/>
    <n v="30"/>
    <n v="8"/>
    <n v="1980"/>
    <n v="11"/>
    <n v="2010"/>
    <x v="73"/>
    <n v="3.5551041137633316E-3"/>
    <s v="Backlog"/>
    <n v="0.97960199004975124"/>
    <n v="6.8572139303482587"/>
    <n v="29.388059701492537"/>
    <b v="1"/>
  </r>
  <r>
    <x v="81"/>
    <n v="4"/>
    <n v="21"/>
    <n v="5"/>
    <n v="1981"/>
    <n v="5"/>
    <n v="2002"/>
    <x v="75"/>
    <n v="-1.2651821862348178E-2"/>
    <s v="No Backlog"/>
    <n v="0.98701298701298701"/>
    <n v="6.9090909090909092"/>
    <n v="29.61038961038961"/>
    <b v="1"/>
  </r>
  <r>
    <x v="82"/>
    <n v="6"/>
    <n v="49"/>
    <n v="8"/>
    <n v="1972"/>
    <n v="21"/>
    <n v="2021"/>
    <x v="76"/>
    <n v="1.1276268580215274E-2"/>
    <s v="Backlog"/>
    <n v="0.96536368134586836"/>
    <n v="6.7575457694210783"/>
    <n v="28.96091044037605"/>
    <b v="1"/>
  </r>
  <r>
    <x v="83"/>
    <n v="10"/>
    <n v="38"/>
    <n v="10"/>
    <n v="1983"/>
    <n v="10"/>
    <n v="2021"/>
    <x v="77"/>
    <n v="-2.0273694880892043E-3"/>
    <s v="No Backlog"/>
    <n v="0.97624938149430973"/>
    <n v="6.8337456704601678"/>
    <n v="29.287481444829293"/>
    <b v="1"/>
  </r>
  <r>
    <x v="84"/>
    <n v="5"/>
    <n v="35"/>
    <n v="3"/>
    <n v="1980"/>
    <n v="11"/>
    <n v="2015"/>
    <x v="73"/>
    <n v="1.015744032503809E-3"/>
    <s v="Backlog"/>
    <n v="0.97717121588089328"/>
    <n v="6.8401985111662533"/>
    <n v="29.315136476426797"/>
    <b v="1"/>
  </r>
  <r>
    <x v="85"/>
    <n v="4"/>
    <n v="20"/>
    <n v="6"/>
    <n v="1985"/>
    <n v="14"/>
    <n v="2005"/>
    <x v="78"/>
    <n v="8.6250634195839671E-3"/>
    <s v="Backlog"/>
    <n v="0.98304239401496263"/>
    <n v="6.8812967581047388"/>
    <n v="29.49127182044888"/>
    <b v="1"/>
  </r>
  <r>
    <x v="86"/>
    <n v="4"/>
    <n v="14"/>
    <n v="2"/>
    <n v="1991"/>
    <n v="3"/>
    <n v="2005"/>
    <x v="79"/>
    <n v="-2.5150905432595573E-3"/>
    <s v="No Backlog"/>
    <n v="0.99152119700748131"/>
    <n v="6.9406483790523694"/>
    <n v="29.74563591022444"/>
    <b v="1"/>
  </r>
  <r>
    <x v="87"/>
    <n v="3"/>
    <n v="27"/>
    <n v="4"/>
    <n v="1994"/>
    <n v="11"/>
    <n v="2021"/>
    <x v="80"/>
    <n v="-1.5128593040847202E-3"/>
    <s v="No Backlog"/>
    <n v="0.98119742701632851"/>
    <n v="6.8683819891142992"/>
    <n v="29.435922810489856"/>
    <b v="1"/>
  </r>
  <r>
    <x v="88"/>
    <n v="6"/>
    <n v="22"/>
    <n v="12"/>
    <n v="1997"/>
    <n v="17"/>
    <n v="2019"/>
    <x v="81"/>
    <n v="5.0505050505050509E-3"/>
    <s v="Backlog"/>
    <n v="0.98068350668647841"/>
    <n v="6.8647845468053488"/>
    <n v="29.420505200594352"/>
    <b v="1"/>
  </r>
  <r>
    <x v="89"/>
    <n v="8"/>
    <n v="38"/>
    <n v="9"/>
    <n v="1999"/>
    <n v="9"/>
    <n v="2037"/>
    <x v="82"/>
    <n v="-3.5175879396984926E-3"/>
    <s v="No Backlog"/>
    <n v="0.97692685321551298"/>
    <n v="6.8384879725085908"/>
    <n v="29.307805596465389"/>
    <b v="1"/>
  </r>
  <r>
    <x v="90"/>
    <n v="6"/>
    <n v="23"/>
    <n v="4"/>
    <n v="1999"/>
    <n v="16"/>
    <n v="2022"/>
    <x v="80"/>
    <n v="5.5471507816439742E-3"/>
    <s v="Backlog"/>
    <n v="0.98071216617210677"/>
    <n v="6.8649851632047474"/>
    <n v="29.421364985163201"/>
    <b v="1"/>
  </r>
  <r>
    <x v="91"/>
    <n v="0"/>
    <n v="18"/>
    <n v="8"/>
    <n v="2006"/>
    <n v="12"/>
    <n v="2024"/>
    <x v="83"/>
    <n v="1.0030090270812437E-2"/>
    <s v="Backlog"/>
    <n v="0.9851778656126482"/>
    <n v="6.8962450592885371"/>
    <n v="29.555335968379445"/>
    <b v="1"/>
  </r>
  <r>
    <x v="92"/>
    <n v="4"/>
    <n v="18"/>
    <n v="6"/>
    <n v="2031"/>
    <n v="17"/>
    <n v="2049"/>
    <x v="84"/>
    <n v="4.4687189672293947E-3"/>
    <s v="Backlog"/>
    <n v="0.98291849682772081"/>
    <n v="6.8804294777940456"/>
    <n v="29.487554904831626"/>
    <b v="1"/>
  </r>
  <r>
    <x v="93"/>
    <n v="4"/>
    <n v="17"/>
    <n v="3"/>
    <n v="2036"/>
    <n v="13"/>
    <n v="2053"/>
    <x v="85"/>
    <n v="2.4715768660405341E-3"/>
    <s v="Backlog"/>
    <n v="0.98538723818801754"/>
    <n v="6.8977106673161224"/>
    <n v="29.561617145640525"/>
    <b v="1"/>
  </r>
  <r>
    <x v="94"/>
    <n v="2"/>
    <n v="21"/>
    <n v="10"/>
    <n v="2042"/>
    <n v="14"/>
    <n v="2063"/>
    <x v="86"/>
    <n v="-9.8619329388560163E-4"/>
    <s v="No Backlog"/>
    <n v="0.98303441589917595"/>
    <n v="6.8812409112942312"/>
    <n v="29.491032476975278"/>
    <b v="1"/>
  </r>
  <r>
    <x v="95"/>
    <n v="5"/>
    <n v="22"/>
    <n v="11"/>
    <n v="2040"/>
    <n v="14"/>
    <n v="2062"/>
    <x v="87"/>
    <n v="8.8845014807502464E-3"/>
    <s v="Backlog"/>
    <n v="0.98254122211445194"/>
    <n v="6.8777885548011639"/>
    <n v="29.476236663433557"/>
    <b v="1"/>
  </r>
  <r>
    <x v="96"/>
    <n v="5"/>
    <n v="26"/>
    <n v="3"/>
    <n v="2049"/>
    <n v="5"/>
    <n v="2075"/>
    <x v="88"/>
    <n v="-4.8923679060665359E-4"/>
    <s v="No Backlog"/>
    <n v="0.98506024096385547"/>
    <n v="6.895421686746988"/>
    <n v="29.551807228915663"/>
    <b v="1"/>
  </r>
  <r>
    <x v="97"/>
    <n v="2"/>
    <n v="9"/>
    <n v="6"/>
    <n v="2058"/>
    <n v="15"/>
    <n v="2067"/>
    <x v="89"/>
    <n v="1.9579050416054823E-3"/>
    <s v="Backlog"/>
    <n v="0.98838896952104505"/>
    <n v="6.9187227866473151"/>
    <n v="29.651669085631351"/>
    <b v="1"/>
  </r>
  <r>
    <x v="98"/>
    <n v="4"/>
    <n v="15"/>
    <n v="4"/>
    <n v="2063"/>
    <n v="16"/>
    <n v="2078"/>
    <x v="90"/>
    <n v="6.3507572056668293E-3"/>
    <s v="Backlog"/>
    <n v="0.98508180943214629"/>
    <n v="6.8955726660250241"/>
    <n v="29.552454282964391"/>
    <b v="1"/>
  </r>
  <r>
    <x v="99"/>
    <n v="2"/>
    <n v="8"/>
    <n v="3"/>
    <n v="2072"/>
    <n v="12"/>
    <n v="2080"/>
    <x v="91"/>
    <n v="2.9126213592233011E-3"/>
    <s v="Backlog"/>
    <n v="0.99038461538461542"/>
    <n v="6.9326923076923084"/>
    <n v="29.711538461538463"/>
    <b v="1"/>
  </r>
  <r>
    <x v="100"/>
    <n v="2"/>
    <n v="9"/>
    <n v="3"/>
    <n v="2080"/>
    <n v="14"/>
    <n v="2089"/>
    <x v="92"/>
    <n v="8.7124878993223628E-3"/>
    <s v="Backlog"/>
    <n v="0.98898994734322643"/>
    <n v="6.9229296314025852"/>
    <n v="29.669698420296793"/>
    <b v="1"/>
  </r>
  <r>
    <x v="101"/>
    <n v="1"/>
    <n v="12"/>
    <n v="2"/>
    <n v="2088"/>
    <n v="4"/>
    <n v="2100"/>
    <x v="93"/>
    <n v="-8.1573896353166978E-3"/>
    <s v="No Backlog"/>
    <n v="0.99238095238095236"/>
    <n v="6.9466666666666663"/>
    <n v="29.771428571428572"/>
    <b v="1"/>
  </r>
  <r>
    <x v="102"/>
    <n v="6"/>
    <n v="18"/>
    <n v="7"/>
    <n v="2096"/>
    <n v="29"/>
    <n v="2114"/>
    <x v="94"/>
    <n v="1.4513788098693759E-2"/>
    <s v="Backlog"/>
    <n v="0.97776726584673601"/>
    <n v="6.8443708609271523"/>
    <n v="29.333017975402079"/>
    <b v="1"/>
  </r>
  <r>
    <x v="103"/>
    <n v="6"/>
    <n v="21"/>
    <n v="5"/>
    <n v="2111"/>
    <n v="14"/>
    <n v="2132"/>
    <x v="95"/>
    <n v="1.9074868860276585E-3"/>
    <s v="Backlog"/>
    <n v="0.98358348968105069"/>
    <n v="6.8850844277673549"/>
    <n v="29.507504690431521"/>
    <b v="1"/>
  </r>
  <r>
    <x v="104"/>
    <n v="5"/>
    <n v="13"/>
    <n v="3"/>
    <n v="2117"/>
    <n v="16"/>
    <n v="2130"/>
    <x v="96"/>
    <n v="1.9038553069966682E-3"/>
    <s v="Backlog"/>
    <n v="0.98638497652582158"/>
    <n v="6.9046948356807514"/>
    <n v="29.591549295774648"/>
    <b v="1"/>
  </r>
  <r>
    <x v="105"/>
    <n v="4"/>
    <n v="18"/>
    <n v="7"/>
    <n v="2121"/>
    <n v="16"/>
    <n v="2139"/>
    <x v="97"/>
    <n v="1.4726840855106888E-2"/>
    <s v="Backlog"/>
    <n v="0.98410472183263209"/>
    <n v="6.8887330528284245"/>
    <n v="29.523141654978964"/>
    <b v="1"/>
  </r>
  <r>
    <x v="106"/>
    <n v="3"/>
    <n v="16"/>
    <n v="2"/>
    <n v="2153"/>
    <n v="17"/>
    <n v="2169"/>
    <x v="98"/>
    <n v="7.9588014981273412E-3"/>
    <s v="Backlog"/>
    <n v="0.98478561549100974"/>
    <n v="6.8934993084370682"/>
    <n v="29.543568464730292"/>
    <b v="1"/>
  </r>
  <r>
    <x v="107"/>
    <n v="1"/>
    <n v="9"/>
    <n v="0"/>
    <n v="2164"/>
    <n v="11"/>
    <n v="2173"/>
    <x v="99"/>
    <n v="4.6446818392940084E-4"/>
    <s v="Backlog"/>
    <n v="0.9907961343764381"/>
    <n v="6.9355729406350664"/>
    <n v="29.723884031293142"/>
    <b v="1"/>
  </r>
  <r>
    <x v="108"/>
    <n v="0"/>
    <n v="8"/>
    <n v="5"/>
    <n v="2171"/>
    <n v="17"/>
    <n v="2179"/>
    <x v="100"/>
    <n v="4.6425255338904364E-4"/>
    <s v="Backlog"/>
    <n v="0.98852684717760442"/>
    <n v="6.9196879302432306"/>
    <n v="29.655805415328132"/>
    <b v="1"/>
  </r>
  <r>
    <x v="109"/>
    <n v="2"/>
    <n v="9"/>
    <n v="1"/>
    <n v="2181"/>
    <n v="26"/>
    <n v="2190"/>
    <x v="101"/>
    <n v="1.8097447795823667E-2"/>
    <s v="Backlog"/>
    <n v="0.98401826484018262"/>
    <n v="6.8881278538812785"/>
    <n v="29.520547945205479"/>
    <b v="1"/>
  </r>
  <r>
    <x v="110"/>
    <n v="1"/>
    <n v="13"/>
    <n v="4"/>
    <n v="2204"/>
    <n v="10"/>
    <n v="2217"/>
    <x v="102"/>
    <n v="8.6599817684594356E-3"/>
    <s v="Backlog"/>
    <n v="0.98962562020748757"/>
    <n v="6.9273793414524132"/>
    <n v="29.688768606224627"/>
    <b v="1"/>
  </r>
  <r>
    <x v="111"/>
    <n v="2"/>
    <n v="12"/>
    <n v="3"/>
    <n v="2252"/>
    <n v="39"/>
    <n v="2264"/>
    <x v="103"/>
    <n v="1.6267510167193855E-2"/>
    <s v="Backlog"/>
    <n v="0.9774734982332155"/>
    <n v="6.8423144876325086"/>
    <n v="29.324204946996463"/>
    <b v="1"/>
  </r>
  <r>
    <x v="112"/>
    <n v="2"/>
    <n v="18"/>
    <n v="0"/>
    <n v="2281"/>
    <n v="32"/>
    <n v="2299"/>
    <x v="38"/>
    <n v="1.6451756336149401E-2"/>
    <s v="Backlog"/>
    <n v="0.97825141365811219"/>
    <n v="6.8477598956067851"/>
    <n v="29.347542409743365"/>
    <b v="1"/>
  </r>
  <r>
    <x v="113"/>
    <n v="5"/>
    <n v="16"/>
    <n v="8"/>
    <n v="2306"/>
    <n v="20"/>
    <n v="2322"/>
    <x v="104"/>
    <n v="4.8118985126859139E-3"/>
    <s v="Backlog"/>
    <n v="0.98449612403100772"/>
    <n v="6.8914728682170541"/>
    <n v="29.534883720930232"/>
    <b v="1"/>
  </r>
  <r>
    <x v="114"/>
    <n v="3"/>
    <n v="18"/>
    <n v="8"/>
    <n v="2317"/>
    <n v="20"/>
    <n v="2335"/>
    <x v="105"/>
    <n v="1.1754462342185459E-2"/>
    <s v="Backlog"/>
    <n v="0.98372591006423982"/>
    <n v="6.8860813704496788"/>
    <n v="29.511777301927193"/>
    <b v="1"/>
  </r>
  <r>
    <x v="115"/>
    <n v="4"/>
    <n v="17"/>
    <n v="2"/>
    <n v="2332"/>
    <n v="8"/>
    <n v="2349"/>
    <x v="106"/>
    <n v="4.7332185886402754E-3"/>
    <s v="Backlog"/>
    <n v="0.98935717326521921"/>
    <n v="6.9255002128565346"/>
    <n v="29.680715197956577"/>
    <b v="1"/>
  </r>
  <r>
    <x v="116"/>
    <n v="8"/>
    <n v="20"/>
    <n v="9"/>
    <n v="2373"/>
    <n v="38"/>
    <n v="2393"/>
    <x v="23"/>
    <n v="1.4561027837259101E-2"/>
    <s v="Backlog"/>
    <n v="0.97576264103635602"/>
    <n v="6.8303384872544921"/>
    <n v="29.27287923109068"/>
    <b v="1"/>
  </r>
  <r>
    <x v="117"/>
    <n v="7"/>
    <n v="14"/>
    <n v="6"/>
    <n v="2391"/>
    <n v="22"/>
    <n v="2405"/>
    <x v="107"/>
    <n v="9.2866188265090764E-3"/>
    <s v="Backlog"/>
    <n v="0.98503118503118503"/>
    <n v="6.895218295218295"/>
    <n v="29.550935550935552"/>
    <b v="1"/>
  </r>
  <r>
    <x v="118"/>
    <n v="9"/>
    <n v="22"/>
    <n v="8"/>
    <n v="2407"/>
    <n v="16"/>
    <n v="2429"/>
    <x v="108"/>
    <n v="8.3647009619406104E-4"/>
    <s v="Backlog"/>
    <n v="0.9843557019349527"/>
    <n v="6.8904899135446689"/>
    <n v="29.530671058048583"/>
    <b v="1"/>
  </r>
  <r>
    <x v="119"/>
    <n v="5"/>
    <n v="17"/>
    <n v="7"/>
    <n v="2413"/>
    <n v="20"/>
    <n v="2430"/>
    <x v="109"/>
    <n v="7.9398244880902625E-3"/>
    <s v="Backlog"/>
    <n v="0.98477366255144028"/>
    <n v="6.8934156378600822"/>
    <n v="29.543209876543209"/>
    <b v="1"/>
  </r>
  <r>
    <x v="120"/>
    <n v="3"/>
    <n v="9"/>
    <n v="7"/>
    <n v="2447"/>
    <n v="35"/>
    <n v="2456"/>
    <x v="12"/>
    <n v="1.4096185737976783E-2"/>
    <s v="Backlog"/>
    <n v="0.98208469055374592"/>
    <n v="6.8745928338762212"/>
    <n v="29.462540716612377"/>
    <b v="1"/>
  </r>
  <r>
    <x v="121"/>
    <n v="6"/>
    <n v="12"/>
    <n v="2"/>
    <n v="2470"/>
    <n v="24"/>
    <n v="2482"/>
    <x v="110"/>
    <n v="1.1038430089942763E-2"/>
    <s v="Backlog"/>
    <n v="0.98549556809024985"/>
    <n v="6.8984689766317491"/>
    <n v="29.564867042707494"/>
    <b v="1"/>
  </r>
  <r>
    <x v="122"/>
    <n v="5"/>
    <n v="20"/>
    <n v="5"/>
    <n v="2489"/>
    <n v="16"/>
    <n v="2509"/>
    <x v="111"/>
    <n v="2.0218358269308533E-3"/>
    <s v="Backlog"/>
    <n v="0.98565165404543642"/>
    <n v="6.8995615783180551"/>
    <n v="29.569549621363091"/>
    <b v="1"/>
  </r>
  <r>
    <x v="123"/>
    <n v="3"/>
    <n v="15"/>
    <n v="5"/>
    <n v="2495"/>
    <n v="17"/>
    <n v="2510"/>
    <x v="112"/>
    <n v="9.2816787732041967E-3"/>
    <s v="Backlog"/>
    <n v="0.98725099601593624"/>
    <n v="6.910756972111554"/>
    <n v="29.617529880478088"/>
    <b v="1"/>
  </r>
  <r>
    <x v="124"/>
    <n v="7"/>
    <n v="13"/>
    <n v="5"/>
    <n v="2508"/>
    <n v="7"/>
    <n v="2521"/>
    <x v="113"/>
    <n v="-7.1971211515393842E-3"/>
    <s v="No Backlog"/>
    <n v="0.99206664022213409"/>
    <n v="6.9444664815549384"/>
    <n v="29.761999206664022"/>
    <b v="1"/>
  </r>
  <r>
    <x v="125"/>
    <n v="8"/>
    <n v="19"/>
    <n v="7"/>
    <n v="2501"/>
    <n v="18"/>
    <n v="2520"/>
    <x v="114"/>
    <n v="1.0471204188481676E-2"/>
    <s v="Backlog"/>
    <n v="0.98531746031746037"/>
    <n v="6.8972222222222221"/>
    <n v="29.55952380952381"/>
    <b v="1"/>
  </r>
  <r>
    <x v="126"/>
    <n v="7"/>
    <n v="24"/>
    <n v="10"/>
    <n v="2523"/>
    <n v="14"/>
    <n v="2547"/>
    <x v="115"/>
    <n v="-3.9856516540454365E-3"/>
    <s v="No Backlog"/>
    <n v="0.98508048684727134"/>
    <n v="6.8955634079308989"/>
    <n v="29.552414605418139"/>
    <b v="1"/>
  </r>
  <r>
    <x v="127"/>
    <n v="17"/>
    <n v="28"/>
    <n v="7"/>
    <n v="2511"/>
    <n v="12"/>
    <n v="2539"/>
    <x v="116"/>
    <n v="3.2012805122048822E-3"/>
    <s v="Backlog"/>
    <n v="0.98424576604962588"/>
    <n v="6.8897203623473811"/>
    <n v="29.527372981488778"/>
    <b v="1"/>
  </r>
  <r>
    <x v="128"/>
    <n v="8"/>
    <n v="21"/>
    <n v="14"/>
    <n v="2516"/>
    <n v="9"/>
    <n v="2537"/>
    <x v="117"/>
    <n v="-5.185480654168329E-3"/>
    <s v="No Backlog"/>
    <n v="0.9881750098541584"/>
    <n v="6.9172250689791088"/>
    <n v="29.645250295624752"/>
    <b v="1"/>
  </r>
  <r>
    <x v="129"/>
    <n v="10"/>
    <n v="16"/>
    <n v="15"/>
    <n v="2507"/>
    <n v="13"/>
    <n v="2523"/>
    <x v="118"/>
    <n v="-4.8115477145148355E-3"/>
    <s v="No Backlog"/>
    <n v="0.9885057471264368"/>
    <n v="6.9195402298850572"/>
    <n v="29.655172413793103"/>
    <b v="1"/>
  </r>
  <r>
    <x v="130"/>
    <n v="8"/>
    <n v="26"/>
    <n v="5"/>
    <n v="2503"/>
    <n v="21"/>
    <n v="2529"/>
    <x v="119"/>
    <n v="7.2522159548751011E-3"/>
    <s v="Backlog"/>
    <n v="0.98141557928034795"/>
    <n v="6.8699090549624353"/>
    <n v="29.442467378410438"/>
    <b v="1"/>
  </r>
  <r>
    <x v="131"/>
    <n v="4"/>
    <n v="16"/>
    <n v="9"/>
    <n v="2516"/>
    <n v="16"/>
    <n v="2532"/>
    <x v="120"/>
    <n v="1.6000000000000001E-3"/>
    <s v="Backlog"/>
    <n v="0.9873617693522907"/>
    <n v="6.9115323854660353"/>
    <n v="29.620853080568722"/>
    <b v="1"/>
  </r>
  <r>
    <x v="132"/>
    <n v="5"/>
    <n v="23"/>
    <n v="11"/>
    <n v="2519"/>
    <n v="15"/>
    <n v="2542"/>
    <x v="121"/>
    <n v="-7.9872204472843447E-4"/>
    <s v="No Backlog"/>
    <n v="0.98505114083398904"/>
    <n v="6.895357985837923"/>
    <n v="29.551534225019672"/>
    <b v="1"/>
  </r>
  <r>
    <x v="133"/>
    <n v="10"/>
    <n v="19"/>
    <n v="5"/>
    <n v="2518"/>
    <n v="16"/>
    <n v="2537"/>
    <x v="122"/>
    <n v="5.5955235811350921E-3"/>
    <s v="Backlog"/>
    <n v="0.98620417816318484"/>
    <n v="6.9034292471422942"/>
    <n v="29.586125344895546"/>
    <b v="1"/>
  </r>
  <r>
    <x v="134"/>
    <n v="8"/>
    <n v="24"/>
    <n v="16"/>
    <n v="2528"/>
    <n v="12"/>
    <n v="2552"/>
    <x v="123"/>
    <n v="-8.346581875993641E-3"/>
    <s v="No Backlog"/>
    <n v="0.98589341692789967"/>
    <n v="6.9012539184952981"/>
    <n v="29.576802507836991"/>
    <b v="1"/>
  </r>
  <r>
    <x v="135"/>
    <n v="13"/>
    <n v="38"/>
    <n v="15"/>
    <n v="2506"/>
    <n v="11"/>
    <n v="2544"/>
    <x v="124"/>
    <n v="-4.0080160320641279E-3"/>
    <s v="No Backlog"/>
    <n v="0.98073899371069184"/>
    <n v="6.8651729559748427"/>
    <n v="29.422169811320757"/>
    <b v="1"/>
  </r>
  <r>
    <x v="136"/>
    <n v="12"/>
    <n v="39"/>
    <n v="12"/>
    <n v="2499"/>
    <n v="14"/>
    <n v="2538"/>
    <x v="125"/>
    <n v="3.2193158953722333E-3"/>
    <s v="Backlog"/>
    <n v="0.97911741528762808"/>
    <n v="6.8538219070133968"/>
    <n v="29.373522458628841"/>
    <b v="1"/>
  </r>
  <r>
    <x v="137"/>
    <n v="6"/>
    <n v="24"/>
    <n v="7"/>
    <n v="2504"/>
    <n v="11"/>
    <n v="2528"/>
    <x v="126"/>
    <n v="-1.4039310068190935E-2"/>
    <s v="No Backlog"/>
    <n v="0.98615506329113922"/>
    <n v="6.9030854430379742"/>
    <n v="29.584651898734176"/>
    <b v="1"/>
  </r>
  <r>
    <x v="138"/>
    <n v="18"/>
    <n v="36"/>
    <n v="17"/>
    <n v="2473"/>
    <n v="15"/>
    <n v="2509"/>
    <x v="127"/>
    <n v="-3.6615134255492269E-3"/>
    <s v="No Backlog"/>
    <n v="0.97967317656436825"/>
    <n v="6.8577122359505776"/>
    <n v="29.390195296931047"/>
    <b v="1"/>
  </r>
  <r>
    <x v="139"/>
    <n v="14"/>
    <n v="62"/>
    <n v="13"/>
    <n v="2467"/>
    <n v="18"/>
    <n v="2529"/>
    <x v="128"/>
    <n v="8.1665986116782364E-4"/>
    <s v="Backlog"/>
    <n v="0.96836694345591146"/>
    <n v="6.7785686041913804"/>
    <n v="29.051008303677342"/>
    <b v="1"/>
  </r>
  <r>
    <x v="140"/>
    <n v="7"/>
    <n v="27"/>
    <n v="17"/>
    <n v="2457"/>
    <n v="6"/>
    <n v="2484"/>
    <x v="129"/>
    <n v="-9.3839249286005715E-3"/>
    <s v="No Backlog"/>
    <n v="0.98671497584541068"/>
    <n v="6.9070048309178746"/>
    <n v="29.60144927536232"/>
    <b v="1"/>
  </r>
  <r>
    <x v="141"/>
    <n v="13"/>
    <n v="28"/>
    <n v="14"/>
    <n v="2437"/>
    <n v="9"/>
    <n v="2465"/>
    <x v="130"/>
    <n v="-1.3179571663920923E-2"/>
    <s v="No Backlog"/>
    <n v="0.98498985801217043"/>
    <n v="6.8949290060851931"/>
    <n v="29.549695740365113"/>
    <b v="1"/>
  </r>
  <r>
    <x v="142"/>
    <n v="15"/>
    <n v="31"/>
    <n v="14"/>
    <n v="2410"/>
    <n v="14"/>
    <n v="2441"/>
    <x v="131"/>
    <n v="-5.4257095158597663E-3"/>
    <s v="No Backlog"/>
    <n v="0.98156493240475218"/>
    <n v="6.8709545268332652"/>
    <n v="29.446947972142567"/>
    <b v="1"/>
  </r>
  <r>
    <x v="143"/>
    <n v="7"/>
    <n v="30"/>
    <n v="14"/>
    <n v="2394"/>
    <n v="11"/>
    <n v="2424"/>
    <x v="132"/>
    <n v="0"/>
    <s v="No Backlog"/>
    <n v="0.98308580858085803"/>
    <n v="6.881600660066006"/>
    <n v="29.492574257425741"/>
    <b v="1"/>
  </r>
  <r>
    <x v="144"/>
    <n v="18"/>
    <n v="29"/>
    <n v="12"/>
    <n v="2394"/>
    <n v="11"/>
    <n v="2423"/>
    <x v="132"/>
    <n v="8.3927822073017204E-4"/>
    <s v="Backlog"/>
    <n v="0.98349153941394962"/>
    <n v="6.8844407758976471"/>
    <n v="29.50474618241849"/>
    <b v="1"/>
  </r>
  <r>
    <x v="145"/>
    <n v="7"/>
    <n v="33"/>
    <n v="14"/>
    <n v="2392"/>
    <n v="7"/>
    <n v="2425"/>
    <x v="133"/>
    <n v="-1.2578616352201257E-3"/>
    <s v="No Backlog"/>
    <n v="0.98350515463917521"/>
    <n v="6.8845360824742263"/>
    <n v="29.505154639175256"/>
    <b v="1"/>
  </r>
  <r>
    <x v="146"/>
    <n v="15"/>
    <n v="20"/>
    <n v="12"/>
    <n v="2385"/>
    <n v="3"/>
    <n v="2405"/>
    <x v="16"/>
    <n v="-1.343408900083963E-2"/>
    <s v="No Backlog"/>
    <n v="0.99043659043659049"/>
    <n v="6.9330561330561338"/>
    <n v="29.713097713097714"/>
    <b v="1"/>
  </r>
  <r>
    <x v="147"/>
    <n v="15"/>
    <n v="24"/>
    <n v="16"/>
    <n v="2361"/>
    <n v="11"/>
    <n v="2385"/>
    <x v="134"/>
    <n v="-1.0638297872340425E-2"/>
    <s v="No Backlog"/>
    <n v="0.9853249475890985"/>
    <n v="6.8972746331236898"/>
    <n v="29.559748427672954"/>
    <b v="1"/>
  </r>
  <r>
    <x v="148"/>
    <n v="10"/>
    <n v="30"/>
    <n v="15"/>
    <n v="2335"/>
    <n v="10"/>
    <n v="2365"/>
    <x v="135"/>
    <n v="-8.6021505376344086E-4"/>
    <s v="No Backlog"/>
    <n v="0.9830866807610994"/>
    <n v="6.881606765327696"/>
    <n v="29.492600422832982"/>
    <b v="1"/>
  </r>
  <r>
    <x v="149"/>
    <n v="10"/>
    <n v="33"/>
    <n v="16"/>
    <n v="2339"/>
    <n v="16"/>
    <n v="2372"/>
    <x v="136"/>
    <n v="-3.8743004735256135E-3"/>
    <s v="No Backlog"/>
    <n v="0.97934232715008429"/>
    <n v="6.8553962900505905"/>
    <n v="29.38026981450253"/>
    <b v="1"/>
  </r>
  <r>
    <x v="150"/>
    <n v="15"/>
    <n v="44"/>
    <n v="20"/>
    <n v="2331"/>
    <n v="17"/>
    <n v="2375"/>
    <x v="137"/>
    <n v="6.9144338807260158E-3"/>
    <s v="Backlog"/>
    <n v="0.97431578947368425"/>
    <n v="6.8202105263157895"/>
    <n v="29.229473684210529"/>
    <b v="1"/>
  </r>
  <r>
    <x v="151"/>
    <n v="9"/>
    <n v="31"/>
    <n v="10"/>
    <n v="2335"/>
    <n v="5"/>
    <n v="2366"/>
    <x v="21"/>
    <n v="-1.7167381974248927E-2"/>
    <s v="No Backlog"/>
    <n v="0.98478444632290785"/>
    <n v="6.8934911242603549"/>
    <n v="29.543533389687234"/>
    <b v="1"/>
  </r>
  <r>
    <x v="152"/>
    <n v="13"/>
    <n v="32"/>
    <n v="14"/>
    <n v="2306"/>
    <n v="16"/>
    <n v="2338"/>
    <x v="27"/>
    <n v="3.0567685589519651E-3"/>
    <s v="Backlog"/>
    <n v="0.97946963216424299"/>
    <n v="6.8562874251497012"/>
    <n v="29.38408896492729"/>
    <b v="1"/>
  </r>
  <r>
    <x v="153"/>
    <n v="7"/>
    <n v="34"/>
    <n v="9"/>
    <n v="2309"/>
    <n v="12"/>
    <n v="2343"/>
    <x v="105"/>
    <n v="-3.4828036569438396E-3"/>
    <s v="No Backlog"/>
    <n v="0.98036705078958597"/>
    <n v="6.8625693555271017"/>
    <n v="29.411011523687581"/>
    <b v="1"/>
  </r>
  <r>
    <x v="154"/>
    <n v="11"/>
    <n v="25"/>
    <n v="11"/>
    <n v="2304"/>
    <n v="15"/>
    <n v="2329"/>
    <x v="138"/>
    <n v="4.3687199650502403E-3"/>
    <s v="Backlog"/>
    <n v="0.98282524688707595"/>
    <n v="6.8797767282095315"/>
    <n v="29.484757406612278"/>
    <b v="1"/>
  </r>
  <r>
    <x v="155"/>
    <n v="6"/>
    <n v="26"/>
    <n v="12"/>
    <n v="2307"/>
    <n v="8"/>
    <n v="2333"/>
    <x v="139"/>
    <n v="-8.6994345367551109E-4"/>
    <s v="No Backlog"/>
    <n v="0.98542648949849976"/>
    <n v="6.8979854264894982"/>
    <n v="29.562794684954994"/>
    <b v="1"/>
  </r>
  <r>
    <x v="156"/>
    <n v="9"/>
    <n v="40"/>
    <n v="12"/>
    <n v="2301"/>
    <n v="4"/>
    <n v="2341"/>
    <x v="105"/>
    <n v="-6.9656073138876793E-3"/>
    <s v="No Backlog"/>
    <n v="0.9812046134130713"/>
    <n v="6.868432293891499"/>
    <n v="29.436138402392139"/>
    <b v="1"/>
  </r>
  <r>
    <x v="157"/>
    <n v="3"/>
    <n v="9"/>
    <n v="7"/>
    <n v="2294"/>
    <n v="13"/>
    <n v="2303"/>
    <x v="140"/>
    <n v="3.5072336694432268E-3"/>
    <s v="Backlog"/>
    <n v="0.99044724272687801"/>
    <n v="6.9331306990881458"/>
    <n v="29.71341728180634"/>
    <b v="1"/>
  </r>
  <r>
    <x v="158"/>
    <n v="3"/>
    <n v="23"/>
    <n v="4"/>
    <n v="2300"/>
    <n v="11"/>
    <n v="2323"/>
    <x v="138"/>
    <n v="-4.3687199650502403E-4"/>
    <s v="No Backlog"/>
    <n v="0.98536375376668106"/>
    <n v="6.8975462763667679"/>
    <n v="29.560912613000433"/>
    <b v="1"/>
  </r>
  <r>
    <x v="159"/>
    <n v="7"/>
    <n v="19"/>
    <n v="14"/>
    <n v="2305"/>
    <n v="17"/>
    <n v="2324"/>
    <x v="141"/>
    <n v="6.118881118881119E-3"/>
    <s v="Backlog"/>
    <n v="0.98450946643717729"/>
    <n v="6.8915662650602414"/>
    <n v="29.535283993115318"/>
    <b v="1"/>
  </r>
  <r>
    <x v="160"/>
    <n v="10"/>
    <n v="25"/>
    <n v="5"/>
    <n v="2308"/>
    <n v="6"/>
    <n v="2333"/>
    <x v="142"/>
    <n v="-4.3440486533449172E-4"/>
    <s v="No Backlog"/>
    <n v="0.98671238748392631"/>
    <n v="6.906986712387484"/>
    <n v="29.601371624517789"/>
    <b v="1"/>
  </r>
  <r>
    <x v="161"/>
    <n v="4"/>
    <n v="15"/>
    <n v="6"/>
    <n v="2305"/>
    <n v="4"/>
    <n v="2320"/>
    <x v="143"/>
    <n v="-1.1734028683181226E-2"/>
    <s v="No Backlog"/>
    <n v="0.99181034482758623"/>
    <n v="6.9426724137931037"/>
    <n v="29.754310344827587"/>
    <b v="1"/>
  </r>
  <r>
    <x v="162"/>
    <n v="7"/>
    <n v="26"/>
    <n v="10"/>
    <n v="2288"/>
    <n v="14"/>
    <n v="2314"/>
    <x v="144"/>
    <n v="3.9577836411609502E-3"/>
    <s v="Backlog"/>
    <n v="0.98271391529818497"/>
    <n v="6.8789974070872946"/>
    <n v="29.48141745894555"/>
    <b v="1"/>
  </r>
  <r>
    <x v="163"/>
    <n v="11"/>
    <n v="30"/>
    <n v="5"/>
    <n v="2291"/>
    <n v="8"/>
    <n v="2321"/>
    <x v="145"/>
    <n v="-1.7520805957074025E-3"/>
    <s v="No Backlog"/>
    <n v="0.98362774666092201"/>
    <n v="6.8853942266264543"/>
    <n v="29.508832399827661"/>
    <b v="1"/>
  </r>
  <r>
    <x v="164"/>
    <n v="4"/>
    <n v="19"/>
    <n v="12"/>
    <n v="2286"/>
    <n v="7"/>
    <n v="2305"/>
    <x v="146"/>
    <n v="-4.3878894251864857E-3"/>
    <s v="No Backlog"/>
    <n v="0.98872017353579178"/>
    <n v="6.9210412147505425"/>
    <n v="29.661605206073752"/>
    <b v="1"/>
  </r>
  <r>
    <x v="165"/>
    <n v="5"/>
    <n v="26"/>
    <n v="9"/>
    <n v="2282"/>
    <n v="13"/>
    <n v="2308"/>
    <x v="147"/>
    <n v="4.8479506390480386E-3"/>
    <s v="Backlog"/>
    <n v="0.98310225303292897"/>
    <n v="6.8817157712305033"/>
    <n v="29.49306759098787"/>
    <b v="1"/>
  </r>
  <r>
    <x v="166"/>
    <n v="5"/>
    <n v="26"/>
    <n v="10"/>
    <n v="2283"/>
    <n v="3"/>
    <n v="2309"/>
    <x v="26"/>
    <n v="-9.6491228070175444E-3"/>
    <s v="No Backlog"/>
    <n v="0.98744045041143347"/>
    <n v="6.9120831528800339"/>
    <n v="29.623213512343003"/>
    <b v="1"/>
  </r>
  <r>
    <x v="167"/>
    <n v="8"/>
    <n v="22"/>
    <n v="8"/>
    <n v="2267"/>
    <n v="9"/>
    <n v="2289"/>
    <x v="148"/>
    <n v="4.4286979627989372E-4"/>
    <s v="Backlog"/>
    <n v="0.98645696810834427"/>
    <n v="6.90519877675841"/>
    <n v="29.593709043250328"/>
    <b v="1"/>
  </r>
  <r>
    <x v="168"/>
    <n v="18"/>
    <n v="25"/>
    <n v="17"/>
    <n v="2265"/>
    <n v="6"/>
    <n v="2290"/>
    <x v="149"/>
    <n v="-5.754758742806552E-3"/>
    <s v="No Backlog"/>
    <n v="0.98646288209606992"/>
    <n v="6.905240174672489"/>
    <n v="29.593886462882097"/>
    <b v="1"/>
  </r>
  <r>
    <x v="169"/>
    <n v="6"/>
    <n v="19"/>
    <n v="10"/>
    <n v="2251"/>
    <n v="5"/>
    <n v="2270"/>
    <x v="150"/>
    <n v="-5.3428317008014248E-3"/>
    <s v="No Backlog"/>
    <n v="0.98942731277533036"/>
    <n v="6.9259911894273127"/>
    <n v="29.682819383259911"/>
    <b v="1"/>
  </r>
  <r>
    <x v="170"/>
    <n v="12"/>
    <n v="34"/>
    <n v="12"/>
    <n v="2243"/>
    <n v="9"/>
    <n v="2277"/>
    <x v="151"/>
    <n v="-8.9525514771709937E-4"/>
    <s v="No Backlog"/>
    <n v="0.98111550285463334"/>
    <n v="6.8678085199824332"/>
    <n v="29.433465085639"/>
    <b v="1"/>
  </r>
  <r>
    <x v="171"/>
    <n v="12"/>
    <n v="22"/>
    <n v="9"/>
    <n v="2237"/>
    <n v="5"/>
    <n v="2259"/>
    <x v="152"/>
    <n v="-4.0322580645161289E-3"/>
    <s v="No Backlog"/>
    <n v="0.98804780876494025"/>
    <n v="6.9163346613545817"/>
    <n v="29.641434262948209"/>
    <b v="1"/>
  </r>
  <r>
    <x v="172"/>
    <n v="7"/>
    <n v="14"/>
    <n v="7"/>
    <n v="2234"/>
    <n v="11"/>
    <n v="2248"/>
    <x v="153"/>
    <n v="-3.5987404408457041E-3"/>
    <s v="No Backlog"/>
    <n v="0.98887900355871883"/>
    <n v="6.9221530249110321"/>
    <n v="29.666370106761565"/>
    <b v="1"/>
  </r>
  <r>
    <x v="173"/>
    <n v="12"/>
    <n v="26"/>
    <n v="18"/>
    <n v="2223"/>
    <n v="8"/>
    <n v="2249"/>
    <x v="154"/>
    <n v="-4.5146726862302479E-3"/>
    <s v="No Backlog"/>
    <n v="0.98488216985326815"/>
    <n v="6.8941751889728771"/>
    <n v="29.546465095598045"/>
    <b v="1"/>
  </r>
  <r>
    <x v="174"/>
    <n v="5"/>
    <n v="31"/>
    <n v="16"/>
    <n v="2208"/>
    <n v="3"/>
    <n v="2239"/>
    <x v="155"/>
    <n v="-1.1791383219954649E-2"/>
    <s v="No Backlog"/>
    <n v="0.98481464939705221"/>
    <n v="6.8937025457793659"/>
    <n v="29.544439481911567"/>
    <b v="1"/>
  </r>
  <r>
    <x v="175"/>
    <n v="17"/>
    <n v="36"/>
    <n v="7"/>
    <n v="2191"/>
    <n v="12"/>
    <n v="2227"/>
    <x v="48"/>
    <n v="4.1303350160624142E-3"/>
    <s v="Backlog"/>
    <n v="0.97844634036820832"/>
    <n v="6.8491243825774584"/>
    <n v="29.35339021104625"/>
    <b v="1"/>
  </r>
  <r>
    <x v="176"/>
    <n v="9"/>
    <n v="25"/>
    <n v="8"/>
    <n v="2193"/>
    <n v="5"/>
    <n v="2218"/>
    <x v="156"/>
    <n v="-9.1407678244972577E-4"/>
    <s v="No Backlog"/>
    <n v="0.98647430117222723"/>
    <n v="6.9053201082055908"/>
    <n v="29.594229035166816"/>
    <b v="1"/>
  </r>
  <r>
    <x v="177"/>
    <n v="9"/>
    <n v="20"/>
    <n v="5"/>
    <n v="2188"/>
    <n v="2"/>
    <n v="2208"/>
    <x v="157"/>
    <n v="-1.3266239707227814E-2"/>
    <s v="No Backlog"/>
    <n v="0.99003623188405798"/>
    <n v="6.9302536231884062"/>
    <n v="29.701086956521738"/>
    <b v="1"/>
  </r>
  <r>
    <x v="178"/>
    <n v="1"/>
    <n v="19"/>
    <n v="13"/>
    <n v="2159"/>
    <n v="2"/>
    <n v="2178"/>
    <x v="158"/>
    <n v="0"/>
    <s v="No Backlog"/>
    <n v="0.99035812672176304"/>
    <n v="6.932506887052341"/>
    <n v="29.710743801652892"/>
    <b v="1"/>
  </r>
  <r>
    <x v="179"/>
    <n v="9"/>
    <n v="21"/>
    <n v="15"/>
    <n v="2159"/>
    <n v="2"/>
    <n v="2180"/>
    <x v="158"/>
    <n v="-8.3449235048678721E-3"/>
    <s v="No Backlog"/>
    <n v="0.98944954128440366"/>
    <n v="6.9261467889908257"/>
    <n v="29.683486238532108"/>
    <b v="1"/>
  </r>
  <r>
    <x v="180"/>
    <n v="12"/>
    <n v="19"/>
    <n v="7"/>
    <n v="2145"/>
    <n v="6"/>
    <n v="2164"/>
    <x v="159"/>
    <n v="-3.2725572697522207E-3"/>
    <s v="No Backlog"/>
    <n v="0.98844731977818856"/>
    <n v="6.9191312384473198"/>
    <n v="29.653419593345657"/>
    <b v="1"/>
  </r>
  <r>
    <x v="181"/>
    <n v="7"/>
    <n v="13"/>
    <n v="11"/>
    <n v="2139"/>
    <n v="7"/>
    <n v="2152"/>
    <x v="160"/>
    <n v="9.3808630393996248E-4"/>
    <s v="Backlog"/>
    <n v="0.99070631970260226"/>
    <n v="6.9349442379182156"/>
    <n v="29.721189591078069"/>
    <b v="1"/>
  </r>
  <r>
    <x v="182"/>
    <n v="15"/>
    <n v="29"/>
    <n v="9"/>
    <n v="2136"/>
    <n v="2"/>
    <n v="2165"/>
    <x v="161"/>
    <n v="-7.9662605435801316E-3"/>
    <s v="No Backlog"/>
    <n v="0.9856812933025404"/>
    <n v="6.8997690531177831"/>
    <n v="29.570438799076211"/>
    <b v="1"/>
  </r>
  <r>
    <x v="183"/>
    <n v="9"/>
    <n v="20"/>
    <n v="11"/>
    <n v="2124"/>
    <n v="7"/>
    <n v="2144"/>
    <x v="162"/>
    <n v="-3.3065658951346244E-3"/>
    <s v="No Backlog"/>
    <n v="0.98740671641791045"/>
    <n v="6.9118470149253728"/>
    <n v="29.622201492537314"/>
    <b v="1"/>
  </r>
  <r>
    <x v="184"/>
    <n v="6"/>
    <n v="22"/>
    <n v="14"/>
    <n v="2119"/>
    <n v="9"/>
    <n v="2141"/>
    <x v="163"/>
    <n v="-4.2654028436018955E-3"/>
    <s v="No Backlog"/>
    <n v="0.98552078468005599"/>
    <n v="6.8986454927603917"/>
    <n v="29.565623540401681"/>
    <b v="1"/>
  </r>
  <r>
    <x v="185"/>
    <n v="19"/>
    <n v="34"/>
    <n v="6"/>
    <n v="2109"/>
    <n v="8"/>
    <n v="2143"/>
    <x v="96"/>
    <n v="9.519276534983341E-4"/>
    <s v="Backlog"/>
    <n v="0.98040130657956137"/>
    <n v="6.8628091460569296"/>
    <n v="29.412039197386839"/>
    <b v="1"/>
  </r>
  <r>
    <x v="186"/>
    <n v="5"/>
    <n v="14"/>
    <n v="0"/>
    <n v="2111"/>
    <n v="8"/>
    <n v="2125"/>
    <x v="164"/>
    <n v="4.2796005706134095E-3"/>
    <s v="Backlog"/>
    <n v="0.98964705882352944"/>
    <n v="6.9275294117647057"/>
    <n v="29.689411764705884"/>
    <b v="1"/>
  </r>
  <r>
    <x v="187"/>
    <n v="1"/>
    <n v="9"/>
    <n v="8"/>
    <n v="2117"/>
    <n v="5"/>
    <n v="2126"/>
    <x v="165"/>
    <n v="-9.46969696969697E-4"/>
    <s v="No Backlog"/>
    <n v="0.99341486359360298"/>
    <n v="6.9539040451552205"/>
    <n v="29.802445907808089"/>
    <b v="1"/>
  </r>
  <r>
    <x v="188"/>
    <n v="4"/>
    <n v="20"/>
    <n v="9"/>
    <n v="2116"/>
    <n v="6"/>
    <n v="2136"/>
    <x v="163"/>
    <n v="-2.3696682464454978E-3"/>
    <s v="No Backlog"/>
    <n v="0.98782771535580527"/>
    <n v="6.9147940074906371"/>
    <n v="29.634831460674157"/>
    <b v="1"/>
  </r>
  <r>
    <x v="189"/>
    <n v="6"/>
    <n v="18"/>
    <n v="2"/>
    <n v="2113"/>
    <n v="8"/>
    <n v="2131"/>
    <x v="97"/>
    <n v="-4.2755344418052253E-3"/>
    <s v="No Backlog"/>
    <n v="0.98779915532613793"/>
    <n v="6.9145940872829659"/>
    <n v="29.633974659784137"/>
    <b v="1"/>
  </r>
  <r>
    <x v="190"/>
    <n v="3"/>
    <n v="11"/>
    <n v="7"/>
    <n v="2116"/>
    <n v="20"/>
    <n v="2127"/>
    <x v="166"/>
    <n v="2.8625954198473282E-3"/>
    <s v="Backlog"/>
    <n v="0.98542548189938883"/>
    <n v="6.8979783732957216"/>
    <n v="29.562764456981665"/>
    <b v="1"/>
  </r>
  <r>
    <x v="191"/>
    <n v="6"/>
    <n v="28"/>
    <n v="8"/>
    <n v="2125"/>
    <n v="23"/>
    <n v="2153"/>
    <x v="167"/>
    <n v="2.3786869647954329E-3"/>
    <s v="Backlog"/>
    <n v="0.97631212261960054"/>
    <n v="6.8341848583372036"/>
    <n v="29.289363678588018"/>
    <b v="1"/>
  </r>
  <r>
    <x v="192"/>
    <n v="12"/>
    <n v="25"/>
    <n v="15"/>
    <n v="2137"/>
    <n v="30"/>
    <n v="2162"/>
    <x v="168"/>
    <n v="3.7019458946369245E-2"/>
    <s v="Backlog"/>
    <n v="0.97456059204440337"/>
    <n v="6.8219241443108238"/>
    <n v="29.236817761332102"/>
    <b v="1"/>
  </r>
  <r>
    <x v="193"/>
    <n v="7"/>
    <n v="27"/>
    <n v="6"/>
    <n v="2218"/>
    <n v="33"/>
    <n v="2245"/>
    <x v="169"/>
    <n v="5.9496567505720821E-3"/>
    <s v="Backlog"/>
    <n v="0.97327394209354123"/>
    <n v="6.8129175946547882"/>
    <n v="29.198218262806236"/>
    <b v="1"/>
  </r>
  <r>
    <x v="194"/>
    <n v="5"/>
    <n v="20"/>
    <n v="4"/>
    <n v="2238"/>
    <n v="40"/>
    <n v="2258"/>
    <x v="170"/>
    <n v="2.0018198362147407E-2"/>
    <s v="Backlog"/>
    <n v="0.9734278122232064"/>
    <n v="6.8139946855624451"/>
    <n v="29.202834366696191"/>
    <b v="1"/>
  </r>
  <r>
    <x v="195"/>
    <n v="4"/>
    <n v="25"/>
    <n v="10"/>
    <n v="2272"/>
    <n v="30"/>
    <n v="2297"/>
    <x v="39"/>
    <n v="8.9206066012488851E-3"/>
    <s v="Backlog"/>
    <n v="0.97605572485851111"/>
    <n v="6.8323900740095773"/>
    <n v="29.281671745755332"/>
    <b v="1"/>
  </r>
  <r>
    <x v="196"/>
    <n v="8"/>
    <n v="29"/>
    <n v="18"/>
    <n v="2287"/>
    <n v="25"/>
    <n v="2316"/>
    <x v="30"/>
    <n v="1.7683465959328027E-3"/>
    <s v="Backlog"/>
    <n v="0.97668393782383423"/>
    <n v="6.8367875647668397"/>
    <n v="29.300518134715027"/>
    <b v="1"/>
  </r>
  <r>
    <x v="197"/>
    <n v="12"/>
    <n v="24"/>
    <n v="4"/>
    <n v="2297"/>
    <n v="31"/>
    <n v="2321"/>
    <x v="36"/>
    <n v="3.8834951456310676E-2"/>
    <s v="Backlog"/>
    <n v="0.976303317535545"/>
    <n v="6.8341232227488149"/>
    <n v="29.289099526066352"/>
    <b v="1"/>
  </r>
  <r>
    <x v="198"/>
    <n v="10"/>
    <n v="15"/>
    <n v="17"/>
    <n v="2391"/>
    <n v="37"/>
    <n v="2406"/>
    <x v="171"/>
    <n v="1.4443500424808835E-2"/>
    <s v="Backlog"/>
    <n v="0.97838736492103073"/>
    <n v="6.848711554447215"/>
    <n v="29.351620947630924"/>
    <b v="0"/>
  </r>
  <r>
    <x v="199"/>
    <n v="12"/>
    <n v="21"/>
    <n v="1"/>
    <n v="2411"/>
    <n v="23"/>
    <n v="2432"/>
    <x v="172"/>
    <n v="8.375209380234506E-4"/>
    <s v="Backlog"/>
    <n v="0.98190789473684215"/>
    <n v="6.8733552631578947"/>
    <n v="29.457236842105264"/>
    <b v="1"/>
  </r>
  <r>
    <x v="200"/>
    <n v="11"/>
    <n v="7"/>
    <n v="7"/>
    <n v="2413"/>
    <n v="23"/>
    <n v="2420"/>
    <x v="173"/>
    <n v="-4.1841004184100416E-4"/>
    <s v="No Backlog"/>
    <n v="0.98760330578512401"/>
    <n v="6.9132231404958677"/>
    <n v="29.628099173553721"/>
    <b v="0"/>
  </r>
  <r>
    <x v="201"/>
    <n v="20"/>
    <n v="22"/>
    <n v="14"/>
    <n v="2413"/>
    <n v="24"/>
    <n v="2435"/>
    <x v="174"/>
    <n v="-4.1858518208455421E-4"/>
    <s v="No Backlog"/>
    <n v="0.98110882956878853"/>
    <n v="6.8677618069815196"/>
    <n v="29.433264887063658"/>
    <b v="1"/>
  </r>
  <r>
    <x v="202"/>
    <n v="7"/>
    <n v="16"/>
    <n v="8"/>
    <n v="2423"/>
    <n v="35"/>
    <n v="2439"/>
    <x v="172"/>
    <n v="4.1876046901172533E-2"/>
    <s v="Backlog"/>
    <n v="0.97908979089790893"/>
    <n v="6.8536285362853624"/>
    <n v="29.372693726937268"/>
    <b v="1"/>
  </r>
  <r>
    <x v="203"/>
    <n v="13"/>
    <n v="25"/>
    <n v="15"/>
    <n v="2520"/>
    <n v="32"/>
    <n v="2545"/>
    <x v="175"/>
    <n v="8.4405144694533769E-3"/>
    <s v="Backlog"/>
    <n v="0.97760314341846755"/>
    <n v="6.8432220039292728"/>
    <n v="29.328094302554028"/>
    <b v="1"/>
  </r>
  <r>
    <x v="204"/>
    <n v="12"/>
    <n v="17"/>
    <n v="17"/>
    <n v="2528"/>
    <n v="19"/>
    <n v="2545"/>
    <x v="115"/>
    <n v="7.1741729772817854E-3"/>
    <s v="Backlog"/>
    <n v="0.98585461689587428"/>
    <n v="6.9009823182711196"/>
    <n v="29.575638506876228"/>
    <b v="0"/>
  </r>
  <r>
    <x v="205"/>
    <n v="18"/>
    <n v="19"/>
    <n v="11"/>
    <n v="2536"/>
    <n v="9"/>
    <n v="2555"/>
    <x v="176"/>
    <n v="-3.9572615749901069E-3"/>
    <s v="No Backlog"/>
    <n v="0.989041095890411"/>
    <n v="6.9232876712328775"/>
    <n v="29.671232876712331"/>
    <b v="1"/>
  </r>
  <r>
    <x v="206"/>
    <n v="8"/>
    <n v="17"/>
    <n v="14"/>
    <n v="2532"/>
    <n v="15"/>
    <n v="2549"/>
    <x v="177"/>
    <n v="4.5292014302741358E-2"/>
    <s v="Backlog"/>
    <n v="0.98744605727736368"/>
    <n v="6.9121224009415458"/>
    <n v="29.62338171832091"/>
    <b v="1"/>
  </r>
  <r>
    <x v="207"/>
    <n v="15"/>
    <n v="10"/>
    <n v="23"/>
    <n v="2703"/>
    <n v="72"/>
    <n v="2713"/>
    <x v="178"/>
    <n v="2.0904599011782592E-2"/>
    <s v="Backlog"/>
    <n v="0.9697751566531515"/>
    <n v="6.7884260965720609"/>
    <n v="29.093254699594546"/>
    <b v="0"/>
  </r>
  <r>
    <x v="208"/>
    <n v="16"/>
    <n v="20"/>
    <n v="20"/>
    <n v="2752"/>
    <n v="66"/>
    <n v="2772"/>
    <x v="179"/>
    <n v="2.3454951600893521E-2"/>
    <s v="Backlog"/>
    <n v="0.96897546897546893"/>
    <n v="6.7828282828282829"/>
    <n v="29.069264069264069"/>
    <b v="0"/>
  </r>
  <r>
    <x v="209"/>
    <n v="11"/>
    <n v="22"/>
    <n v="12"/>
    <n v="2799"/>
    <n v="50"/>
    <n v="2821"/>
    <x v="180"/>
    <n v="8.0029101491451444E-3"/>
    <s v="Backlog"/>
    <n v="0.97447713576745831"/>
    <n v="6.8213399503722085"/>
    <n v="29.23431407302375"/>
    <b v="1"/>
  </r>
  <r>
    <x v="210"/>
    <n v="16"/>
    <n v="18"/>
    <n v="15"/>
    <n v="2834"/>
    <n v="63"/>
    <n v="2852"/>
    <x v="181"/>
    <n v="2.88704438830747E-3"/>
    <s v="Backlog"/>
    <n v="0.97159887798036471"/>
    <n v="6.8011921458625526"/>
    <n v="29.147966339410942"/>
    <b v="1"/>
  </r>
  <r>
    <x v="211"/>
    <n v="15"/>
    <n v="13"/>
    <n v="23"/>
    <n v="2878"/>
    <n v="99"/>
    <n v="2891"/>
    <x v="182"/>
    <n v="9.2479309103994239E-2"/>
    <s v="Backlog"/>
    <n v="0.96125907990314774"/>
    <n v="6.7288135593220346"/>
    <n v="28.837772397094433"/>
    <b v="0"/>
  </r>
  <r>
    <x v="212"/>
    <n v="25"/>
    <n v="32"/>
    <n v="27"/>
    <n v="3181"/>
    <n v="145"/>
    <n v="3213"/>
    <x v="183"/>
    <n v="4.9407114624505928E-2"/>
    <s v="Backlog"/>
    <n v="0.9449112978524743"/>
    <n v="6.6143790849673199"/>
    <n v="28.347338935574228"/>
    <b v="1"/>
  </r>
  <r>
    <x v="213"/>
    <n v="26"/>
    <n v="36"/>
    <n v="36"/>
    <n v="3290"/>
    <n v="104"/>
    <n v="3326"/>
    <x v="184"/>
    <n v="3.1073446327683617E-2"/>
    <s v="Backlog"/>
    <n v="0.957907396271798"/>
    <n v="6.7053517739025859"/>
    <n v="28.73722188815394"/>
    <b v="0"/>
  </r>
  <r>
    <x v="214"/>
    <n v="34"/>
    <n v="54"/>
    <n v="29"/>
    <n v="3359"/>
    <n v="74"/>
    <n v="3413"/>
    <x v="185"/>
    <n v="4.8706240487062409E-3"/>
    <s v="Backlog"/>
    <n v="0.96249633753296215"/>
    <n v="6.737474362730735"/>
    <n v="28.874890125988866"/>
    <b v="1"/>
  </r>
  <r>
    <x v="215"/>
    <n v="23"/>
    <n v="45"/>
    <n v="11"/>
    <n v="3403"/>
    <n v="102"/>
    <n v="3448"/>
    <x v="186"/>
    <n v="4.2411390487730989E-3"/>
    <s v="Backlog"/>
    <n v="0.95736658932714613"/>
    <n v="6.7015661252900234"/>
    <n v="28.720997679814385"/>
    <b v="1"/>
  </r>
  <r>
    <x v="216"/>
    <n v="20"/>
    <n v="22"/>
    <n v="41"/>
    <n v="3483"/>
    <n v="168"/>
    <n v="3505"/>
    <x v="187"/>
    <n v="0.13544494720965308"/>
    <s v="Backlog"/>
    <n v="0.9457917261055635"/>
    <n v="6.620542082738945"/>
    <n v="28.373751783166906"/>
    <b v="0"/>
  </r>
  <r>
    <x v="217"/>
    <n v="47"/>
    <n v="42"/>
    <n v="47"/>
    <n v="3923"/>
    <n v="159"/>
    <n v="3965"/>
    <x v="188"/>
    <n v="4.5961742826780019E-2"/>
    <s v="Backlog"/>
    <n v="0.94930643127364434"/>
    <n v="6.6451450189155103"/>
    <n v="28.47919293820933"/>
    <b v="0"/>
  </r>
  <r>
    <x v="218"/>
    <n v="32"/>
    <n v="50"/>
    <n v="39"/>
    <n v="4036"/>
    <n v="99"/>
    <n v="4086"/>
    <x v="189"/>
    <n v="1.4732029464058927E-2"/>
    <s v="Backlog"/>
    <n v="0.96353401860009791"/>
    <n v="6.7447381302006857"/>
    <n v="28.906020558002936"/>
    <b v="1"/>
  </r>
  <r>
    <x v="219"/>
    <n v="32"/>
    <n v="49"/>
    <n v="39"/>
    <n v="4096"/>
    <n v="101"/>
    <n v="4145"/>
    <x v="190"/>
    <n v="9.7622027534418031E-3"/>
    <s v="Backlog"/>
    <n v="0.96381182147165256"/>
    <n v="6.7466827503015683"/>
    <n v="28.914354644149576"/>
    <b v="1"/>
  </r>
  <r>
    <x v="220"/>
    <n v="33"/>
    <n v="53"/>
    <n v="34"/>
    <n v="4161"/>
    <n v="127"/>
    <n v="4214"/>
    <x v="191"/>
    <n v="6.1973227565691623E-3"/>
    <s v="Backlog"/>
    <n v="0.95728523967726631"/>
    <n v="6.7009966777408643"/>
    <n v="28.718557190317988"/>
    <b v="1"/>
  </r>
  <r>
    <x v="221"/>
    <n v="29"/>
    <n v="51"/>
    <n v="11"/>
    <n v="4241"/>
    <n v="182"/>
    <n v="4292"/>
    <x v="192"/>
    <n v="9.5590046809559001E-2"/>
    <s v="Backlog"/>
    <n v="0.945712954333644"/>
    <n v="6.6199906803355084"/>
    <n v="28.371388630009321"/>
    <b v="1"/>
  </r>
  <r>
    <x v="222"/>
    <n v="91"/>
    <n v="75"/>
    <n v="97"/>
    <n v="4621"/>
    <n v="174"/>
    <n v="4696"/>
    <x v="193"/>
    <n v="4.2050820778052618E-2"/>
    <s v="Backlog"/>
    <n v="0.94697614991482115"/>
    <n v="6.628833049403748"/>
    <n v="28.409284497444634"/>
    <b v="0"/>
  </r>
  <r>
    <x v="223"/>
    <n v="62"/>
    <n v="97"/>
    <n v="52"/>
    <n v="4717"/>
    <n v="83"/>
    <n v="4814"/>
    <x v="194"/>
    <n v="8.6318515321536469E-3"/>
    <s v="Backlog"/>
    <n v="0.96260905691732446"/>
    <n v="6.738263398421271"/>
    <n v="28.878271707519733"/>
    <b v="1"/>
  </r>
  <r>
    <x v="224"/>
    <n v="59"/>
    <n v="64"/>
    <n v="117"/>
    <n v="4728"/>
    <n v="54"/>
    <n v="4792"/>
    <x v="195"/>
    <n v="-3.4873769790329481E-2"/>
    <s v="No Backlog"/>
    <n v="0.97537562604340566"/>
    <n v="6.8276293823038401"/>
    <n v="29.261268781302171"/>
    <b v="0"/>
  </r>
  <r>
    <x v="225"/>
    <n v="84"/>
    <n v="118"/>
    <n v="136"/>
    <n v="4638"/>
    <n v="127"/>
    <n v="4756"/>
    <x v="196"/>
    <n v="-1.3079139880292618E-2"/>
    <s v="No Backlog"/>
    <n v="0.94848612279226241"/>
    <n v="6.6394028595458368"/>
    <n v="28.454583683767872"/>
    <b v="0"/>
  </r>
  <r>
    <x v="226"/>
    <n v="86"/>
    <n v="152"/>
    <n v="168"/>
    <n v="4628"/>
    <n v="176"/>
    <n v="4780"/>
    <x v="197"/>
    <n v="6.0646900269541781E-2"/>
    <s v="Backlog"/>
    <n v="0.93138075313807533"/>
    <n v="6.5196652719665273"/>
    <n v="27.94142259414226"/>
    <b v="0"/>
  </r>
  <r>
    <x v="227"/>
    <n v="106"/>
    <n v="196"/>
    <n v="131"/>
    <n v="4881"/>
    <n v="159"/>
    <n v="5077"/>
    <x v="198"/>
    <n v="3.6001694197373992E-3"/>
    <s v="Backlog"/>
    <n v="0.930076817017924"/>
    <n v="6.5105377191254679"/>
    <n v="27.902304510537721"/>
    <b v="1"/>
  </r>
  <r>
    <x v="228"/>
    <n v="113"/>
    <n v="162"/>
    <n v="107"/>
    <n v="4903"/>
    <n v="164"/>
    <n v="5065"/>
    <x v="199"/>
    <n v="1.6670183583034397E-2"/>
    <s v="Backlog"/>
    <n v="0.93563672260612041"/>
    <n v="6.5494570582428429"/>
    <n v="28.069101678183614"/>
    <b v="1"/>
  </r>
  <r>
    <x v="229"/>
    <n v="92"/>
    <n v="124"/>
    <n v="93"/>
    <n v="4957"/>
    <n v="139"/>
    <n v="5081"/>
    <x v="200"/>
    <n v="4.1511000415110008E-3"/>
    <s v="Backlog"/>
    <n v="0.94823853572131467"/>
    <n v="6.637669750049203"/>
    <n v="28.447156071639441"/>
    <b v="1"/>
  </r>
  <r>
    <x v="230"/>
    <n v="68"/>
    <n v="107"/>
    <n v="102"/>
    <n v="5019"/>
    <n v="181"/>
    <n v="5126"/>
    <x v="201"/>
    <n v="3.9272426622571311E-3"/>
    <s v="Backlog"/>
    <n v="0.94381584081154901"/>
    <n v="6.606710885680843"/>
    <n v="28.31447522434647"/>
    <b v="1"/>
  </r>
  <r>
    <x v="231"/>
    <n v="74"/>
    <n v="103"/>
    <n v="80"/>
    <n v="5092"/>
    <n v="235"/>
    <n v="5195"/>
    <x v="202"/>
    <n v="0.10006176652254478"/>
    <s v="Backlog"/>
    <n v="0.93493743984600575"/>
    <n v="6.5445620789220404"/>
    <n v="28.048123195380171"/>
    <b v="1"/>
  </r>
  <r>
    <x v="232"/>
    <n v="56"/>
    <n v="82"/>
    <n v="68"/>
    <n v="5507"/>
    <n v="164"/>
    <n v="5589"/>
    <x v="203"/>
    <n v="1.4598540145985401E-2"/>
    <s v="Backlog"/>
    <n v="0.95598497047772413"/>
    <n v="6.6918947933440691"/>
    <n v="28.679549114331724"/>
    <b v="1"/>
  </r>
  <r>
    <x v="233"/>
    <n v="38"/>
    <n v="80"/>
    <n v="82"/>
    <n v="5605"/>
    <n v="184"/>
    <n v="5685"/>
    <x v="204"/>
    <n v="2.7485703744696551E-2"/>
    <s v="Backlog"/>
    <n v="0.95356200527704482"/>
    <n v="6.6749340369393142"/>
    <n v="28.606860158311346"/>
    <b v="0"/>
  </r>
  <r>
    <x v="234"/>
    <n v="65"/>
    <n v="83"/>
    <n v="65"/>
    <n v="5703"/>
    <n v="133"/>
    <n v="5786"/>
    <x v="205"/>
    <n v="1.6157989228007181E-3"/>
    <s v="Backlog"/>
    <n v="0.96266851019702726"/>
    <n v="6.7386795713791905"/>
    <n v="28.880055305910819"/>
    <b v="1"/>
  </r>
  <r>
    <x v="235"/>
    <n v="41"/>
    <n v="60"/>
    <n v="71"/>
    <n v="5769"/>
    <n v="190"/>
    <n v="5829"/>
    <x v="206"/>
    <n v="2.1150743860906974E-2"/>
    <s v="Backlog"/>
    <n v="0.95711099674043576"/>
    <n v="6.69977697718305"/>
    <n v="28.713329902213072"/>
    <b v="0"/>
  </r>
  <r>
    <x v="236"/>
    <n v="43"/>
    <n v="73"/>
    <n v="64"/>
    <n v="5882"/>
    <n v="185"/>
    <n v="5955"/>
    <x v="207"/>
    <n v="7.4600667017728634E-2"/>
    <s v="Backlog"/>
    <n v="0.95667506297229221"/>
    <n v="6.6967254408060457"/>
    <n v="28.700251889168765"/>
    <b v="1"/>
  </r>
  <r>
    <x v="237"/>
    <n v="35"/>
    <n v="70"/>
    <n v="53"/>
    <n v="6292"/>
    <n v="170"/>
    <n v="6362"/>
    <x v="208"/>
    <n v="2.270499836654688E-2"/>
    <s v="Backlog"/>
    <n v="0.96227601383212824"/>
    <n v="6.7359320968248975"/>
    <n v="28.868280414963849"/>
    <b v="1"/>
  </r>
  <r>
    <x v="238"/>
    <n v="25"/>
    <n v="66"/>
    <n v="94"/>
    <n v="6405"/>
    <n v="144"/>
    <n v="6471"/>
    <x v="209"/>
    <n v="2.5555023159239739E-3"/>
    <s v="Backlog"/>
    <n v="0.96754751970329156"/>
    <n v="6.7728326379230408"/>
    <n v="29.026425591098747"/>
    <b v="0"/>
  </r>
  <r>
    <x v="239"/>
    <n v="99"/>
    <n v="156"/>
    <n v="139"/>
    <n v="6454"/>
    <n v="177"/>
    <n v="6610"/>
    <x v="210"/>
    <n v="-4.4607296479209817E-3"/>
    <s v="No Backlog"/>
    <n v="0.94962178517397877"/>
    <n v="6.6473524962178514"/>
    <n v="28.488653555219365"/>
    <b v="1"/>
  </r>
  <r>
    <x v="240"/>
    <n v="107"/>
    <n v="170"/>
    <n v="133"/>
    <n v="6465"/>
    <n v="216"/>
    <n v="6635"/>
    <x v="211"/>
    <n v="5.1688270123219714E-2"/>
    <s v="Backlog"/>
    <n v="0.94182366239638282"/>
    <n v="6.5927656367746801"/>
    <n v="28.254709871891485"/>
    <b v="1"/>
  </r>
  <r>
    <x v="241"/>
    <n v="80"/>
    <n v="122"/>
    <n v="152"/>
    <n v="6707"/>
    <n v="135"/>
    <n v="6829"/>
    <x v="212"/>
    <n v="1.5216068167985392E-3"/>
    <s v="Backlog"/>
    <n v="0.96236637867916242"/>
    <n v="6.7365646507541372"/>
    <n v="28.870991360374873"/>
    <b v="0"/>
  </r>
  <r>
    <x v="242"/>
    <n v="57"/>
    <n v="162"/>
    <n v="193"/>
    <n v="6689"/>
    <n v="107"/>
    <n v="6851"/>
    <x v="213"/>
    <n v="-1.7471893041628685E-2"/>
    <s v="No Backlog"/>
    <n v="0.96073565902787916"/>
    <n v="6.7251496131951543"/>
    <n v="28.822069770836375"/>
    <b v="0"/>
  </r>
  <r>
    <x v="243"/>
    <n v="161"/>
    <n v="304"/>
    <n v="211"/>
    <n v="6622"/>
    <n v="155"/>
    <n v="6926"/>
    <x v="214"/>
    <n v="-2.3194680686562549E-2"/>
    <s v="No Backlog"/>
    <n v="0.93372798151891423"/>
    <n v="6.5360958706323995"/>
    <n v="28.011839445567428"/>
    <b v="1"/>
  </r>
  <r>
    <x v="244"/>
    <n v="205"/>
    <n v="294"/>
    <n v="177"/>
    <n v="6548"/>
    <n v="231"/>
    <n v="6842"/>
    <x v="215"/>
    <n v="1.5830299192654742E-3"/>
    <s v="Backlog"/>
    <n v="0.92326805027769654"/>
    <n v="6.4628763519438754"/>
    <n v="27.698041508330896"/>
    <b v="1"/>
  </r>
  <r>
    <x v="245"/>
    <n v="100"/>
    <n v="255"/>
    <n v="236"/>
    <n v="6595"/>
    <n v="268"/>
    <n v="6850"/>
    <x v="216"/>
    <n v="5.531847637110795E-3"/>
    <s v="Backlog"/>
    <n v="0.92364963503649633"/>
    <n v="6.4655474452554742"/>
    <n v="27.709489051094891"/>
    <b v="1"/>
  </r>
  <r>
    <x v="246"/>
    <n v="269"/>
    <n v="412"/>
    <n v="204"/>
    <n v="6600"/>
    <n v="238"/>
    <n v="7012"/>
    <x v="217"/>
    <n v="1.6032694121345489E-2"/>
    <s v="Backlog"/>
    <n v="0.90730176839703369"/>
    <n v="6.3511123787792361"/>
    <n v="27.219053051911011"/>
    <b v="1"/>
  </r>
  <r>
    <x v="247"/>
    <n v="168"/>
    <n v="285"/>
    <n v="210"/>
    <n v="6598"/>
    <n v="134"/>
    <n v="6883"/>
    <x v="218"/>
    <n v="-1.6862623762376239E-2"/>
    <s v="No Backlog"/>
    <n v="0.93912538137440071"/>
    <n v="6.5738776696208046"/>
    <n v="28.173761441232021"/>
    <b v="1"/>
  </r>
  <r>
    <x v="248"/>
    <n v="187"/>
    <n v="310"/>
    <n v="247"/>
    <n v="6506"/>
    <n v="151"/>
    <n v="6816"/>
    <x v="219"/>
    <n v="-7.8678206136900079E-3"/>
    <s v="No Backlog"/>
    <n v="0.93236502347417838"/>
    <n v="6.526555164319249"/>
    <n v="27.970950704225352"/>
    <b v="1"/>
  </r>
  <r>
    <x v="249"/>
    <n v="133"/>
    <n v="287"/>
    <n v="189"/>
    <n v="6454"/>
    <n v="149"/>
    <n v="6741"/>
    <x v="220"/>
    <n v="-1.9191118160190326E-2"/>
    <s v="No Backlog"/>
    <n v="0.93532116896602879"/>
    <n v="6.5472481827622016"/>
    <n v="28.059635068980864"/>
    <b v="1"/>
  </r>
  <r>
    <x v="250"/>
    <n v="180"/>
    <n v="337"/>
    <n v="219"/>
    <n v="6408"/>
    <n v="224"/>
    <n v="6745"/>
    <x v="221"/>
    <n v="1.6655886157826649E-2"/>
    <s v="Backlog"/>
    <n v="0.91682727946627129"/>
    <n v="6.4177909562638993"/>
    <n v="27.504818383988137"/>
    <b v="1"/>
  </r>
  <r>
    <x v="251"/>
    <n v="153"/>
    <n v="253"/>
    <n v="286"/>
    <n v="6481"/>
    <n v="194"/>
    <n v="6734"/>
    <x v="222"/>
    <n v="-5.8851598536662957E-3"/>
    <s v="No Backlog"/>
    <n v="0.93362043362043357"/>
    <n v="6.5353430353430353"/>
    <n v="28.008613008613008"/>
    <b v="0"/>
  </r>
  <r>
    <x v="252"/>
    <n v="209"/>
    <n v="353"/>
    <n v="232"/>
    <n v="6402"/>
    <n v="152"/>
    <n v="6755"/>
    <x v="223"/>
    <n v="-1.4239999999999999E-2"/>
    <s v="No Backlog"/>
    <n v="0.92524056254626208"/>
    <n v="6.4766839378238341"/>
    <n v="27.757216876387862"/>
    <b v="1"/>
  </r>
  <r>
    <x v="253"/>
    <n v="167"/>
    <n v="326"/>
    <n v="213"/>
    <n v="6310"/>
    <n v="149"/>
    <n v="6636"/>
    <x v="224"/>
    <n v="-1.0874857977601038E-2"/>
    <s v="No Backlog"/>
    <n v="0.92842073538276071"/>
    <n v="6.4989451476793247"/>
    <n v="27.852622061482823"/>
    <b v="1"/>
  </r>
  <r>
    <x v="254"/>
    <n v="224"/>
    <n v="315"/>
    <n v="152"/>
    <n v="6268"/>
    <n v="174"/>
    <n v="6583"/>
    <x v="225"/>
    <n v="3.2819166393173614E-3"/>
    <s v="Backlog"/>
    <n v="0.92571775786115751"/>
    <n v="6.4800243050281026"/>
    <n v="27.771532735834725"/>
    <b v="1"/>
  </r>
  <r>
    <x v="255"/>
    <n v="132"/>
    <n v="243"/>
    <n v="183"/>
    <n v="6286"/>
    <n v="172"/>
    <n v="6529"/>
    <x v="226"/>
    <n v="7.5237160614982012E-3"/>
    <s v="Backlog"/>
    <n v="0.93643743299126969"/>
    <n v="6.5550620309388883"/>
    <n v="28.093122989738092"/>
    <b v="1"/>
  </r>
  <r>
    <x v="256"/>
    <n v="218"/>
    <n v="283"/>
    <n v="208"/>
    <n v="6310"/>
    <n v="150"/>
    <n v="6593"/>
    <x v="227"/>
    <n v="-9.7402597402597403E-4"/>
    <s v="No Backlog"/>
    <n v="0.93432428333080542"/>
    <n v="6.5402699833156381"/>
    <n v="28.029728499924161"/>
    <b v="1"/>
  </r>
  <r>
    <x v="257"/>
    <n v="118"/>
    <n v="245"/>
    <n v="160"/>
    <n v="6269"/>
    <n v="115"/>
    <n v="6514"/>
    <x v="228"/>
    <n v="-1.1212219694507638E-2"/>
    <s v="No Backlog"/>
    <n v="0.94473441817623582"/>
    <n v="6.6131409272336512"/>
    <n v="28.342032545287076"/>
    <b v="1"/>
  </r>
  <r>
    <x v="258"/>
    <n v="81"/>
    <n v="230"/>
    <n v="242"/>
    <n v="6192"/>
    <n v="107"/>
    <n v="6422"/>
    <x v="229"/>
    <n v="-2.28430566967954E-2"/>
    <s v="No Backlog"/>
    <n v="0.94752413578324512"/>
    <n v="6.6326689504827154"/>
    <n v="28.425724073497353"/>
    <b v="0"/>
  </r>
  <r>
    <x v="259"/>
    <n v="236"/>
    <n v="330"/>
    <n v="222"/>
    <n v="6061"/>
    <n v="115"/>
    <n v="6391"/>
    <x v="230"/>
    <n v="-1.8331651530440633E-2"/>
    <s v="No Backlog"/>
    <n v="0.93037083398529186"/>
    <n v="6.5125958378970434"/>
    <n v="27.911125019558757"/>
    <b v="1"/>
  </r>
  <r>
    <x v="260"/>
    <n v="196"/>
    <n v="306"/>
    <n v="187"/>
    <n v="5986"/>
    <n v="149"/>
    <n v="6292"/>
    <x v="231"/>
    <n v="-2.9124550282679457E-3"/>
    <s v="No Backlog"/>
    <n v="0.9276859504132231"/>
    <n v="6.4938016528925617"/>
    <n v="27.830578512396691"/>
    <b v="1"/>
  </r>
  <r>
    <x v="261"/>
    <n v="113"/>
    <n v="280"/>
    <n v="237"/>
    <n v="5963"/>
    <n v="143"/>
    <n v="6243"/>
    <x v="232"/>
    <n v="-2.9037800687285224E-2"/>
    <s v="No Backlog"/>
    <n v="0.93224411340701585"/>
    <n v="6.5257087938491107"/>
    <n v="27.967323402210475"/>
    <b v="1"/>
  </r>
  <r>
    <x v="262"/>
    <n v="239"/>
    <n v="367"/>
    <n v="224"/>
    <n v="5862"/>
    <n v="211"/>
    <n v="6229"/>
    <x v="233"/>
    <n v="1.1148469297469474E-2"/>
    <s v="Backlog"/>
    <n v="0.9072082196179162"/>
    <n v="6.3504575373254131"/>
    <n v="27.216246588537487"/>
    <b v="1"/>
  </r>
  <r>
    <x v="263"/>
    <n v="152"/>
    <n v="272"/>
    <n v="214"/>
    <n v="5826"/>
    <n v="112"/>
    <n v="6098"/>
    <x v="234"/>
    <n v="-2.24011200560028E-2"/>
    <s v="No Backlog"/>
    <n v="0.93702853394555596"/>
    <n v="6.5591997376188917"/>
    <n v="28.110856018366679"/>
    <b v="1"/>
  </r>
  <r>
    <x v="264"/>
    <n v="170"/>
    <n v="297"/>
    <n v="196"/>
    <n v="5715"/>
    <n v="129"/>
    <n v="6012"/>
    <x v="235"/>
    <n v="-2.309344790547798E-2"/>
    <s v="No Backlog"/>
    <n v="0.92914171656686628"/>
    <n v="6.5039920159680644"/>
    <n v="27.874251497005989"/>
    <b v="1"/>
  </r>
  <r>
    <x v="265"/>
    <n v="191"/>
    <n v="283"/>
    <n v="192"/>
    <n v="5664"/>
    <n v="207"/>
    <n v="5947"/>
    <x v="236"/>
    <n v="3.3534909290819134E-2"/>
    <s v="Backlog"/>
    <n v="0.91760551538590884"/>
    <n v="6.4232386077013617"/>
    <n v="27.528165461577267"/>
    <b v="1"/>
  </r>
  <r>
    <x v="266"/>
    <n v="109"/>
    <n v="214"/>
    <n v="173"/>
    <n v="5850"/>
    <n v="210"/>
    <n v="6064"/>
    <x v="237"/>
    <n v="1.6134751773049644E-2"/>
    <s v="Backlog"/>
    <n v="0.93007915567282318"/>
    <n v="6.5105540897097622"/>
    <n v="27.902374670184695"/>
    <b v="1"/>
  </r>
  <r>
    <x v="267"/>
    <n v="155"/>
    <n v="212"/>
    <n v="181"/>
    <n v="5879"/>
    <n v="148"/>
    <n v="6091"/>
    <x v="238"/>
    <n v="-5.7581573896353169E-3"/>
    <s v="No Backlog"/>
    <n v="0.94089640453127565"/>
    <n v="6.5862748317189297"/>
    <n v="28.226892135938268"/>
    <b v="1"/>
  </r>
  <r>
    <x v="268"/>
    <n v="119"/>
    <n v="209"/>
    <n v="152"/>
    <n v="5844"/>
    <n v="146"/>
    <n v="6053"/>
    <x v="239"/>
    <n v="-2.9835029835029833E-3"/>
    <s v="No Backlog"/>
    <n v="0.94135139600198248"/>
    <n v="6.5894597720138774"/>
    <n v="28.240541880059475"/>
    <b v="1"/>
  </r>
  <r>
    <x v="269"/>
    <n v="143"/>
    <n v="203"/>
    <n v="163"/>
    <n v="5819"/>
    <n v="138"/>
    <n v="6022"/>
    <x v="240"/>
    <n v="-1.0561520859003696E-2"/>
    <s v="No Backlog"/>
    <n v="0.94337429425440056"/>
    <n v="6.6036200597808037"/>
    <n v="28.301228827632016"/>
    <b v="1"/>
  </r>
  <r>
    <x v="270"/>
    <n v="105"/>
    <n v="210"/>
    <n v="149"/>
    <n v="5816"/>
    <n v="195"/>
    <n v="6026"/>
    <x v="241"/>
    <n v="4.1273794698452236E-2"/>
    <s v="Backlog"/>
    <n v="0.93279123796880181"/>
    <n v="6.5295386657816126"/>
    <n v="27.983737139064054"/>
    <b v="1"/>
  </r>
  <r>
    <x v="271"/>
    <n v="119"/>
    <n v="219"/>
    <n v="210"/>
    <n v="6025"/>
    <n v="172"/>
    <n v="6244"/>
    <x v="242"/>
    <n v="-6.4923970613360669E-3"/>
    <s v="No Backlog"/>
    <n v="0.93737988468930178"/>
    <n v="6.5616591928251129"/>
    <n v="28.121396540679054"/>
    <b v="1"/>
  </r>
  <r>
    <x v="272"/>
    <n v="148"/>
    <n v="245"/>
    <n v="175"/>
    <n v="5966"/>
    <n v="151"/>
    <n v="6211"/>
    <x v="243"/>
    <n v="3.7833190025795358E-3"/>
    <s v="Backlog"/>
    <n v="0.93624215102237962"/>
    <n v="6.5536950571566575"/>
    <n v="28.087264530671387"/>
    <b v="1"/>
  </r>
  <r>
    <x v="273"/>
    <n v="142"/>
    <n v="235"/>
    <n v="139"/>
    <n v="5975"/>
    <n v="138"/>
    <n v="6210"/>
    <x v="231"/>
    <n v="-3.2550967962994689E-3"/>
    <s v="No Backlog"/>
    <n v="0.93993558776167474"/>
    <n v="6.5795491143317228"/>
    <n v="28.198067632850243"/>
    <b v="1"/>
  </r>
  <r>
    <x v="274"/>
    <n v="118"/>
    <n v="139"/>
    <n v="168"/>
    <n v="5963"/>
    <n v="145"/>
    <n v="6102"/>
    <x v="244"/>
    <n v="1.5297353042282571E-2"/>
    <s v="Backlog"/>
    <n v="0.95345788266142251"/>
    <n v="6.6742051786299577"/>
    <n v="28.603736479842674"/>
    <b v="0"/>
  </r>
  <r>
    <x v="275"/>
    <n v="125"/>
    <n v="232"/>
    <n v="192"/>
    <n v="6084"/>
    <n v="177"/>
    <n v="6316"/>
    <x v="245"/>
    <n v="7.1102082275266631E-3"/>
    <s v="Backlog"/>
    <n v="0.9352438252058265"/>
    <n v="6.5467067764407858"/>
    <n v="28.057314756174794"/>
    <b v="1"/>
  </r>
  <r>
    <x v="276"/>
    <n v="156"/>
    <n v="256"/>
    <n v="176"/>
    <n v="6086"/>
    <n v="137"/>
    <n v="6342"/>
    <x v="246"/>
    <n v="-5.0428643469490669E-3"/>
    <s v="No Backlog"/>
    <n v="0.93803216650898769"/>
    <n v="6.5662251655629138"/>
    <n v="28.140964995269631"/>
    <b v="1"/>
  </r>
  <r>
    <x v="277"/>
    <n v="109"/>
    <n v="245"/>
    <n v="159"/>
    <n v="6045"/>
    <n v="126"/>
    <n v="6290"/>
    <x v="247"/>
    <n v="-7.4336881229937488E-3"/>
    <s v="No Backlog"/>
    <n v="0.94101748807631158"/>
    <n v="6.5871224165341813"/>
    <n v="28.230524642289346"/>
    <b v="1"/>
  </r>
  <r>
    <x v="278"/>
    <n v="167"/>
    <n v="209"/>
    <n v="157"/>
    <n v="6007"/>
    <n v="132"/>
    <n v="6216"/>
    <x v="248"/>
    <n v="-1.1744680851063829E-2"/>
    <s v="No Backlog"/>
    <n v="0.94514157014157019"/>
    <n v="6.6159909909909915"/>
    <n v="28.354247104247104"/>
    <b v="1"/>
  </r>
  <r>
    <x v="279"/>
    <n v="84"/>
    <n v="171"/>
    <n v="157"/>
    <n v="5990"/>
    <n v="184"/>
    <n v="6161"/>
    <x v="249"/>
    <n v="2.8418877023768517E-2"/>
    <s v="Backlog"/>
    <n v="0.94237948385002435"/>
    <n v="6.5966563869501709"/>
    <n v="28.271384515500731"/>
    <b v="1"/>
  </r>
  <r>
    <x v="280"/>
    <n v="87"/>
    <n v="246"/>
    <n v="173"/>
    <n v="6148"/>
    <n v="177"/>
    <n v="6394"/>
    <x v="250"/>
    <n v="3.0145704237146205E-3"/>
    <s v="Backlog"/>
    <n v="0.93384422896465435"/>
    <n v="6.5369096027525808"/>
    <n v="28.015326868939631"/>
    <b v="1"/>
  </r>
  <r>
    <x v="281"/>
    <n v="136"/>
    <n v="276"/>
    <n v="178"/>
    <n v="6149"/>
    <n v="160"/>
    <n v="6425"/>
    <x v="251"/>
    <n v="-1.502755050926699E-3"/>
    <s v="No Backlog"/>
    <n v="0.93214007782101171"/>
    <n v="6.5249805447470823"/>
    <n v="27.96420233463035"/>
    <b v="1"/>
  </r>
  <r>
    <x v="282"/>
    <n v="166"/>
    <n v="277"/>
    <n v="229"/>
    <n v="6106"/>
    <n v="126"/>
    <n v="6383"/>
    <x v="252"/>
    <n v="-2.1404682274247491E-2"/>
    <s v="No Backlog"/>
    <n v="0.93686354378818737"/>
    <n v="6.5580448065173114"/>
    <n v="28.105906313645622"/>
    <b v="1"/>
  </r>
  <r>
    <x v="283"/>
    <n v="110"/>
    <n v="272"/>
    <n v="193"/>
    <n v="6008"/>
    <n v="156"/>
    <n v="6280"/>
    <x v="253"/>
    <n v="-1.1961722488038277E-2"/>
    <s v="No Backlog"/>
    <n v="0.9318471337579618"/>
    <n v="6.5229299363057329"/>
    <n v="27.955414012738853"/>
    <b v="1"/>
  </r>
  <r>
    <x v="284"/>
    <n v="202"/>
    <n v="313"/>
    <n v="158"/>
    <n v="5974"/>
    <n v="192"/>
    <n v="6287"/>
    <x v="254"/>
    <n v="2.7153234175025943E-2"/>
    <s v="Backlog"/>
    <n v="0.91967552091617621"/>
    <n v="6.4377286464132339"/>
    <n v="27.590265627485287"/>
    <b v="1"/>
  </r>
  <r>
    <x v="285"/>
    <n v="134"/>
    <n v="294"/>
    <n v="186"/>
    <n v="6077"/>
    <n v="138"/>
    <n v="6371"/>
    <x v="255"/>
    <n v="-8.418925745074928E-4"/>
    <s v="No Backlog"/>
    <n v="0.93219274839114741"/>
    <n v="6.5253492387380323"/>
    <n v="27.965782451734423"/>
    <b v="1"/>
  </r>
  <r>
    <x v="286"/>
    <n v="180"/>
    <n v="280"/>
    <n v="146"/>
    <n v="6043"/>
    <n v="109"/>
    <n v="6323"/>
    <x v="256"/>
    <n v="-2.0559487698011459E-2"/>
    <s v="No Backlog"/>
    <n v="0.9384785702989088"/>
    <n v="6.5693499920923619"/>
    <n v="28.154357108967265"/>
    <b v="1"/>
  </r>
  <r>
    <x v="287"/>
    <n v="108"/>
    <n v="220"/>
    <n v="213"/>
    <n v="5966"/>
    <n v="154"/>
    <n v="6186"/>
    <x v="257"/>
    <n v="-1.5313145216792843E-2"/>
    <s v="No Backlog"/>
    <n v="0.93954089880375036"/>
    <n v="6.5767862916262523"/>
    <n v="28.18622696411251"/>
    <b v="1"/>
  </r>
  <r>
    <x v="288"/>
    <n v="147"/>
    <n v="276"/>
    <n v="214"/>
    <n v="5918"/>
    <n v="195"/>
    <n v="6194"/>
    <x v="258"/>
    <n v="3.3723571553381092E-2"/>
    <s v="Backlog"/>
    <n v="0.9239586696803358"/>
    <n v="6.4677106877623505"/>
    <n v="27.718760090410075"/>
    <b v="1"/>
  </r>
  <r>
    <x v="289"/>
    <n v="104"/>
    <n v="230"/>
    <n v="206"/>
    <n v="6076"/>
    <n v="160"/>
    <n v="6306"/>
    <x v="259"/>
    <n v="-1.5212981744421906E-3"/>
    <s v="No Backlog"/>
    <n v="0.93815413891531874"/>
    <n v="6.5670789724072307"/>
    <n v="28.144624167459561"/>
    <b v="1"/>
  </r>
  <r>
    <x v="290"/>
    <n v="174"/>
    <n v="285"/>
    <n v="150"/>
    <n v="6036"/>
    <n v="129"/>
    <n v="6321"/>
    <x v="245"/>
    <n v="-1.6929067208396818E-4"/>
    <s v="No Backlog"/>
    <n v="0.93450403417180827"/>
    <n v="6.5415282392026581"/>
    <n v="28.035121025154247"/>
    <b v="1"/>
  </r>
  <r>
    <x v="291"/>
    <n v="113"/>
    <n v="208"/>
    <n v="159"/>
    <n v="6013"/>
    <n v="107"/>
    <n v="6221"/>
    <x v="260"/>
    <n v="-1.303758889265154E-2"/>
    <s v="No Backlog"/>
    <n v="0.94936505384986336"/>
    <n v="6.6455553769490434"/>
    <n v="28.480951615495901"/>
    <b v="1"/>
  </r>
  <r>
    <x v="292"/>
    <n v="88"/>
    <n v="214"/>
    <n v="160"/>
    <n v="5935"/>
    <n v="106"/>
    <n v="6149"/>
    <x v="261"/>
    <n v="-2.573340195573855E-2"/>
    <s v="No Backlog"/>
    <n v="0.94795901772645963"/>
    <n v="6.6357131240852176"/>
    <n v="28.438770531793789"/>
    <b v="1"/>
  </r>
  <r>
    <x v="293"/>
    <n v="130"/>
    <n v="227"/>
    <n v="192"/>
    <n v="5889"/>
    <n v="210"/>
    <n v="6116"/>
    <x v="262"/>
    <n v="4.1732699418911778E-2"/>
    <s v="Backlog"/>
    <n v="0.92854807063440159"/>
    <n v="6.4998364944408111"/>
    <n v="27.856442119032046"/>
    <b v="1"/>
  </r>
  <r>
    <x v="294"/>
    <n v="84"/>
    <n v="158"/>
    <n v="193"/>
    <n v="6075"/>
    <n v="159"/>
    <n v="6233"/>
    <x v="259"/>
    <n v="-1.0141987829614604E-3"/>
    <s v="No Backlog"/>
    <n v="0.94914166532969679"/>
    <n v="6.6439916573078772"/>
    <n v="28.474249959890905"/>
    <b v="0"/>
  </r>
  <r>
    <x v="295"/>
    <n v="115"/>
    <n v="216"/>
    <n v="169"/>
    <n v="6047"/>
    <n v="137"/>
    <n v="6263"/>
    <x v="263"/>
    <n v="-3.3840947546531302E-3"/>
    <s v="No Backlog"/>
    <n v="0.94363723455213155"/>
    <n v="6.6054606418649211"/>
    <n v="28.309117036563947"/>
    <b v="1"/>
  </r>
  <r>
    <x v="296"/>
    <n v="167"/>
    <n v="239"/>
    <n v="166"/>
    <n v="6013"/>
    <n v="123"/>
    <n v="6252"/>
    <x v="264"/>
    <n v="-1.2733446519524618E-2"/>
    <s v="No Backlog"/>
    <n v="0.94209852847088926"/>
    <n v="6.5946896992962252"/>
    <n v="28.262955854126677"/>
    <b v="1"/>
  </r>
  <r>
    <x v="297"/>
    <n v="99"/>
    <n v="190"/>
    <n v="176"/>
    <n v="5968"/>
    <n v="153"/>
    <n v="6158"/>
    <x v="243"/>
    <n v="1.8916595012897677E-2"/>
    <s v="Backlog"/>
    <n v="0.94430009743423193"/>
    <n v="6.610100682039624"/>
    <n v="28.329002923026959"/>
    <b v="1"/>
  </r>
  <r>
    <x v="298"/>
    <n v="101"/>
    <n v="162"/>
    <n v="178"/>
    <n v="6118"/>
    <n v="193"/>
    <n v="6280"/>
    <x v="265"/>
    <n v="-1.181434599156118E-3"/>
    <s v="No Backlog"/>
    <n v="0.94347133757961787"/>
    <n v="6.6042993630573248"/>
    <n v="28.304140127388536"/>
    <b v="0"/>
  </r>
  <r>
    <x v="299"/>
    <n v="107"/>
    <n v="215"/>
    <n v="230"/>
    <n v="6091"/>
    <n v="173"/>
    <n v="6306"/>
    <x v="266"/>
    <n v="-2.5346400811084827E-3"/>
    <s v="No Backlog"/>
    <n v="0.9384712971772915"/>
    <n v="6.5692990802410405"/>
    <n v="28.154138915318747"/>
    <b v="0"/>
  </r>
  <r>
    <x v="300"/>
    <n v="184"/>
    <n v="314"/>
    <n v="217"/>
    <n v="6040"/>
    <n v="137"/>
    <n v="6354"/>
    <x v="267"/>
    <n v="-1.2535998644756904E-2"/>
    <s v="No Backlog"/>
    <n v="0.92902108907774628"/>
    <n v="6.5031476235442236"/>
    <n v="27.870632672332388"/>
    <b v="1"/>
  </r>
  <r>
    <x v="301"/>
    <n v="209"/>
    <n v="285"/>
    <n v="184"/>
    <n v="5967"/>
    <n v="138"/>
    <n v="6252"/>
    <x v="261"/>
    <n v="-1.3896037056098817E-2"/>
    <s v="No Backlog"/>
    <n v="0.93234165067178498"/>
    <n v="6.5263915547024949"/>
    <n v="27.970249520153551"/>
    <b v="1"/>
  </r>
  <r>
    <x v="302"/>
    <n v="81"/>
    <n v="213"/>
    <n v="153"/>
    <n v="5925"/>
    <n v="177"/>
    <n v="6138"/>
    <x v="268"/>
    <n v="2.7313848295059152E-2"/>
    <s v="Backlog"/>
    <n v="0.93646138807429125"/>
    <n v="6.5552297165200386"/>
    <n v="28.093841642228739"/>
    <b v="1"/>
  </r>
  <r>
    <x v="303"/>
    <n v="91"/>
    <n v="199"/>
    <n v="172"/>
    <n v="6090"/>
    <n v="185"/>
    <n v="6289"/>
    <x v="269"/>
    <n v="-4.0643522438611347E-3"/>
    <s v="No Backlog"/>
    <n v="0.9389410081093974"/>
    <n v="6.5725870567657818"/>
    <n v="28.168230243281922"/>
    <b v="1"/>
  </r>
  <r>
    <x v="304"/>
    <n v="154"/>
    <n v="225"/>
    <n v="220"/>
    <n v="6050"/>
    <n v="169"/>
    <n v="6275"/>
    <x v="270"/>
    <n v="-1.7003910899506886E-4"/>
    <s v="No Backlog"/>
    <n v="0.93721115537848609"/>
    <n v="6.5604780876494022"/>
    <n v="28.116334661354582"/>
    <b v="1"/>
  </r>
  <r>
    <x v="305"/>
    <n v="186"/>
    <n v="259"/>
    <n v="172"/>
    <n v="6023"/>
    <n v="143"/>
    <n v="6282"/>
    <x v="271"/>
    <n v="-7.312925170068027E-3"/>
    <s v="No Backlog"/>
    <n v="0.93600764087870103"/>
    <n v="6.552053486150907"/>
    <n v="28.08022922636103"/>
    <b v="1"/>
  </r>
  <r>
    <x v="306"/>
    <n v="92"/>
    <n v="203"/>
    <n v="173"/>
    <n v="6002"/>
    <n v="165"/>
    <n v="6205"/>
    <x v="231"/>
    <n v="-7.7094397807092683E-3"/>
    <s v="No Backlog"/>
    <n v="0.94069298952457692"/>
    <n v="6.5848509266720381"/>
    <n v="28.220789685737309"/>
    <b v="1"/>
  </r>
  <r>
    <x v="307"/>
    <n v="124"/>
    <n v="234"/>
    <n v="161"/>
    <n v="5989"/>
    <n v="197"/>
    <n v="6223"/>
    <x v="272"/>
    <n v="5.006906077348066E-2"/>
    <s v="Backlog"/>
    <n v="0.9307408002571107"/>
    <n v="6.5151856017997751"/>
    <n v="27.922224007713321"/>
    <b v="1"/>
  </r>
  <r>
    <x v="308"/>
    <n v="93"/>
    <n v="196"/>
    <n v="169"/>
    <n v="6270"/>
    <n v="188"/>
    <n v="6466"/>
    <x v="273"/>
    <n v="2.3018743834265043E-3"/>
    <s v="Backlog"/>
    <n v="0.94061243427157437"/>
    <n v="6.5842870399010209"/>
    <n v="28.21837302814723"/>
    <b v="1"/>
  </r>
  <r>
    <x v="309"/>
    <n v="116"/>
    <n v="213"/>
    <n v="217"/>
    <n v="6245"/>
    <n v="149"/>
    <n v="6458"/>
    <x v="274"/>
    <n v="-4.7572178477690288E-3"/>
    <s v="No Backlog"/>
    <n v="0.9439454939609786"/>
    <n v="6.6076184577268506"/>
    <n v="28.318364818829359"/>
    <b v="0"/>
  </r>
  <r>
    <x v="310"/>
    <n v="159"/>
    <n v="304"/>
    <n v="139"/>
    <n v="6227"/>
    <n v="160"/>
    <n v="6531"/>
    <x v="275"/>
    <n v="-3.2965221691115873E-4"/>
    <s v="No Backlog"/>
    <n v="0.92895421834328584"/>
    <n v="6.502679528403001"/>
    <n v="27.868626550298575"/>
    <b v="1"/>
  </r>
  <r>
    <x v="311"/>
    <n v="113"/>
    <n v="209"/>
    <n v="160"/>
    <n v="6229"/>
    <n v="164"/>
    <n v="6438"/>
    <x v="276"/>
    <n v="-6.7600989282769995E-3"/>
    <s v="No Backlog"/>
    <n v="0.94206275240757997"/>
    <n v="6.59443926685306"/>
    <n v="28.2618825722274"/>
    <b v="1"/>
  </r>
  <r>
    <x v="312"/>
    <n v="98"/>
    <n v="220"/>
    <n v="167"/>
    <n v="6234"/>
    <n v="210"/>
    <n v="6454"/>
    <x v="277"/>
    <n v="3.8180610889774237E-3"/>
    <s v="Backlog"/>
    <n v="0.93337465137898978"/>
    <n v="6.5336225596529287"/>
    <n v="28.001239541369692"/>
    <b v="1"/>
  </r>
  <r>
    <x v="313"/>
    <n v="81"/>
    <n v="200"/>
    <n v="212"/>
    <n v="6326"/>
    <n v="279"/>
    <n v="6526"/>
    <x v="278"/>
    <n v="1.5379527038200761E-2"/>
    <s v="Backlog"/>
    <n v="0.9266012871590561"/>
    <n v="6.4862090101133925"/>
    <n v="27.798038614771684"/>
    <b v="0"/>
  </r>
  <r>
    <x v="314"/>
    <n v="184"/>
    <n v="280"/>
    <n v="210"/>
    <n v="6360"/>
    <n v="220"/>
    <n v="6640"/>
    <x v="279"/>
    <n v="1.758957654723127E-2"/>
    <s v="Backlog"/>
    <n v="0.92469879518072284"/>
    <n v="6.4728915662650603"/>
    <n v="27.740963855421686"/>
    <b v="1"/>
  </r>
  <r>
    <x v="315"/>
    <n v="93"/>
    <n v="248"/>
    <n v="175"/>
    <n v="6410"/>
    <n v="162"/>
    <n v="6658"/>
    <x v="280"/>
    <n v="0"/>
    <s v="No Backlog"/>
    <n v="0.93841994592970868"/>
    <n v="6.568939621507961"/>
    <n v="28.152598377891259"/>
    <b v="1"/>
  </r>
  <r>
    <x v="316"/>
    <n v="131"/>
    <n v="251"/>
    <n v="180"/>
    <n v="6396"/>
    <n v="148"/>
    <n v="6647"/>
    <x v="280"/>
    <n v="-5.7618437900128043E-3"/>
    <s v="No Backlog"/>
    <n v="0.93997292011433731"/>
    <n v="6.5798104408003608"/>
    <n v="28.199187603430119"/>
    <b v="1"/>
  </r>
  <r>
    <x v="317"/>
    <n v="144"/>
    <n v="275"/>
    <n v="190"/>
    <n v="6353"/>
    <n v="141"/>
    <n v="6628"/>
    <x v="281"/>
    <n v="-1.9478428847392145E-2"/>
    <s v="No Backlog"/>
    <n v="0.93723596861798431"/>
    <n v="6.5606517803258901"/>
    <n v="28.117079058539531"/>
    <b v="1"/>
  </r>
  <r>
    <x v="318"/>
    <n v="123"/>
    <n v="255"/>
    <n v="164"/>
    <n v="6312"/>
    <n v="221"/>
    <n v="6567"/>
    <x v="282"/>
    <n v="3.8745690362830404E-2"/>
    <s v="Backlog"/>
    <n v="0.92751636972742502"/>
    <n v="6.4926145880919748"/>
    <n v="27.825491091822752"/>
    <b v="1"/>
  </r>
  <r>
    <x v="319"/>
    <n v="126"/>
    <n v="230"/>
    <n v="175"/>
    <n v="6448"/>
    <n v="121"/>
    <n v="6678"/>
    <x v="216"/>
    <n v="-1.0431484115694643E-2"/>
    <s v="No Backlog"/>
    <n v="0.94743935309973049"/>
    <n v="6.6320754716981138"/>
    <n v="28.423180592991915"/>
    <b v="1"/>
  </r>
  <r>
    <x v="320"/>
    <n v="121"/>
    <n v="231"/>
    <n v="219"/>
    <n v="6375"/>
    <n v="114"/>
    <n v="6606"/>
    <x v="209"/>
    <n v="-1.6131608369270085E-2"/>
    <s v="No Backlog"/>
    <n v="0.94777475022706625"/>
    <n v="6.6344232515894639"/>
    <n v="28.433242506811986"/>
    <b v="1"/>
  </r>
  <r>
    <x v="321"/>
    <n v="131"/>
    <n v="263"/>
    <n v="177"/>
    <n v="6272"/>
    <n v="112"/>
    <n v="6535"/>
    <x v="227"/>
    <n v="-1.5746753246753245E-2"/>
    <s v="No Backlog"/>
    <n v="0.94261667941851568"/>
    <n v="6.5983167559296101"/>
    <n v="28.278500382555471"/>
    <b v="1"/>
  </r>
  <r>
    <x v="322"/>
    <n v="133"/>
    <n v="270"/>
    <n v="198"/>
    <n v="6192"/>
    <n v="129"/>
    <n v="6462"/>
    <x v="283"/>
    <n v="2.9688273132112814E-3"/>
    <s v="Backlog"/>
    <n v="0.93825441039925717"/>
    <n v="6.5677808727947999"/>
    <n v="28.147632311977716"/>
    <b v="1"/>
  </r>
  <r>
    <x v="323"/>
    <n v="145"/>
    <n v="295"/>
    <n v="188"/>
    <n v="6250"/>
    <n v="169"/>
    <n v="6545"/>
    <x v="284"/>
    <n v="1.9733596447952641E-3"/>
    <s v="Backlog"/>
    <n v="0.92910618792971733"/>
    <n v="6.5037433155080215"/>
    <n v="27.87318563789152"/>
    <b v="1"/>
  </r>
  <r>
    <x v="324"/>
    <n v="170"/>
    <n v="285"/>
    <n v="178"/>
    <n v="6227"/>
    <n v="134"/>
    <n v="6512"/>
    <x v="285"/>
    <n v="-6.2366650254390282E-3"/>
    <s v="No Backlog"/>
    <n v="0.93565724815724816"/>
    <n v="6.5496007371007368"/>
    <n v="28.069717444717444"/>
    <b v="1"/>
  </r>
  <r>
    <x v="325"/>
    <n v="149"/>
    <n v="285"/>
    <n v="222"/>
    <n v="6152"/>
    <n v="97"/>
    <n v="6437"/>
    <x v="286"/>
    <n v="-2.8406275805119736E-2"/>
    <s v="No Backlog"/>
    <n v="0.94065558489979806"/>
    <n v="6.5845890942985861"/>
    <n v="28.219667546993943"/>
    <b v="1"/>
  </r>
  <r>
    <x v="326"/>
    <n v="182"/>
    <n v="307"/>
    <n v="205"/>
    <n v="6054"/>
    <n v="171"/>
    <n v="6361"/>
    <x v="287"/>
    <n v="-1.8697943226245112E-3"/>
    <s v="No Backlog"/>
    <n v="0.92485458261279674"/>
    <n v="6.4739820782895769"/>
    <n v="27.745637478383902"/>
    <b v="1"/>
  </r>
  <r>
    <x v="327"/>
    <n v="134"/>
    <n v="245"/>
    <n v="167"/>
    <n v="6028"/>
    <n v="156"/>
    <n v="6273"/>
    <x v="288"/>
    <n v="1.8732970027247955E-3"/>
    <s v="Backlog"/>
    <n v="0.93607524310537227"/>
    <n v="6.5525267017376061"/>
    <n v="28.082257293161167"/>
    <b v="1"/>
  </r>
  <r>
    <x v="328"/>
    <n v="136"/>
    <n v="274"/>
    <n v="245"/>
    <n v="5995"/>
    <n v="112"/>
    <n v="6269"/>
    <x v="287"/>
    <n v="-2.991670916199218E-2"/>
    <s v="No Backlog"/>
    <n v="0.93842718136863934"/>
    <n v="6.5689902695804756"/>
    <n v="28.152815441059179"/>
    <b v="1"/>
  </r>
  <r>
    <x v="329"/>
    <n v="176"/>
    <n v="254"/>
    <n v="162"/>
    <n v="5865"/>
    <n v="158"/>
    <n v="6119"/>
    <x v="289"/>
    <n v="-1.1214298230243561E-2"/>
    <s v="No Backlog"/>
    <n v="0.9326687367216866"/>
    <n v="6.528681157051806"/>
    <n v="27.980062101650599"/>
    <b v="1"/>
  </r>
  <r>
    <x v="330"/>
    <n v="86"/>
    <n v="244"/>
    <n v="235"/>
    <n v="5821"/>
    <n v="178"/>
    <n v="6065"/>
    <x v="290"/>
    <n v="5.6707425128477758E-3"/>
    <s v="Backlog"/>
    <n v="0.93042044517724654"/>
    <n v="6.5129431162407254"/>
    <n v="27.912613355317397"/>
    <b v="1"/>
  </r>
  <r>
    <x v="331"/>
    <n v="124"/>
    <n v="241"/>
    <n v="156"/>
    <n v="5895"/>
    <n v="220"/>
    <n v="6136"/>
    <x v="291"/>
    <n v="2.3612334801762114E-2"/>
    <s v="Backlog"/>
    <n v="0.92486962190352018"/>
    <n v="6.4740873533246415"/>
    <n v="27.746088657105606"/>
    <b v="1"/>
  </r>
  <r>
    <x v="332"/>
    <n v="109"/>
    <n v="226"/>
    <n v="191"/>
    <n v="5987"/>
    <n v="178"/>
    <n v="6213"/>
    <x v="292"/>
    <n v="8.4351867791358243E-3"/>
    <s v="Backlog"/>
    <n v="0.93497505230967326"/>
    <n v="6.5448253661677125"/>
    <n v="28.049251569290199"/>
    <b v="1"/>
  </r>
  <r>
    <x v="333"/>
    <n v="162"/>
    <n v="239"/>
    <n v="189"/>
    <n v="5981"/>
    <n v="123"/>
    <n v="6220"/>
    <x v="293"/>
    <n v="-1.7582792762034824E-2"/>
    <s v="No Backlog"/>
    <n v="0.94180064308681677"/>
    <n v="6.5926045016077177"/>
    <n v="28.254019292604504"/>
    <b v="1"/>
  </r>
  <r>
    <x v="334"/>
    <n v="109"/>
    <n v="219"/>
    <n v="155"/>
    <n v="5903"/>
    <n v="148"/>
    <n v="6122"/>
    <x v="294"/>
    <n v="-1.9113814074717638E-2"/>
    <s v="No Backlog"/>
    <n v="0.94005227049983664"/>
    <n v="6.5803658934988567"/>
    <n v="28.201568114995098"/>
    <b v="1"/>
  </r>
  <r>
    <x v="335"/>
    <n v="95"/>
    <n v="211"/>
    <n v="140"/>
    <n v="5894"/>
    <n v="249"/>
    <n v="6105"/>
    <x v="295"/>
    <n v="4.6944198405668734E-2"/>
    <s v="Backlog"/>
    <n v="0.92465192465192469"/>
    <n v="6.4725634725634729"/>
    <n v="27.739557739557739"/>
    <b v="1"/>
  </r>
  <r>
    <x v="336"/>
    <n v="119"/>
    <n v="230"/>
    <n v="213"/>
    <n v="6084"/>
    <n v="174"/>
    <n v="6314"/>
    <x v="263"/>
    <n v="-7.7834179357021997E-3"/>
    <s v="No Backlog"/>
    <n v="0.93601520430788721"/>
    <n v="6.5521064301552103"/>
    <n v="28.080456129236616"/>
    <b v="1"/>
  </r>
  <r>
    <x v="337"/>
    <n v="135"/>
    <n v="273"/>
    <n v="207"/>
    <n v="6038"/>
    <n v="174"/>
    <n v="6311"/>
    <x v="296"/>
    <n v="-1.5347885402455662E-3"/>
    <s v="No Backlog"/>
    <n v="0.92917128822690542"/>
    <n v="6.5041990175883377"/>
    <n v="27.875138646807162"/>
    <b v="1"/>
  </r>
  <r>
    <x v="338"/>
    <n v="163"/>
    <n v="283"/>
    <n v="200"/>
    <n v="5998"/>
    <n v="143"/>
    <n v="6281"/>
    <x v="297"/>
    <n v="-9.3936806148590939E-3"/>
    <s v="No Backlog"/>
    <n v="0.93217640503104604"/>
    <n v="6.5252348352173222"/>
    <n v="27.965292150931383"/>
    <b v="1"/>
  </r>
  <r>
    <x v="339"/>
    <n v="172"/>
    <n v="259"/>
    <n v="138"/>
    <n v="5950"/>
    <n v="150"/>
    <n v="6209"/>
    <x v="298"/>
    <n v="-4.655172413793103E-3"/>
    <s v="No Backlog"/>
    <n v="0.93412787888548876"/>
    <n v="6.5388951521984211"/>
    <n v="28.023836366564662"/>
    <b v="1"/>
  </r>
  <r>
    <x v="340"/>
    <n v="63"/>
    <n v="167"/>
    <n v="143"/>
    <n v="5943"/>
    <n v="170"/>
    <n v="6110"/>
    <x v="299"/>
    <n v="1.2818292049194525E-2"/>
    <s v="Backlog"/>
    <n v="0.94484451718494267"/>
    <n v="6.6139116202945987"/>
    <n v="28.345335515548278"/>
    <b v="1"/>
  </r>
  <r>
    <x v="341"/>
    <n v="227"/>
    <n v="298"/>
    <n v="212"/>
    <n v="6016"/>
    <n v="169"/>
    <n v="6314"/>
    <x v="300"/>
    <n v="-6.4990593466735073E-3"/>
    <s v="No Backlog"/>
    <n v="0.9260373772568895"/>
    <n v="6.4822616407982263"/>
    <n v="27.781121317706685"/>
    <b v="1"/>
  </r>
  <r>
    <x v="342"/>
    <n v="140"/>
    <n v="261"/>
    <n v="163"/>
    <n v="5963"/>
    <n v="154"/>
    <n v="6224"/>
    <x v="292"/>
    <n v="4.9922533998967124E-3"/>
    <s v="Backlog"/>
    <n v="0.93332262210796912"/>
    <n v="6.5332583547557839"/>
    <n v="27.999678663239074"/>
    <b v="1"/>
  </r>
  <r>
    <x v="343"/>
    <n v="125"/>
    <n v="203"/>
    <n v="208"/>
    <n v="5930"/>
    <n v="92"/>
    <n v="6133"/>
    <x v="301"/>
    <n v="-3.117505995203837E-2"/>
    <s v="No Backlog"/>
    <n v="0.95189955975868257"/>
    <n v="6.6632969183107775"/>
    <n v="28.556986792760476"/>
    <b v="0"/>
  </r>
  <r>
    <x v="344"/>
    <n v="114"/>
    <n v="210"/>
    <n v="219"/>
    <n v="5819"/>
    <n v="163"/>
    <n v="6029"/>
    <x v="302"/>
    <n v="-2.1216407355021217E-2"/>
    <s v="No Backlog"/>
    <n v="0.93813236025874935"/>
    <n v="6.5669265218112454"/>
    <n v="28.143970807762482"/>
    <b v="0"/>
  </r>
  <r>
    <x v="345"/>
    <n v="152"/>
    <n v="290"/>
    <n v="199"/>
    <n v="5743"/>
    <n v="207"/>
    <n v="6033"/>
    <x v="303"/>
    <n v="4.046242774566474E-2"/>
    <s v="Backlog"/>
    <n v="0.91761975799767947"/>
    <n v="6.4233383059837568"/>
    <n v="27.528592739930385"/>
    <b v="1"/>
  </r>
  <r>
    <x v="346"/>
    <n v="93"/>
    <n v="198"/>
    <n v="208"/>
    <n v="5954"/>
    <n v="194"/>
    <n v="6152"/>
    <x v="304"/>
    <n v="-1.736111111111111E-3"/>
    <s v="No Backlog"/>
    <n v="0.93628088426527956"/>
    <n v="6.5539661898569568"/>
    <n v="28.088426527958386"/>
    <b v="0"/>
  </r>
  <r>
    <x v="347"/>
    <n v="137"/>
    <n v="272"/>
    <n v="166"/>
    <n v="5927"/>
    <n v="177"/>
    <n v="6199"/>
    <x v="305"/>
    <n v="7.8260869565217397E-3"/>
    <s v="Backlog"/>
    <n v="0.92756896273592515"/>
    <n v="6.4929827391514756"/>
    <n v="27.827068882077754"/>
    <b v="1"/>
  </r>
  <r>
    <x v="348"/>
    <n v="120"/>
    <n v="257"/>
    <n v="126"/>
    <n v="5965"/>
    <n v="170"/>
    <n v="6222"/>
    <x v="306"/>
    <n v="-4.6591889559965492E-3"/>
    <s v="No Backlog"/>
    <n v="0.93137254901960786"/>
    <n v="6.5196078431372548"/>
    <n v="27.941176470588236"/>
    <b v="1"/>
  </r>
  <r>
    <x v="349"/>
    <n v="102"/>
    <n v="189"/>
    <n v="155"/>
    <n v="6002"/>
    <n v="234"/>
    <n v="6191"/>
    <x v="307"/>
    <n v="4.8543689320388345E-3"/>
    <s v="Backlog"/>
    <n v="0.93167501211435955"/>
    <n v="6.5217250848005168"/>
    <n v="27.950250363430786"/>
    <b v="1"/>
  </r>
  <r>
    <x v="350"/>
    <n v="90"/>
    <n v="196"/>
    <n v="205"/>
    <n v="6058"/>
    <n v="262"/>
    <n v="6254"/>
    <x v="308"/>
    <n v="4.2270531400966184E-2"/>
    <s v="Backlog"/>
    <n v="0.92676686920370965"/>
    <n v="6.4873680844259676"/>
    <n v="27.803006076111288"/>
    <b v="0"/>
  </r>
  <r>
    <x v="351"/>
    <n v="128"/>
    <n v="228"/>
    <n v="177"/>
    <n v="6228"/>
    <n v="187"/>
    <n v="6456"/>
    <x v="309"/>
    <n v="4.1383876841582521E-3"/>
    <s v="Backlog"/>
    <n v="0.9357187112763321"/>
    <n v="6.5500309789343252"/>
    <n v="28.071561338289964"/>
    <b v="1"/>
  </r>
  <r>
    <x v="352"/>
    <n v="136"/>
    <n v="246"/>
    <n v="123"/>
    <n v="6239"/>
    <n v="173"/>
    <n v="6485"/>
    <x v="310"/>
    <n v="7.5832509066930433E-3"/>
    <s v="Backlog"/>
    <n v="0.93538936006168083"/>
    <n v="6.5477255204317659"/>
    <n v="28.061680801850425"/>
    <b v="1"/>
  </r>
  <r>
    <x v="353"/>
    <n v="105"/>
    <n v="185"/>
    <n v="158"/>
    <n v="6283"/>
    <n v="171"/>
    <n v="6468"/>
    <x v="311"/>
    <n v="-6.7081151832460734E-3"/>
    <s v="No Backlog"/>
    <n v="0.94495980210265929"/>
    <n v="6.6147186147186154"/>
    <n v="28.348794063079779"/>
    <b v="1"/>
  </r>
  <r>
    <x v="354"/>
    <n v="116"/>
    <n v="188"/>
    <n v="164"/>
    <n v="6308"/>
    <n v="237"/>
    <n v="6496"/>
    <x v="312"/>
    <n v="6.127491352330753E-2"/>
    <s v="Backlog"/>
    <n v="0.93457512315270941"/>
    <n v="6.5420258620689662"/>
    <n v="28.037253694581281"/>
    <b v="1"/>
  </r>
  <r>
    <x v="355"/>
    <n v="80"/>
    <n v="176"/>
    <n v="125"/>
    <n v="6640"/>
    <n v="197"/>
    <n v="6816"/>
    <x v="313"/>
    <n v="4.5010088468104923E-3"/>
    <s v="Backlog"/>
    <n v="0.94527582159624413"/>
    <n v="6.616930751173709"/>
    <n v="28.358274647887324"/>
    <b v="1"/>
  </r>
  <r>
    <x v="356"/>
    <n v="150"/>
    <n v="157"/>
    <n v="201"/>
    <n v="6649"/>
    <n v="177"/>
    <n v="6806"/>
    <x v="314"/>
    <n v="7.5710754017305317E-3"/>
    <s v="Backlog"/>
    <n v="0.95092565383485161"/>
    <n v="6.6564795768439611"/>
    <n v="28.52776961504555"/>
    <b v="0"/>
  </r>
  <r>
    <x v="357"/>
    <n v="116"/>
    <n v="181"/>
    <n v="182"/>
    <n v="6651"/>
    <n v="130"/>
    <n v="6832"/>
    <x v="315"/>
    <n v="-4.1404692531820273E-3"/>
    <s v="No Backlog"/>
    <n v="0.9544789227166276"/>
    <n v="6.6813524590163933"/>
    <n v="28.634367681498826"/>
    <b v="0"/>
  </r>
  <r>
    <x v="358"/>
    <n v="141"/>
    <n v="173"/>
    <n v="129"/>
    <n v="6617"/>
    <n v="123"/>
    <n v="6790"/>
    <x v="316"/>
    <n v="-1.6630736064059133E-2"/>
    <s v="No Backlog"/>
    <n v="0.95640648011782037"/>
    <n v="6.6948453608247425"/>
    <n v="28.692194403534611"/>
    <b v="1"/>
  </r>
  <r>
    <x v="359"/>
    <n v="96"/>
    <n v="160"/>
    <n v="233"/>
    <n v="6599"/>
    <n v="213"/>
    <n v="6759"/>
    <x v="317"/>
    <n v="2.8030065768869402E-2"/>
    <s v="Backlog"/>
    <n v="0.94481432164521384"/>
    <n v="6.6137002515164971"/>
    <n v="28.344429649356414"/>
    <b v="0"/>
  </r>
  <r>
    <x v="360"/>
    <n v="158"/>
    <n v="226"/>
    <n v="191"/>
    <n v="6790"/>
    <n v="225"/>
    <n v="7016"/>
    <x v="318"/>
    <n v="1.1271896420411272E-2"/>
    <s v="Backlog"/>
    <n v="0.93571835803876857"/>
    <n v="6.5500285062713797"/>
    <n v="28.071550741163058"/>
    <b v="1"/>
  </r>
  <r>
    <x v="361"/>
    <n v="141"/>
    <n v="232"/>
    <n v="188"/>
    <n v="6823"/>
    <n v="184"/>
    <n v="7055"/>
    <x v="319"/>
    <n v="-6.4768790480494052E-3"/>
    <s v="No Backlog"/>
    <n v="0.9410347271438696"/>
    <n v="6.5872430900070871"/>
    <n v="28.231041814316089"/>
    <b v="1"/>
  </r>
  <r>
    <x v="362"/>
    <n v="123"/>
    <n v="233"/>
    <n v="159"/>
    <n v="6825"/>
    <n v="229"/>
    <n v="7058"/>
    <x v="320"/>
    <n v="7.5803517283201942E-4"/>
    <s v="Backlog"/>
    <n v="0.93454236327571549"/>
    <n v="6.5417965429300082"/>
    <n v="28.036270898271464"/>
    <b v="1"/>
  </r>
  <r>
    <x v="363"/>
    <n v="123"/>
    <n v="230"/>
    <n v="167"/>
    <n v="6874"/>
    <n v="273"/>
    <n v="7104"/>
    <x v="321"/>
    <n v="5.7415543099530376E-2"/>
    <s v="Backlog"/>
    <n v="0.92919481981981977"/>
    <n v="6.5043637387387383"/>
    <n v="27.875844594594593"/>
    <b v="1"/>
  </r>
  <r>
    <x v="364"/>
    <n v="174"/>
    <n v="208"/>
    <n v="256"/>
    <n v="7248"/>
    <n v="268"/>
    <n v="7456"/>
    <x v="322"/>
    <n v="1.4469914040114613E-2"/>
    <s v="Backlog"/>
    <n v="0.93615879828326176"/>
    <n v="6.5531115879828326"/>
    <n v="28.084763948497852"/>
    <b v="0"/>
  </r>
  <r>
    <x v="365"/>
    <n v="132"/>
    <n v="235"/>
    <n v="197"/>
    <n v="7268"/>
    <n v="187"/>
    <n v="7503"/>
    <x v="323"/>
    <n v="-6.2138116085298685E-3"/>
    <s v="No Backlog"/>
    <n v="0.94375583100093297"/>
    <n v="6.6062908170065304"/>
    <n v="28.312674930027988"/>
    <b v="1"/>
  </r>
  <r>
    <x v="366"/>
    <n v="172"/>
    <n v="263"/>
    <n v="191"/>
    <n v="7239"/>
    <n v="202"/>
    <n v="7502"/>
    <x v="324"/>
    <n v="0"/>
    <s v="No Backlog"/>
    <n v="0.93801652892561982"/>
    <n v="6.5661157024793386"/>
    <n v="28.140495867768596"/>
    <b v="1"/>
  </r>
  <r>
    <x v="367"/>
    <n v="116"/>
    <n v="175"/>
    <n v="172"/>
    <n v="7239"/>
    <n v="202"/>
    <n v="7414"/>
    <x v="324"/>
    <n v="-1.1936904931078584E-2"/>
    <s v="No Backlog"/>
    <n v="0.94915025627191796"/>
    <n v="6.6440517939034258"/>
    <n v="28.474507688157537"/>
    <b v="1"/>
  </r>
  <r>
    <x v="368"/>
    <n v="102"/>
    <n v="227"/>
    <n v="201"/>
    <n v="7247"/>
    <n v="294"/>
    <n v="7474"/>
    <x v="325"/>
    <n v="3.4948942902344314E-2"/>
    <s v="Backlog"/>
    <n v="0.9302916778164303"/>
    <n v="6.5120417447150123"/>
    <n v="27.908750334492908"/>
    <b v="1"/>
  </r>
  <r>
    <x v="369"/>
    <n v="145"/>
    <n v="247"/>
    <n v="243"/>
    <n v="7431"/>
    <n v="235"/>
    <n v="7678"/>
    <x v="326"/>
    <n v="5.4196775986659253E-3"/>
    <s v="Backlog"/>
    <n v="0.93722323521750461"/>
    <n v="6.5605626465225324"/>
    <n v="28.116697056525137"/>
    <b v="1"/>
  </r>
  <r>
    <x v="370"/>
    <n v="204"/>
    <n v="321"/>
    <n v="246"/>
    <n v="7433"/>
    <n v="198"/>
    <n v="7754"/>
    <x v="327"/>
    <n v="-1.5065653075328266E-2"/>
    <s v="No Backlog"/>
    <n v="0.93306680423007482"/>
    <n v="6.5314676296105239"/>
    <n v="27.992004126902245"/>
    <b v="1"/>
  </r>
  <r>
    <x v="371"/>
    <n v="160"/>
    <n v="297"/>
    <n v="253"/>
    <n v="7340"/>
    <n v="214"/>
    <n v="7637"/>
    <x v="328"/>
    <n v="-4.4905978108335676E-3"/>
    <s v="No Backlog"/>
    <n v="0.93308890925756183"/>
    <n v="6.5316223648029332"/>
    <n v="27.992667277726856"/>
    <b v="1"/>
  </r>
  <r>
    <x v="372"/>
    <n v="159"/>
    <n v="310"/>
    <n v="272"/>
    <n v="7318"/>
    <n v="224"/>
    <n v="7628"/>
    <x v="329"/>
    <n v="-1.1418099802650126E-2"/>
    <s v="No Backlog"/>
    <n v="0.92999475616151017"/>
    <n v="6.5099632931305713"/>
    <n v="27.899842684845304"/>
    <b v="1"/>
  </r>
  <r>
    <x v="373"/>
    <n v="204"/>
    <n v="315"/>
    <n v="233"/>
    <n v="7307"/>
    <n v="294"/>
    <n v="7622"/>
    <x v="330"/>
    <n v="3.8785113360901187E-2"/>
    <s v="Backlog"/>
    <n v="0.92009971136184732"/>
    <n v="6.4406979795329313"/>
    <n v="27.602991340855418"/>
    <b v="1"/>
  </r>
  <r>
    <x v="374"/>
    <n v="167"/>
    <n v="293"/>
    <n v="230"/>
    <n v="7544"/>
    <n v="259"/>
    <n v="7837"/>
    <x v="331"/>
    <n v="7.0006863417982155E-3"/>
    <s v="Backlog"/>
    <n v="0.92956488452213859"/>
    <n v="6.5069541916549705"/>
    <n v="27.886946535664158"/>
    <b v="1"/>
  </r>
  <r>
    <x v="375"/>
    <n v="152"/>
    <n v="266"/>
    <n v="274"/>
    <n v="7548"/>
    <n v="212"/>
    <n v="7814"/>
    <x v="332"/>
    <n v="1.3631406761177754E-4"/>
    <s v="Backlog"/>
    <n v="0.93882774507294597"/>
    <n v="6.5717942155106215"/>
    <n v="28.16483235218838"/>
    <b v="0"/>
  </r>
  <r>
    <x v="376"/>
    <n v="186"/>
    <n v="352"/>
    <n v="224"/>
    <n v="7493"/>
    <n v="156"/>
    <n v="7845"/>
    <x v="333"/>
    <n v="-1.4992503748125937E-2"/>
    <s v="No Backlog"/>
    <n v="0.93524537922243467"/>
    <n v="6.5467176545570425"/>
    <n v="28.05736137667304"/>
    <b v="1"/>
  </r>
  <r>
    <x v="377"/>
    <n v="184"/>
    <n v="334"/>
    <n v="229"/>
    <n v="7439"/>
    <n v="212"/>
    <n v="7773"/>
    <x v="334"/>
    <n v="-1.2176560121765601E-2"/>
    <s v="No Backlog"/>
    <n v="0.92975685063681979"/>
    <n v="6.5082979544577384"/>
    <n v="27.892705519104595"/>
    <b v="1"/>
  </r>
  <r>
    <x v="378"/>
    <n v="116"/>
    <n v="289"/>
    <n v="166"/>
    <n v="7451"/>
    <n v="312"/>
    <n v="7740"/>
    <x v="335"/>
    <n v="5.0987533267964701E-2"/>
    <s v="Backlog"/>
    <n v="0.92235142118863045"/>
    <n v="6.456459948320413"/>
    <n v="27.670542635658915"/>
    <b v="1"/>
  </r>
  <r>
    <x v="379"/>
    <n v="179"/>
    <n v="326"/>
    <n v="282"/>
    <n v="7741"/>
    <n v="238"/>
    <n v="8067"/>
    <x v="336"/>
    <n v="-1.3328002132480341E-3"/>
    <s v="No Backlog"/>
    <n v="0.93008553365563407"/>
    <n v="6.5105987355894381"/>
    <n v="27.902566009669023"/>
    <b v="1"/>
  </r>
  <r>
    <x v="380"/>
    <n v="173"/>
    <n v="345"/>
    <n v="291"/>
    <n v="7691"/>
    <n v="198"/>
    <n v="8036"/>
    <x v="337"/>
    <n v="-1.7482984118510611E-2"/>
    <s v="No Backlog"/>
    <n v="0.93242906918865109"/>
    <n v="6.5270034843205575"/>
    <n v="27.972872075659534"/>
    <b v="1"/>
  </r>
  <r>
    <x v="381"/>
    <n v="260"/>
    <n v="356"/>
    <n v="176"/>
    <n v="7565"/>
    <n v="203"/>
    <n v="7921"/>
    <x v="338"/>
    <n v="1.3583265417006249E-3"/>
    <s v="Backlog"/>
    <n v="0.92942810251230901"/>
    <n v="6.5059967175861626"/>
    <n v="27.882843075369269"/>
    <b v="1"/>
  </r>
  <r>
    <x v="382"/>
    <n v="109"/>
    <n v="244"/>
    <n v="257"/>
    <n v="7596"/>
    <n v="224"/>
    <n v="7840"/>
    <x v="339"/>
    <n v="-1.7905588714053174E-2"/>
    <s v="No Backlog"/>
    <n v="0.9403061224489796"/>
    <n v="6.5821428571428573"/>
    <n v="28.209183673469386"/>
    <b v="0"/>
  </r>
  <r>
    <x v="383"/>
    <n v="159"/>
    <n v="330"/>
    <n v="322"/>
    <n v="7546"/>
    <n v="306"/>
    <n v="7876"/>
    <x v="340"/>
    <n v="1.8370165745856353E-2"/>
    <s v="Backlog"/>
    <n v="0.91924834941594713"/>
    <n v="6.4347384459116297"/>
    <n v="27.577450482478415"/>
    <b v="1"/>
  </r>
  <r>
    <x v="384"/>
    <n v="167"/>
    <n v="406"/>
    <n v="339"/>
    <n v="7563"/>
    <n v="190"/>
    <n v="7969"/>
    <x v="341"/>
    <n v="-3.1194900311949003E-3"/>
    <s v="No Backlog"/>
    <n v="0.92521018948425149"/>
    <n v="6.4764713263897606"/>
    <n v="27.756305684527543"/>
    <b v="1"/>
  </r>
  <r>
    <x v="385"/>
    <n v="182"/>
    <n v="462"/>
    <n v="158"/>
    <n v="7491"/>
    <n v="141"/>
    <n v="7953"/>
    <x v="342"/>
    <n v="-1.1292517006802722E-2"/>
    <s v="No Backlog"/>
    <n v="0.92417955488494907"/>
    <n v="6.4692568841946434"/>
    <n v="27.725386646548472"/>
    <b v="1"/>
  </r>
  <r>
    <x v="386"/>
    <n v="153"/>
    <n v="348"/>
    <n v="239"/>
    <n v="7418"/>
    <n v="151"/>
    <n v="7766"/>
    <x v="343"/>
    <n v="-9.4949772946195127E-3"/>
    <s v="No Backlog"/>
    <n v="0.93574555755858868"/>
    <n v="6.550218902910121"/>
    <n v="28.072366726757661"/>
    <b v="1"/>
  </r>
  <r>
    <x v="387"/>
    <n v="156"/>
    <n v="344"/>
    <n v="252"/>
    <n v="7365"/>
    <n v="167"/>
    <n v="7709"/>
    <x v="344"/>
    <n v="9.5859961100305639E-3"/>
    <s v="Backlog"/>
    <n v="0.93371384096510568"/>
    <n v="6.5359968867557399"/>
    <n v="28.011415228953169"/>
    <b v="1"/>
  </r>
  <r>
    <x v="388"/>
    <n v="193"/>
    <n v="272"/>
    <n v="314"/>
    <n v="7494"/>
    <n v="227"/>
    <n v="7766"/>
    <x v="343"/>
    <n v="-1.3760836658868861E-4"/>
    <s v="No Backlog"/>
    <n v="0.93574555755858868"/>
    <n v="6.550218902910121"/>
    <n v="28.072366726757661"/>
    <b v="0"/>
  </r>
  <r>
    <x v="389"/>
    <n v="168"/>
    <n v="349"/>
    <n v="272"/>
    <n v="7474"/>
    <n v="208"/>
    <n v="7823"/>
    <x v="345"/>
    <n v="-9.6339113680154141E-4"/>
    <s v="No Backlog"/>
    <n v="0.92879969321232259"/>
    <n v="6.5015978524862579"/>
    <n v="27.863990796369677"/>
    <b v="1"/>
  </r>
  <r>
    <x v="390"/>
    <n v="196"/>
    <n v="348"/>
    <n v="176"/>
    <n v="7404"/>
    <n v="145"/>
    <n v="7752"/>
    <x v="346"/>
    <n v="-1.1434081829453093E-2"/>
    <s v="No Backlog"/>
    <n v="0.93640350877192979"/>
    <n v="6.5548245614035086"/>
    <n v="28.092105263157894"/>
    <b v="1"/>
  </r>
  <r>
    <x v="391"/>
    <n v="111"/>
    <n v="268"/>
    <n v="217"/>
    <n v="7368"/>
    <n v="192"/>
    <n v="7636"/>
    <x v="347"/>
    <n v="-1.644370122630992E-2"/>
    <s v="No Backlog"/>
    <n v="0.93975903614457834"/>
    <n v="6.5783132530120483"/>
    <n v="28.192771084337352"/>
    <b v="1"/>
  </r>
  <r>
    <x v="392"/>
    <n v="143"/>
    <n v="295"/>
    <n v="278"/>
    <n v="7356"/>
    <n v="298"/>
    <n v="7651"/>
    <x v="348"/>
    <n v="3.8679512609804477E-2"/>
    <s v="Backlog"/>
    <n v="0.92249379166122081"/>
    <n v="6.4574565416285452"/>
    <n v="27.674813749836623"/>
    <b v="1"/>
  </r>
  <r>
    <x v="393"/>
    <n v="206"/>
    <n v="340"/>
    <n v="214"/>
    <n v="7565"/>
    <n v="234"/>
    <n v="7905"/>
    <x v="349"/>
    <n v="-9.5484927022234344E-4"/>
    <s v="No Backlog"/>
    <n v="0.92738772928526247"/>
    <n v="6.491714104996837"/>
    <n v="27.821631878557874"/>
    <b v="1"/>
  </r>
  <r>
    <x v="394"/>
    <n v="115"/>
    <n v="285"/>
    <n v="341"/>
    <n v="7589"/>
    <n v="265"/>
    <n v="7874"/>
    <x v="350"/>
    <n v="4.9153468050245766E-3"/>
    <s v="Backlog"/>
    <n v="0.93014986029972058"/>
    <n v="6.5110490220980441"/>
    <n v="27.904495808991616"/>
    <b v="0"/>
  </r>
  <r>
    <x v="395"/>
    <n v="246"/>
    <n v="419"/>
    <n v="218"/>
    <n v="7546"/>
    <n v="186"/>
    <n v="7965"/>
    <x v="351"/>
    <n v="-2.4456521739130437E-3"/>
    <s v="No Backlog"/>
    <n v="0.92404268675455115"/>
    <n v="6.4682988072818581"/>
    <n v="27.721280602636533"/>
    <b v="1"/>
  </r>
  <r>
    <x v="396"/>
    <n v="112"/>
    <n v="331"/>
    <n v="167"/>
    <n v="7499"/>
    <n v="157"/>
    <n v="7830"/>
    <x v="352"/>
    <n v="-1.6752928357395804E-2"/>
    <s v="No Backlog"/>
    <n v="0.93767560664112393"/>
    <n v="6.5637292464878678"/>
    <n v="28.130268199233718"/>
    <b v="1"/>
  </r>
  <r>
    <x v="397"/>
    <n v="138"/>
    <n v="301"/>
    <n v="263"/>
    <n v="7464"/>
    <n v="245"/>
    <n v="7765"/>
    <x v="353"/>
    <n v="1.4821997506579858E-2"/>
    <s v="Backlog"/>
    <n v="0.92968448164842243"/>
    <n v="6.507791371538957"/>
    <n v="27.890534449452673"/>
    <b v="1"/>
  </r>
  <r>
    <x v="398"/>
    <n v="138"/>
    <n v="285"/>
    <n v="268"/>
    <n v="7570"/>
    <n v="244"/>
    <n v="7855"/>
    <x v="354"/>
    <n v="7.5075075075075074E-3"/>
    <s v="Backlog"/>
    <n v="0.93265436028007642"/>
    <n v="6.5285805219605351"/>
    <n v="27.979630808402291"/>
    <b v="1"/>
  </r>
  <r>
    <x v="399"/>
    <n v="167"/>
    <n v="374"/>
    <n v="205"/>
    <n v="7583"/>
    <n v="202"/>
    <n v="7957"/>
    <x v="355"/>
    <n v="2.9806259314456036E-3"/>
    <s v="Backlog"/>
    <n v="0.92761090863390727"/>
    <n v="6.4932763604373509"/>
    <n v="27.828327259017218"/>
    <b v="1"/>
  </r>
  <r>
    <x v="400"/>
    <n v="176"/>
    <n v="334"/>
    <n v="246"/>
    <n v="7566"/>
    <n v="163"/>
    <n v="7900"/>
    <x v="356"/>
    <n v="-2.1477779278670808E-2"/>
    <s v="No Backlog"/>
    <n v="0.93708860759493673"/>
    <n v="6.5596202531645567"/>
    <n v="28.112658227848101"/>
    <b v="1"/>
  </r>
  <r>
    <x v="401"/>
    <n v="173"/>
    <n v="337"/>
    <n v="211"/>
    <n v="7449"/>
    <n v="205"/>
    <n v="7786"/>
    <x v="357"/>
    <n v="-1.7807840971838764E-2"/>
    <s v="No Backlog"/>
    <n v="0.93038787567428716"/>
    <n v="6.5127151297200099"/>
    <n v="27.911636270228616"/>
    <b v="1"/>
  </r>
  <r>
    <x v="402"/>
    <n v="150"/>
    <n v="315"/>
    <n v="228"/>
    <n v="7447"/>
    <n v="332"/>
    <n v="7762"/>
    <x v="358"/>
    <n v="3.7666900913562895E-2"/>
    <s v="Backlog"/>
    <n v="0.91664519453749038"/>
    <n v="6.416516361762433"/>
    <n v="27.49935583612471"/>
    <b v="1"/>
  </r>
  <r>
    <x v="403"/>
    <n v="206"/>
    <n v="411"/>
    <n v="293"/>
    <n v="7577"/>
    <n v="194"/>
    <n v="7988"/>
    <x v="359"/>
    <n v="-8.8040092103480964E-3"/>
    <s v="No Backlog"/>
    <n v="0.92426139208813218"/>
    <n v="6.4698297446169253"/>
    <n v="27.727841762643965"/>
    <b v="1"/>
  </r>
  <r>
    <x v="404"/>
    <n v="197"/>
    <n v="437"/>
    <n v="295"/>
    <n v="7508"/>
    <n v="190"/>
    <n v="7945"/>
    <x v="360"/>
    <n v="-3.0062858704564088E-3"/>
    <s v="No Backlog"/>
    <n v="0.9210824417872876"/>
    <n v="6.447577092511013"/>
    <n v="27.632473253618627"/>
    <b v="1"/>
  </r>
  <r>
    <x v="405"/>
    <n v="220"/>
    <n v="443"/>
    <n v="194"/>
    <n v="7431"/>
    <n v="135"/>
    <n v="7874"/>
    <x v="361"/>
    <n v="-1.5076754385964912E-2"/>
    <s v="No Backlog"/>
    <n v="0.92659385318770637"/>
    <n v="6.4861569723139443"/>
    <n v="27.797815595631192"/>
    <b v="1"/>
  </r>
  <r>
    <x v="406"/>
    <n v="140"/>
    <n v="292"/>
    <n v="255"/>
    <n v="7373"/>
    <n v="187"/>
    <n v="7665"/>
    <x v="362"/>
    <n v="-1.9204007792930699E-2"/>
    <s v="No Backlog"/>
    <n v="0.9375081539465101"/>
    <n v="6.5625570776255708"/>
    <n v="28.125244618395303"/>
    <b v="1"/>
  </r>
  <r>
    <x v="407"/>
    <n v="158"/>
    <n v="349"/>
    <n v="365"/>
    <n v="7298"/>
    <n v="250"/>
    <n v="7647"/>
    <x v="363"/>
    <n v="-7.9455164585698068E-3"/>
    <s v="No Backlog"/>
    <n v="0.92166862822021711"/>
    <n v="6.4516803975415193"/>
    <n v="27.650058846606512"/>
    <b v="0"/>
  </r>
  <r>
    <x v="408"/>
    <n v="145"/>
    <n v="357"/>
    <n v="333"/>
    <n v="7209"/>
    <n v="217"/>
    <n v="7566"/>
    <x v="364"/>
    <n v="-2.574370709382151E-3"/>
    <s v="No Backlog"/>
    <n v="0.92413428495902727"/>
    <n v="6.4689399947131907"/>
    <n v="27.724028548770818"/>
    <b v="1"/>
  </r>
  <r>
    <x v="409"/>
    <n v="253"/>
    <n v="411"/>
    <n v="307"/>
    <n v="7128"/>
    <n v="154"/>
    <n v="7539"/>
    <x v="365"/>
    <n v="-2.0217952394608545E-2"/>
    <s v="No Backlog"/>
    <n v="0.92505637352434011"/>
    <n v="6.4753946146703809"/>
    <n v="27.751691205730204"/>
    <b v="1"/>
  </r>
  <r>
    <x v="410"/>
    <n v="252"/>
    <n v="427"/>
    <n v="307"/>
    <n v="6967"/>
    <n v="134"/>
    <n v="7394"/>
    <x v="366"/>
    <n v="-3.6294453387970146E-2"/>
    <s v="No Backlog"/>
    <n v="0.9241276710846632"/>
    <n v="6.4688936975926428"/>
    <n v="27.723830132539895"/>
    <b v="1"/>
  </r>
  <r>
    <x v="411"/>
    <n v="176"/>
    <n v="424"/>
    <n v="251"/>
    <n v="6799"/>
    <n v="214"/>
    <n v="7223"/>
    <x v="367"/>
    <n v="-1.2148823082763858E-2"/>
    <s v="No Backlog"/>
    <n v="0.91167105080991273"/>
    <n v="6.381697355669389"/>
    <n v="27.350131524297382"/>
    <b v="1"/>
  </r>
  <r>
    <x v="412"/>
    <n v="208"/>
    <n v="380"/>
    <n v="343"/>
    <n v="6745"/>
    <n v="240"/>
    <n v="7125"/>
    <x v="368"/>
    <n v="-5.6879323597232899E-3"/>
    <s v="No Backlog"/>
    <n v="0.9129824561403509"/>
    <n v="6.3908771929824564"/>
    <n v="27.389473684210525"/>
    <b v="1"/>
  </r>
  <r>
    <x v="413"/>
    <n v="144"/>
    <n v="322"/>
    <n v="258"/>
    <n v="6728"/>
    <n v="260"/>
    <n v="7050"/>
    <x v="369"/>
    <n v="4.6382189239332098E-3"/>
    <s v="Backlog"/>
    <n v="0.91744680851063831"/>
    <n v="6.4221276595744685"/>
    <n v="27.52340425531915"/>
    <b v="1"/>
  </r>
  <r>
    <x v="414"/>
    <n v="182"/>
    <n v="371"/>
    <n v="274"/>
    <n v="6725"/>
    <n v="227"/>
    <n v="7096"/>
    <x v="370"/>
    <n v="3.6934441366574329E-3"/>
    <s v="Backlog"/>
    <n v="0.9157271702367531"/>
    <n v="6.4100901916572717"/>
    <n v="27.471815107102593"/>
    <b v="1"/>
  </r>
  <r>
    <x v="415"/>
    <n v="219"/>
    <n v="392"/>
    <n v="205"/>
    <n v="6685"/>
    <n v="163"/>
    <n v="7077"/>
    <x v="371"/>
    <n v="-4.9064704078503529E-3"/>
    <s v="No Backlog"/>
    <n v="0.92157693938109364"/>
    <n v="6.4510385756676554"/>
    <n v="27.647308181432809"/>
    <b v="1"/>
  </r>
  <r>
    <x v="416"/>
    <n v="144"/>
    <n v="303"/>
    <n v="176"/>
    <n v="6681"/>
    <n v="191"/>
    <n v="6984"/>
    <x v="372"/>
    <n v="-2.3112480739599383E-2"/>
    <s v="No Backlog"/>
    <n v="0.92926689576174115"/>
    <n v="6.5048682703321878"/>
    <n v="27.878006872852236"/>
    <b v="1"/>
  </r>
  <r>
    <x v="417"/>
    <n v="128"/>
    <n v="245"/>
    <n v="243"/>
    <n v="6630"/>
    <n v="290"/>
    <n v="6875"/>
    <x v="373"/>
    <n v="4.5268138801261827E-2"/>
    <s v="Backlog"/>
    <n v="0.92218181818181821"/>
    <n v="6.4552727272727273"/>
    <n v="27.665454545454548"/>
    <b v="1"/>
  </r>
  <r>
    <x v="418"/>
    <n v="183"/>
    <n v="221"/>
    <n v="220"/>
    <n v="6912"/>
    <n v="285"/>
    <n v="7133"/>
    <x v="374"/>
    <n v="2.1880187113324279E-2"/>
    <s v="Backlog"/>
    <n v="0.92906210570587411"/>
    <n v="6.5034347399411185"/>
    <n v="27.871863171176223"/>
    <b v="1"/>
  </r>
  <r>
    <x v="419"/>
    <n v="117"/>
    <n v="244"/>
    <n v="142"/>
    <n v="6999"/>
    <n v="227"/>
    <n v="7243"/>
    <x v="375"/>
    <n v="2.0821027761370348E-2"/>
    <s v="Backlog"/>
    <n v="0.93497169681071379"/>
    <n v="6.5448018776749963"/>
    <n v="28.049150904321415"/>
    <b v="1"/>
  </r>
  <r>
    <x v="420"/>
    <n v="118"/>
    <n v="231"/>
    <n v="217"/>
    <n v="7043"/>
    <n v="130"/>
    <n v="7274"/>
    <x v="376"/>
    <n v="-1.7937219730941704E-2"/>
    <s v="No Backlog"/>
    <n v="0.95037118504261753"/>
    <n v="6.6525982952983229"/>
    <n v="28.511135551278525"/>
    <b v="1"/>
  </r>
  <r>
    <x v="421"/>
    <n v="102"/>
    <n v="230"/>
    <n v="167"/>
    <n v="6988"/>
    <n v="199"/>
    <n v="7218"/>
    <x v="377"/>
    <n v="-1.2667550449256149E-2"/>
    <s v="No Backlog"/>
    <n v="0.9405652535328346"/>
    <n v="6.5839567747298418"/>
    <n v="28.216957605985037"/>
    <b v="1"/>
  </r>
  <r>
    <x v="422"/>
    <n v="106"/>
    <n v="239"/>
    <n v="233"/>
    <n v="6982"/>
    <n v="279"/>
    <n v="7221"/>
    <x v="378"/>
    <n v="5.8033716246456812E-2"/>
    <s v="Backlog"/>
    <n v="0.92826478327101514"/>
    <n v="6.4978534828971064"/>
    <n v="27.847943498130455"/>
    <b v="1"/>
  </r>
  <r>
    <x v="423"/>
    <n v="95"/>
    <n v="226"/>
    <n v="152"/>
    <n v="7317"/>
    <n v="225"/>
    <n v="7543"/>
    <x v="379"/>
    <n v="1.2831359278059786E-2"/>
    <s v="Backlog"/>
    <n v="0.94020946572981567"/>
    <n v="6.5814662601087095"/>
    <n v="28.206283971894472"/>
    <b v="1"/>
  </r>
  <r>
    <x v="424"/>
    <n v="124"/>
    <n v="230"/>
    <n v="190"/>
    <n v="7346"/>
    <n v="163"/>
    <n v="7576"/>
    <x v="380"/>
    <n v="3.4804399276068495E-3"/>
    <s v="Backlog"/>
    <n v="0.94812565997888065"/>
    <n v="6.6368796198521647"/>
    <n v="28.443769799366418"/>
    <b v="1"/>
  </r>
  <r>
    <x v="425"/>
    <n v="101"/>
    <n v="230"/>
    <n v="175"/>
    <n v="7340"/>
    <n v="132"/>
    <n v="7570"/>
    <x v="381"/>
    <n v="-1.5122086570477247E-2"/>
    <s v="No Backlog"/>
    <n v="0.95217965653896963"/>
    <n v="6.6652575957727871"/>
    <n v="28.565389696169088"/>
    <b v="1"/>
  </r>
  <r>
    <x v="426"/>
    <n v="109"/>
    <n v="235"/>
    <n v="171"/>
    <n v="7271"/>
    <n v="172"/>
    <n v="7506"/>
    <x v="382"/>
    <n v="-1.8171573461050854E-2"/>
    <s v="No Backlog"/>
    <n v="0.94577671196376234"/>
    <n v="6.6204369837463366"/>
    <n v="28.373301358912869"/>
    <b v="1"/>
  </r>
  <r>
    <x v="427"/>
    <n v="105"/>
    <n v="254"/>
    <n v="151"/>
    <n v="7257"/>
    <n v="287"/>
    <n v="7511"/>
    <x v="383"/>
    <n v="6.1979913916786228E-2"/>
    <s v="Backlog"/>
    <n v="0.92797230728265212"/>
    <n v="6.4958061509785647"/>
    <n v="27.839169218479565"/>
    <b v="1"/>
  </r>
  <r>
    <x v="428"/>
    <n v="161"/>
    <n v="288"/>
    <n v="248"/>
    <n v="7762"/>
    <n v="360"/>
    <n v="8050"/>
    <x v="384"/>
    <n v="3.7287219670359362E-2"/>
    <s v="Backlog"/>
    <n v="0.9195031055900621"/>
    <n v="6.436521739130435"/>
    <n v="27.585093167701864"/>
    <b v="1"/>
  </r>
  <r>
    <x v="429"/>
    <n v="129"/>
    <n v="287"/>
    <n v="185"/>
    <n v="7893"/>
    <n v="215"/>
    <n v="8180"/>
    <x v="385"/>
    <n v="4.2979942693409743E-3"/>
    <s v="Backlog"/>
    <n v="0.93863080684596578"/>
    <n v="6.5704156479217604"/>
    <n v="28.158924205378973"/>
    <b v="1"/>
  </r>
  <r>
    <x v="430"/>
    <n v="187"/>
    <n v="276"/>
    <n v="200"/>
    <n v="7919"/>
    <n v="208"/>
    <n v="8195"/>
    <x v="386"/>
    <n v="-5.3170794968227207E-3"/>
    <s v="No Backlog"/>
    <n v="0.94093959731543619"/>
    <n v="6.5865771812080531"/>
    <n v="28.228187919463085"/>
    <b v="1"/>
  </r>
  <r>
    <x v="431"/>
    <n v="128"/>
    <n v="242"/>
    <n v="224"/>
    <n v="7899"/>
    <n v="229"/>
    <n v="8141"/>
    <x v="387"/>
    <n v="-1.877444589308996E-2"/>
    <s v="No Backlog"/>
    <n v="0.94214469966834546"/>
    <n v="6.5950128976784184"/>
    <n v="28.264340990050364"/>
    <b v="1"/>
  </r>
  <r>
    <x v="432"/>
    <n v="124"/>
    <n v="264"/>
    <n v="221"/>
    <n v="7899"/>
    <n v="373"/>
    <n v="8163"/>
    <x v="388"/>
    <n v="7.05554079192134E-2"/>
    <s v="Backlog"/>
    <n v="0.92196496386132554"/>
    <n v="6.4537547470292784"/>
    <n v="27.658948915839765"/>
    <b v="1"/>
  </r>
  <r>
    <x v="433"/>
    <n v="132"/>
    <n v="261"/>
    <n v="141"/>
    <n v="8292"/>
    <n v="235"/>
    <n v="8553"/>
    <x v="389"/>
    <n v="1.0053369740598237E-2"/>
    <s v="Backlog"/>
    <n v="0.94200865193499361"/>
    <n v="6.5940605635449554"/>
    <n v="28.260259558049807"/>
    <b v="1"/>
  </r>
  <r>
    <x v="434"/>
    <n v="91"/>
    <n v="181"/>
    <n v="174"/>
    <n v="8365"/>
    <n v="227"/>
    <n v="8546"/>
    <x v="390"/>
    <n v="6.7584173015482916E-3"/>
    <s v="Backlog"/>
    <n v="0.95225836648724549"/>
    <n v="6.6658085654107184"/>
    <n v="28.567750994617363"/>
    <b v="1"/>
  </r>
  <r>
    <x v="435"/>
    <n v="99"/>
    <n v="202"/>
    <n v="256"/>
    <n v="8390"/>
    <n v="197"/>
    <n v="8592"/>
    <x v="391"/>
    <n v="-1.7453924081533016E-2"/>
    <s v="No Backlog"/>
    <n v="0.95356145251396651"/>
    <n v="6.6749301675977657"/>
    <n v="28.606843575418996"/>
    <b v="0"/>
  </r>
  <r>
    <x v="436"/>
    <n v="123"/>
    <n v="243"/>
    <n v="188"/>
    <n v="8333"/>
    <n v="283"/>
    <n v="8576"/>
    <x v="392"/>
    <n v="-2.3602484472049689E-3"/>
    <s v="No Backlog"/>
    <n v="0.93866604477611937"/>
    <n v="6.5706623134328357"/>
    <n v="28.159981343283579"/>
    <b v="1"/>
  </r>
  <r>
    <x v="437"/>
    <n v="127"/>
    <n v="260"/>
    <n v="259"/>
    <n v="8373"/>
    <n v="342"/>
    <n v="8633"/>
    <x v="393"/>
    <n v="4.4079193126634289E-2"/>
    <s v="Backlog"/>
    <n v="0.93026757789876058"/>
    <n v="6.511873045291324"/>
    <n v="27.908027336962817"/>
    <b v="1"/>
  </r>
  <r>
    <x v="438"/>
    <n v="166"/>
    <n v="301"/>
    <n v="252"/>
    <n v="8695"/>
    <n v="310"/>
    <n v="8996"/>
    <x v="394"/>
    <n v="2.3255813953488372E-2"/>
    <s v="Backlog"/>
    <n v="0.93208092485549132"/>
    <n v="6.5245664739884397"/>
    <n v="27.962427745664741"/>
    <b v="1"/>
  </r>
  <r>
    <x v="439"/>
    <n v="165"/>
    <n v="358"/>
    <n v="167"/>
    <n v="8819"/>
    <n v="239"/>
    <n v="9177"/>
    <x v="395"/>
    <n v="5.8275058275058279E-3"/>
    <s v="Backlog"/>
    <n v="0.93494606080418441"/>
    <n v="6.5446224256292904"/>
    <n v="28.048381824125531"/>
    <b v="1"/>
  </r>
  <r>
    <x v="440"/>
    <n v="154"/>
    <n v="294"/>
    <n v="290"/>
    <n v="8843"/>
    <n v="213"/>
    <n v="9137"/>
    <x v="396"/>
    <n v="-1.4600231749710313E-2"/>
    <s v="No Backlog"/>
    <n v="0.94451132756922407"/>
    <n v="6.6115792929845689"/>
    <n v="28.335339827076723"/>
    <b v="1"/>
  </r>
  <r>
    <x v="441"/>
    <n v="178"/>
    <n v="336"/>
    <n v="290"/>
    <n v="8757"/>
    <n v="253"/>
    <n v="9093"/>
    <x v="397"/>
    <n v="-1.9167450611476951E-2"/>
    <s v="No Backlog"/>
    <n v="0.93522489827339716"/>
    <n v="6.5465742879137805"/>
    <n v="28.056746948201916"/>
    <b v="1"/>
  </r>
  <r>
    <x v="442"/>
    <n v="190"/>
    <n v="368"/>
    <n v="326"/>
    <n v="8714"/>
    <n v="373"/>
    <n v="9082"/>
    <x v="398"/>
    <n v="3.0691763577508691E-2"/>
    <s v="Backlog"/>
    <n v="0.91841004184100417"/>
    <n v="6.4288702928870292"/>
    <n v="27.552301255230127"/>
    <b v="1"/>
  </r>
  <r>
    <x v="443"/>
    <n v="181"/>
    <n v="424"/>
    <n v="328"/>
    <n v="8902"/>
    <n v="305"/>
    <n v="9326"/>
    <x v="399"/>
    <n v="4.7691055019192744E-3"/>
    <s v="Backlog"/>
    <n v="0.92183143898777609"/>
    <n v="6.4528200729144327"/>
    <n v="27.654943169633281"/>
    <b v="1"/>
  </r>
  <r>
    <x v="444"/>
    <n v="230"/>
    <n v="457"/>
    <n v="277"/>
    <n v="8870"/>
    <n v="232"/>
    <n v="9327"/>
    <x v="400"/>
    <n v="-6.0199120166705257E-3"/>
    <s v="No Backlog"/>
    <n v="0.92612844430149033"/>
    <n v="6.4828991101104325"/>
    <n v="27.78385332904471"/>
    <b v="1"/>
  </r>
  <r>
    <x v="445"/>
    <n v="246"/>
    <n v="472"/>
    <n v="345"/>
    <n v="8800"/>
    <n v="214"/>
    <n v="9272"/>
    <x v="401"/>
    <n v="-1.8052643838807361E-2"/>
    <s v="No Backlog"/>
    <n v="0.92601380500431407"/>
    <n v="6.4820966350301985"/>
    <n v="27.780414150129424"/>
    <b v="1"/>
  </r>
  <r>
    <x v="446"/>
    <n v="225"/>
    <n v="509"/>
    <n v="340"/>
    <n v="8660"/>
    <n v="229"/>
    <n v="9169"/>
    <x v="402"/>
    <n v="-2.265448938441466E-2"/>
    <s v="No Backlog"/>
    <n v="0.91951139709892027"/>
    <n v="6.4365797796924422"/>
    <n v="27.585341912967607"/>
    <b v="1"/>
  </r>
  <r>
    <x v="447"/>
    <n v="236"/>
    <n v="468"/>
    <n v="347"/>
    <n v="8594"/>
    <n v="354"/>
    <n v="9062"/>
    <x v="403"/>
    <n v="2.2451456310679612E-2"/>
    <s v="Backlog"/>
    <n v="0.90929154711984106"/>
    <n v="6.3650408298388879"/>
    <n v="27.278746413595233"/>
    <b v="1"/>
  </r>
  <r>
    <x v="448"/>
    <n v="262"/>
    <n v="444"/>
    <n v="354"/>
    <n v="8724"/>
    <n v="299"/>
    <n v="9168"/>
    <x v="404"/>
    <n v="2.0178041543026707E-3"/>
    <s v="Backlog"/>
    <n v="0.91895724258289702"/>
    <n v="6.4327006980802794"/>
    <n v="27.568717277486911"/>
    <b v="1"/>
  </r>
  <r>
    <x v="449"/>
    <n v="209"/>
    <n v="447"/>
    <n v="274"/>
    <n v="8699"/>
    <n v="257"/>
    <n v="9146"/>
    <x v="405"/>
    <n v="2.3691068467187872E-4"/>
    <s v="Backlog"/>
    <n v="0.92302645965449381"/>
    <n v="6.4611852175814564"/>
    <n v="27.690793789634814"/>
    <b v="1"/>
  </r>
  <r>
    <x v="450"/>
    <n v="197"/>
    <n v="369"/>
    <n v="306"/>
    <n v="8650"/>
    <n v="206"/>
    <n v="9019"/>
    <x v="406"/>
    <n v="-4.3699668403600192E-2"/>
    <s v="No Backlog"/>
    <n v="0.93624570351480207"/>
    <n v="6.5537199246036142"/>
    <n v="28.087371105444063"/>
    <b v="1"/>
  </r>
  <r>
    <x v="451"/>
    <n v="199"/>
    <n v="438"/>
    <n v="326"/>
    <n v="8404"/>
    <n v="329"/>
    <n v="8842"/>
    <x v="407"/>
    <n v="0"/>
    <s v="No Backlog"/>
    <n v="0.91325491970142503"/>
    <n v="6.3927844379099756"/>
    <n v="27.397647591042752"/>
    <b v="1"/>
  </r>
  <r>
    <x v="452"/>
    <n v="244"/>
    <n v="482"/>
    <n v="366"/>
    <n v="8404"/>
    <n v="329"/>
    <n v="8886"/>
    <x v="407"/>
    <n v="2.959752321981424E-2"/>
    <s v="Backlog"/>
    <n v="0.90873283817240602"/>
    <n v="6.3611298672068424"/>
    <n v="27.261985145172179"/>
    <b v="1"/>
  </r>
  <r>
    <x v="453"/>
    <n v="165"/>
    <n v="400"/>
    <n v="292"/>
    <n v="8607"/>
    <n v="293"/>
    <n v="9007"/>
    <x v="408"/>
    <n v="3.367813326918451E-3"/>
    <s v="Backlog"/>
    <n v="0.92305984234484295"/>
    <n v="6.4614188964139005"/>
    <n v="27.691795270345288"/>
    <b v="1"/>
  </r>
  <r>
    <x v="454"/>
    <n v="232"/>
    <n v="430"/>
    <n v="318"/>
    <n v="8573"/>
    <n v="231"/>
    <n v="9003"/>
    <x v="409"/>
    <n v="-5.5142651642292014E-3"/>
    <s v="No Backlog"/>
    <n v="0.9265800288792625"/>
    <n v="6.486060202154837"/>
    <n v="27.797400866377874"/>
    <b v="1"/>
  </r>
  <r>
    <x v="455"/>
    <n v="149"/>
    <n v="395"/>
    <n v="273"/>
    <n v="8488"/>
    <n v="192"/>
    <n v="8883"/>
    <x v="410"/>
    <n v="-1.6152362584378015E-2"/>
    <s v="No Backlog"/>
    <n v="0.93391872115276375"/>
    <n v="6.5374310480693465"/>
    <n v="28.017561634582911"/>
    <b v="1"/>
  </r>
  <r>
    <x v="456"/>
    <n v="249"/>
    <n v="420"/>
    <n v="371"/>
    <n v="8380"/>
    <n v="218"/>
    <n v="8800"/>
    <x v="411"/>
    <n v="-1.3477088948787063E-3"/>
    <s v="No Backlog"/>
    <n v="0.92749999999999999"/>
    <n v="6.4924999999999997"/>
    <n v="27.824999999999999"/>
    <b v="1"/>
  </r>
  <r>
    <x v="457"/>
    <n v="333"/>
    <n v="508"/>
    <n v="272"/>
    <n v="8463"/>
    <n v="312"/>
    <n v="8971"/>
    <x v="412"/>
    <n v="1.607164765059502E-2"/>
    <s v="Backlog"/>
    <n v="0.9085943596031657"/>
    <n v="6.3601605172221598"/>
    <n v="27.257830788094971"/>
    <b v="1"/>
  </r>
  <r>
    <x v="458"/>
    <n v="185"/>
    <n v="322"/>
    <n v="272"/>
    <n v="8512"/>
    <n v="230"/>
    <n v="8834"/>
    <x v="413"/>
    <n v="-1.1349915479352813E-2"/>
    <s v="No Backlog"/>
    <n v="0.9375141498754811"/>
    <n v="6.5625990491283677"/>
    <n v="28.125424496264433"/>
    <b v="1"/>
  </r>
  <r>
    <x v="459"/>
    <n v="227"/>
    <n v="369"/>
    <n v="349"/>
    <n v="8348"/>
    <n v="160"/>
    <n v="8717"/>
    <x v="414"/>
    <n v="-4.0302882266731802E-2"/>
    <s v="No Backlog"/>
    <n v="0.93931398416886547"/>
    <n v="6.5751978891820579"/>
    <n v="28.179419525065963"/>
    <b v="1"/>
  </r>
  <r>
    <x v="460"/>
    <n v="213"/>
    <n v="430"/>
    <n v="440"/>
    <n v="8092"/>
    <n v="234"/>
    <n v="8522"/>
    <x v="415"/>
    <n v="-1.8961567828964115E-2"/>
    <s v="No Backlog"/>
    <n v="0.92208401783618865"/>
    <n v="6.4545881248533208"/>
    <n v="27.662520535085658"/>
    <b v="0"/>
  </r>
  <r>
    <x v="461"/>
    <n v="205"/>
    <n v="515"/>
    <n v="226"/>
    <n v="8056"/>
    <n v="347"/>
    <n v="8571"/>
    <x v="416"/>
    <n v="2.1273835776365286E-2"/>
    <s v="Backlog"/>
    <n v="0.89942830474857072"/>
    <n v="6.295998133239995"/>
    <n v="26.98284914245712"/>
    <b v="1"/>
  </r>
  <r>
    <x v="462"/>
    <n v="298"/>
    <n v="499"/>
    <n v="358"/>
    <n v="8188"/>
    <n v="315"/>
    <n v="8687"/>
    <x v="417"/>
    <n v="8.2560650323891781E-3"/>
    <s v="Backlog"/>
    <n v="0.90629676528145509"/>
    <n v="6.3440773569701854"/>
    <n v="27.188902958443652"/>
    <b v="1"/>
  </r>
  <r>
    <x v="463"/>
    <n v="227"/>
    <n v="453"/>
    <n v="330"/>
    <n v="8160"/>
    <n v="222"/>
    <n v="8613"/>
    <x v="418"/>
    <n v="-8.9443184681279927E-3"/>
    <s v="No Backlog"/>
    <n v="0.92163009404388718"/>
    <n v="6.4514106583072106"/>
    <n v="27.648902821316614"/>
    <b v="1"/>
  </r>
  <r>
    <x v="464"/>
    <n v="291"/>
    <n v="455"/>
    <n v="323"/>
    <n v="8045"/>
    <n v="178"/>
    <n v="8500"/>
    <x v="419"/>
    <n v="-3.0125842125333674E-2"/>
    <s v="No Backlog"/>
    <n v="0.92552941176470593"/>
    <n v="6.4787058823529415"/>
    <n v="27.765882352941176"/>
    <b v="1"/>
  </r>
  <r>
    <x v="465"/>
    <n v="157"/>
    <n v="466"/>
    <n v="345"/>
    <n v="7872"/>
    <n v="242"/>
    <n v="8338"/>
    <x v="420"/>
    <n v="-2.0838794233289645E-2"/>
    <s v="No Backlog"/>
    <n v="0.915087550971456"/>
    <n v="6.4056128568001922"/>
    <n v="27.452626529143679"/>
    <b v="1"/>
  </r>
  <r>
    <x v="466"/>
    <n v="253"/>
    <n v="531"/>
    <n v="248"/>
    <n v="7813"/>
    <n v="342"/>
    <n v="8344"/>
    <x v="421"/>
    <n v="2.9179494043635391E-2"/>
    <s v="Backlog"/>
    <n v="0.89537392138063276"/>
    <n v="6.2676174496644297"/>
    <n v="26.861217641418982"/>
    <b v="1"/>
  </r>
  <r>
    <x v="467"/>
    <n v="222"/>
    <n v="459"/>
    <n v="289"/>
    <n v="8026"/>
    <n v="337"/>
    <n v="8485"/>
    <x v="422"/>
    <n v="2.575107296137339E-2"/>
    <s v="Backlog"/>
    <n v="0.90618738951090161"/>
    <n v="6.343311726576311"/>
    <n v="27.18562168532705"/>
    <b v="1"/>
  </r>
  <r>
    <x v="468"/>
    <n v="203"/>
    <n v="477"/>
    <n v="258"/>
    <n v="8153"/>
    <n v="266"/>
    <n v="8630"/>
    <x v="423"/>
    <n v="1.3693419551160137E-2"/>
    <s v="Backlog"/>
    <n v="0.91390498261877173"/>
    <n v="6.3973348783314021"/>
    <n v="27.417149478563154"/>
    <b v="1"/>
  </r>
  <r>
    <x v="469"/>
    <n v="93"/>
    <n v="198"/>
    <n v="208"/>
    <n v="8182"/>
    <n v="187"/>
    <n v="8380"/>
    <x v="424"/>
    <n v="-1.6635397123202E-2"/>
    <s v="No Backlog"/>
    <n v="0.95405727923627681"/>
    <n v="6.678400954653938"/>
    <n v="28.621718377088303"/>
    <b v="0"/>
  </r>
  <r>
    <x v="470"/>
    <n v="137"/>
    <n v="272"/>
    <n v="166"/>
    <n v="8057"/>
    <n v="195"/>
    <n v="8329"/>
    <x v="425"/>
    <n v="-2.0987026201984227E-2"/>
    <s v="No Backlog"/>
    <n v="0.94393084403890026"/>
    <n v="6.6075159082723021"/>
    <n v="28.317925321167007"/>
    <b v="1"/>
  </r>
  <r>
    <x v="471"/>
    <n v="120"/>
    <n v="257"/>
    <n v="126"/>
    <n v="8004"/>
    <n v="307"/>
    <n v="8261"/>
    <x v="426"/>
    <n v="2.4684942185266987E-2"/>
    <s v="Backlog"/>
    <n v="0.93172739377799296"/>
    <n v="6.5220917564459508"/>
    <n v="27.951821813339787"/>
    <b v="1"/>
  </r>
  <r>
    <x v="472"/>
    <n v="102"/>
    <n v="189"/>
    <n v="155"/>
    <n v="8180"/>
    <n v="293"/>
    <n v="8369"/>
    <x v="423"/>
    <n v="1.0396855585140105E-2"/>
    <s v="Backlog"/>
    <n v="0.94240650017923289"/>
    <n v="6.5968455012546299"/>
    <n v="28.272195005376986"/>
    <b v="1"/>
  </r>
  <r>
    <x v="473"/>
    <n v="90"/>
    <n v="196"/>
    <n v="205"/>
    <n v="8212"/>
    <n v="243"/>
    <n v="8408"/>
    <x v="427"/>
    <n v="-4.7684778516752417E-3"/>
    <s v="No Backlog"/>
    <n v="0.94778782112274029"/>
    <n v="6.6345147478591819"/>
    <n v="28.43363463368221"/>
    <b v="0"/>
  </r>
  <r>
    <x v="474"/>
    <n v="128"/>
    <n v="228"/>
    <n v="177"/>
    <n v="8133"/>
    <n v="202"/>
    <n v="8361"/>
    <x v="428"/>
    <n v="-1.8282688185600807E-2"/>
    <s v="No Backlog"/>
    <n v="0.94857074512618111"/>
    <n v="6.6399952158832676"/>
    <n v="28.457122353785433"/>
    <b v="1"/>
  </r>
  <r>
    <x v="475"/>
    <n v="136"/>
    <n v="246"/>
    <n v="123"/>
    <n v="8008"/>
    <n v="222"/>
    <n v="8254"/>
    <x v="429"/>
    <n v="-2.3503724633958386E-2"/>
    <s v="No Backlog"/>
    <n v="0.94330021807608433"/>
    <n v="6.6031015265325905"/>
    <n v="28.29900654228253"/>
    <b v="1"/>
  </r>
  <r>
    <x v="476"/>
    <n v="105"/>
    <n v="185"/>
    <n v="158"/>
    <n v="7974"/>
    <n v="371"/>
    <n v="8159"/>
    <x v="430"/>
    <n v="1.0522162304353544E-2"/>
    <s v="Backlog"/>
    <n v="0.93185439392082359"/>
    <n v="6.5229807574457652"/>
    <n v="27.955631817624706"/>
    <b v="1"/>
  </r>
  <r>
    <x v="477"/>
    <n v="116"/>
    <n v="188"/>
    <n v="164"/>
    <n v="8042"/>
    <n v="359"/>
    <n v="8230"/>
    <x v="431"/>
    <n v="4.6856696602889493E-3"/>
    <s v="Backlog"/>
    <n v="0.93353584447144589"/>
    <n v="6.5347509113001214"/>
    <n v="28.006075334143375"/>
    <b v="1"/>
  </r>
  <r>
    <x v="478"/>
    <n v="80"/>
    <n v="176"/>
    <n v="125"/>
    <n v="8072"/>
    <n v="353"/>
    <n v="8248"/>
    <x v="432"/>
    <n v="2.9278403938333981E-2"/>
    <s v="Backlog"/>
    <n v="0.93586323957322992"/>
    <n v="6.5510426770126093"/>
    <n v="28.075897187196897"/>
    <b v="1"/>
  </r>
  <r>
    <x v="479"/>
    <n v="32"/>
    <n v="49"/>
    <n v="39"/>
    <n v="8133"/>
    <n v="188"/>
    <n v="8182"/>
    <x v="433"/>
    <n v="-1.8376337319068597E-2"/>
    <s v="No Backlog"/>
    <n v="0.97103397702273286"/>
    <n v="6.7972378391591297"/>
    <n v="29.131019310681985"/>
    <b v="1"/>
  </r>
  <r>
    <x v="480"/>
    <n v="33"/>
    <n v="53"/>
    <n v="34"/>
    <n v="8033"/>
    <n v="234"/>
    <n v="8086"/>
    <x v="434"/>
    <n v="7.1034748044621107E-2"/>
    <s v="Backlog"/>
    <n v="0.96450655453870893"/>
    <n v="6.7515458817709622"/>
    <n v="28.935196636161269"/>
    <b v="1"/>
  </r>
  <r>
    <x v="481"/>
    <n v="29"/>
    <n v="51"/>
    <n v="11"/>
    <n v="8829"/>
    <n v="476"/>
    <n v="8880"/>
    <x v="435"/>
    <n v="5.2915120316054109E-2"/>
    <s v="Backlog"/>
    <n v="0.94065315315315312"/>
    <n v="6.5845720720720715"/>
    <n v="28.219594594594593"/>
    <b v="1"/>
  </r>
  <r>
    <x v="482"/>
    <n v="91"/>
    <n v="75"/>
    <n v="97"/>
    <n v="9144"/>
    <n v="349"/>
    <n v="9219"/>
    <x v="436"/>
    <n v="2.6151222285389426E-2"/>
    <s v="Backlog"/>
    <n v="0.95400802690096542"/>
    <n v="6.6780561883067584"/>
    <n v="28.620240807028964"/>
    <b v="0"/>
  </r>
  <r>
    <x v="483"/>
    <n v="62"/>
    <n v="97"/>
    <n v="52"/>
    <n v="9311"/>
    <n v="286"/>
    <n v="9408"/>
    <x v="437"/>
    <n v="3.080332409972299E-2"/>
    <s v="Backlog"/>
    <n v="0.9592899659863946"/>
    <n v="6.7150297619047619"/>
    <n v="28.778698979591837"/>
    <b v="1"/>
  </r>
  <r>
    <x v="484"/>
    <n v="59"/>
    <n v="64"/>
    <n v="117"/>
    <n v="9670"/>
    <n v="367"/>
    <n v="9734"/>
    <x v="438"/>
    <n v="0"/>
    <s v="No Backlog"/>
    <n v="0.95572221080747899"/>
    <n v="6.6900554756523531"/>
    <n v="28.671666324224368"/>
    <b v="0"/>
  </r>
  <r>
    <x v="485"/>
    <n v="84"/>
    <n v="118"/>
    <n v="136"/>
    <n v="9670"/>
    <n v="367"/>
    <n v="9788"/>
    <x v="438"/>
    <n v="9.5990540685800277E-2"/>
    <s v="Backlog"/>
    <n v="0.95044953003677968"/>
    <n v="6.6531467102574577"/>
    <n v="28.51348590110339"/>
    <b v="0"/>
  </r>
  <r>
    <x v="486"/>
    <n v="86"/>
    <n v="152"/>
    <n v="168"/>
    <n v="10558"/>
    <n v="362"/>
    <n v="10710"/>
    <x v="439"/>
    <n v="2.5402118477834443E-2"/>
    <s v="Backlog"/>
    <n v="0.95200746965452843"/>
    <n v="6.6640522875816988"/>
    <n v="28.560224089635852"/>
    <b v="0"/>
  </r>
  <r>
    <x v="487"/>
    <n v="106"/>
    <n v="196"/>
    <n v="131"/>
    <n v="10718"/>
    <n v="263"/>
    <n v="10914"/>
    <x v="440"/>
    <n v="-9.5648015303682451E-5"/>
    <s v="No Backlog"/>
    <n v="0.95794392523364491"/>
    <n v="6.7056074766355147"/>
    <n v="28.738317757009348"/>
    <b v="1"/>
  </r>
  <r>
    <x v="488"/>
    <n v="113"/>
    <n v="162"/>
    <n v="107"/>
    <n v="10770"/>
    <n v="316"/>
    <n v="10932"/>
    <x v="441"/>
    <n v="1.2052802754926343E-2"/>
    <s v="Backlog"/>
    <n v="0.95627515550676911"/>
    <n v="6.6939260885473839"/>
    <n v="28.688254665203072"/>
    <b v="1"/>
  </r>
  <r>
    <x v="489"/>
    <n v="92"/>
    <n v="124"/>
    <n v="93"/>
    <n v="10870"/>
    <n v="290"/>
    <n v="10994"/>
    <x v="442"/>
    <n v="2.76937618147448E-2"/>
    <s v="Backlog"/>
    <n v="0.96234309623430958"/>
    <n v="6.7364016736401666"/>
    <n v="28.870292887029287"/>
    <b v="1"/>
  </r>
  <r>
    <x v="490"/>
    <n v="68"/>
    <n v="107"/>
    <n v="102"/>
    <n v="11230"/>
    <n v="357"/>
    <n v="11337"/>
    <x v="443"/>
    <n v="-1.8394187436769982E-4"/>
    <s v="No Backlog"/>
    <n v="0.95907206492017294"/>
    <n v="6.7135044544412104"/>
    <n v="28.772161947605188"/>
    <b v="1"/>
  </r>
  <r>
    <x v="491"/>
    <n v="74"/>
    <n v="103"/>
    <n v="80"/>
    <n v="11206"/>
    <n v="335"/>
    <n v="11309"/>
    <x v="444"/>
    <n v="5.335295740962193E-3"/>
    <s v="Backlog"/>
    <n v="0.9612697851268901"/>
    <n v="6.7288884958882305"/>
    <n v="28.838093553806704"/>
    <b v="1"/>
  </r>
  <r>
    <x v="492"/>
    <n v="56"/>
    <n v="82"/>
    <n v="68"/>
    <n v="11217"/>
    <n v="288"/>
    <n v="11299"/>
    <x v="445"/>
    <n v="-1.2077957727147955E-2"/>
    <s v="No Backlog"/>
    <n v="0.96725373926896185"/>
    <n v="6.7707761748827329"/>
    <n v="29.017612178068855"/>
    <b v="1"/>
  </r>
  <r>
    <x v="493"/>
    <n v="90"/>
    <n v="196"/>
    <n v="205"/>
    <n v="11144"/>
    <n v="347"/>
    <n v="11340"/>
    <x v="446"/>
    <n v="7.5020839121978326E-3"/>
    <s v="Backlog"/>
    <n v="0.95211640211640214"/>
    <n v="6.6648148148148145"/>
    <n v="28.563492063492063"/>
    <b v="0"/>
  </r>
  <r>
    <x v="494"/>
    <n v="128"/>
    <n v="228"/>
    <n v="177"/>
    <n v="11375"/>
    <n v="497"/>
    <n v="11603"/>
    <x v="447"/>
    <n v="2.2798308512594227E-2"/>
    <s v="Backlog"/>
    <n v="0.93751615961389301"/>
    <n v="6.5626131172972508"/>
    <n v="28.125484788416792"/>
    <b v="1"/>
  </r>
  <r>
    <x v="495"/>
    <n v="136"/>
    <n v="246"/>
    <n v="123"/>
    <n v="11516"/>
    <n v="390"/>
    <n v="11762"/>
    <x v="448"/>
    <n v="-9.6171130684882256E-3"/>
    <s v="No Backlog"/>
    <n v="0.94592756333956807"/>
    <n v="6.6214929433769765"/>
    <n v="28.377826900187042"/>
    <b v="1"/>
  </r>
  <r>
    <x v="496"/>
    <n v="105"/>
    <n v="185"/>
    <n v="158"/>
    <n v="11291"/>
    <n v="272"/>
    <n v="11476"/>
    <x v="449"/>
    <n v="-2.1236046828205825E-2"/>
    <s v="No Backlog"/>
    <n v="0.96017776228651097"/>
    <n v="6.7212443360055767"/>
    <n v="28.805332868595329"/>
    <b v="1"/>
  </r>
  <r>
    <x v="497"/>
    <n v="116"/>
    <n v="188"/>
    <n v="164"/>
    <n v="11149"/>
    <n v="364"/>
    <n v="11337"/>
    <x v="450"/>
    <n v="-1.3815484469170143E-2"/>
    <s v="No Backlog"/>
    <n v="0.95130987033606773"/>
    <n v="6.6591690923524745"/>
    <n v="28.539296110082031"/>
    <b v="1"/>
  </r>
  <r>
    <x v="498"/>
    <n v="80"/>
    <n v="176"/>
    <n v="125"/>
    <n v="11092"/>
    <n v="456"/>
    <n v="11268"/>
    <x v="451"/>
    <n v="1.9744264761188415E-2"/>
    <s v="Backlog"/>
    <n v="0.9439119630812921"/>
    <n v="6.6073837415690448"/>
    <n v="28.317358892438762"/>
    <b v="1"/>
  </r>
  <r>
    <x v="499"/>
    <n v="150"/>
    <n v="157"/>
    <n v="201"/>
    <n v="11242"/>
    <n v="396"/>
    <n v="11399"/>
    <x v="452"/>
    <n v="1.0141987829614604E-3"/>
    <s v="Backlog"/>
    <n v="0.95148697254145098"/>
    <n v="6.6604088077901569"/>
    <n v="28.544609176243529"/>
    <b v="0"/>
  </r>
  <r>
    <x v="500"/>
    <n v="116"/>
    <n v="181"/>
    <n v="182"/>
    <n v="11192"/>
    <n v="335"/>
    <n v="11373"/>
    <x v="453"/>
    <n v="-3.592152528322741E-3"/>
    <s v="No Backlog"/>
    <n v="0.9546293853864416"/>
    <n v="6.6824056977050912"/>
    <n v="28.638881561593248"/>
    <b v="0"/>
  </r>
  <r>
    <x v="501"/>
    <n v="141"/>
    <n v="173"/>
    <n v="129"/>
    <n v="11077"/>
    <n v="259"/>
    <n v="11250"/>
    <x v="454"/>
    <n v="-1.1462377518949898E-2"/>
    <s v="No Backlog"/>
    <n v="0.96160000000000001"/>
    <n v="6.7312000000000003"/>
    <n v="28.847999999999999"/>
    <b v="1"/>
  </r>
  <r>
    <x v="502"/>
    <n v="96"/>
    <n v="160"/>
    <n v="233"/>
    <n v="10998"/>
    <n v="304"/>
    <n v="11158"/>
    <x v="455"/>
    <n v="-2.1881428838601086E-2"/>
    <s v="No Backlog"/>
    <n v="0.95841548664635234"/>
    <n v="6.7089084065244666"/>
    <n v="28.752464599390571"/>
    <b v="0"/>
  </r>
  <r>
    <x v="503"/>
    <n v="158"/>
    <n v="226"/>
    <n v="191"/>
    <n v="10871"/>
    <n v="411"/>
    <n v="11097"/>
    <x v="456"/>
    <n v="-2.7724665391969409E-3"/>
    <s v="No Backlog"/>
    <n v="0.94259709831485983"/>
    <n v="6.5981796882040191"/>
    <n v="28.277912949445795"/>
    <b v="1"/>
  </r>
  <r>
    <x v="504"/>
    <n v="141"/>
    <n v="232"/>
    <n v="188"/>
    <n v="10897"/>
    <n v="466"/>
    <n v="11129"/>
    <x v="457"/>
    <n v="2.3967021378583069E-3"/>
    <s v="Backlog"/>
    <n v="0.93728097762602214"/>
    <n v="6.5609668433821549"/>
    <n v="28.118429328780664"/>
    <b v="1"/>
  </r>
  <r>
    <x v="505"/>
    <n v="123"/>
    <n v="233"/>
    <n v="159"/>
    <n v="10832"/>
    <n v="376"/>
    <n v="11065"/>
    <x v="458"/>
    <n v="4.2081101759755164E-3"/>
    <s v="Backlog"/>
    <n v="0.94496159060099416"/>
    <n v="6.6147311342069592"/>
    <n v="28.348847718029823"/>
    <b v="1"/>
  </r>
  <r>
    <x v="506"/>
    <n v="123"/>
    <n v="230"/>
    <n v="167"/>
    <n v="10761"/>
    <n v="261"/>
    <n v="10991"/>
    <x v="459"/>
    <n v="-1.3142857142857144E-2"/>
    <s v="No Backlog"/>
    <n v="0.95532708579747061"/>
    <n v="6.6872896005822939"/>
    <n v="28.659812573924118"/>
    <b v="1"/>
  </r>
  <r>
    <x v="507"/>
    <n v="174"/>
    <n v="208"/>
    <n v="256"/>
    <n v="10635"/>
    <n v="273"/>
    <n v="10843"/>
    <x v="460"/>
    <n v="-1.9301293186643507E-2"/>
    <s v="No Backlog"/>
    <n v="0.95563958314119712"/>
    <n v="6.6894770819883798"/>
    <n v="28.669187494235914"/>
    <b v="0"/>
  </r>
  <r>
    <x v="508"/>
    <n v="132"/>
    <n v="235"/>
    <n v="197"/>
    <n v="10579"/>
    <n v="417"/>
    <n v="10814"/>
    <x v="461"/>
    <n v="5.3139145837433578E-3"/>
    <s v="Backlog"/>
    <n v="0.93970778620307005"/>
    <n v="6.5779545034214904"/>
    <n v="28.191233586092103"/>
    <b v="1"/>
  </r>
  <r>
    <x v="509"/>
    <n v="92"/>
    <n v="124"/>
    <n v="93"/>
    <n v="10536"/>
    <n v="320"/>
    <n v="10660"/>
    <x v="462"/>
    <n v="-9.9843382928739236E-3"/>
    <s v="No Backlog"/>
    <n v="0.95834896810506565"/>
    <n v="6.7084427767354597"/>
    <n v="28.75046904315197"/>
    <b v="1"/>
  </r>
  <r>
    <x v="510"/>
    <n v="68"/>
    <n v="107"/>
    <n v="102"/>
    <n v="10398"/>
    <n v="284"/>
    <n v="10505"/>
    <x v="463"/>
    <n v="-1.1271504844769626E-2"/>
    <s v="No Backlog"/>
    <n v="0.9627796287482151"/>
    <n v="6.7394574012375053"/>
    <n v="28.883388862446452"/>
    <b v="1"/>
  </r>
  <r>
    <x v="511"/>
    <n v="74"/>
    <n v="103"/>
    <n v="80"/>
    <n v="10223"/>
    <n v="223"/>
    <n v="10326"/>
    <x v="464"/>
    <n v="-9.1000000000000004E-3"/>
    <s v="No Backlog"/>
    <n v="0.96842920782490804"/>
    <n v="6.7790044547743564"/>
    <n v="29.052876234747242"/>
    <b v="1"/>
  </r>
  <r>
    <x v="512"/>
    <n v="56"/>
    <n v="82"/>
    <n v="68"/>
    <n v="10123"/>
    <n v="214"/>
    <n v="10205"/>
    <x v="465"/>
    <n v="-3.794530225047936E-2"/>
    <s v="No Backlog"/>
    <n v="0.97099461048505631"/>
    <n v="6.796962273395394"/>
    <n v="29.129838314551691"/>
    <b v="1"/>
  </r>
  <r>
    <x v="513"/>
    <n v="90"/>
    <n v="196"/>
    <n v="205"/>
    <n v="9845"/>
    <n v="312"/>
    <n v="10041"/>
    <x v="466"/>
    <n v="2.307772999055911E-3"/>
    <s v="Backlog"/>
    <n v="0.94940742953889057"/>
    <n v="6.645852006772234"/>
    <n v="28.482222886166717"/>
    <b v="0"/>
  </r>
  <r>
    <x v="514"/>
    <n v="128"/>
    <n v="228"/>
    <n v="177"/>
    <n v="9838"/>
    <n v="283"/>
    <n v="10066"/>
    <x v="467"/>
    <n v="-1.0465724751439037E-4"/>
    <s v="No Backlog"/>
    <n v="0.94923504867872044"/>
    <n v="6.6446453407510431"/>
    <n v="28.477051460361615"/>
    <b v="1"/>
  </r>
  <r>
    <x v="515"/>
    <n v="136"/>
    <n v="246"/>
    <n v="123"/>
    <n v="9804"/>
    <n v="250"/>
    <n v="10050"/>
    <x v="468"/>
    <n v="-2.2398995185262716E-2"/>
    <s v="No Backlog"/>
    <n v="0.95064676616915422"/>
    <n v="6.65452736318408"/>
    <n v="28.519402985074628"/>
    <b v="1"/>
  </r>
  <r>
    <x v="516"/>
    <n v="105"/>
    <n v="185"/>
    <n v="158"/>
    <n v="9638"/>
    <n v="298"/>
    <n v="9823"/>
    <x v="469"/>
    <n v="-2.1627408993576017E-2"/>
    <s v="No Backlog"/>
    <n v="0.95082968543214907"/>
    <n v="6.6558077980250436"/>
    <n v="28.524890562964472"/>
    <b v="1"/>
  </r>
  <r>
    <x v="517"/>
    <n v="116"/>
    <n v="188"/>
    <n v="164"/>
    <n v="9573"/>
    <n v="435"/>
    <n v="9761"/>
    <x v="470"/>
    <n v="2.7358284088421975E-2"/>
    <s v="Backlog"/>
    <n v="0.93617457227743062"/>
    <n v="6.5532220059420148"/>
    <n v="28.085237168322919"/>
    <b v="1"/>
  </r>
  <r>
    <x v="518"/>
    <n v="80"/>
    <n v="176"/>
    <n v="125"/>
    <n v="9762"/>
    <n v="374"/>
    <n v="9938"/>
    <x v="471"/>
    <n v="6.1780997017469108E-3"/>
    <s v="Backlog"/>
    <n v="0.94465687261018316"/>
    <n v="6.6125981082712819"/>
    <n v="28.339706178305494"/>
    <b v="1"/>
  </r>
  <r>
    <x v="519"/>
    <n v="150"/>
    <n v="157"/>
    <n v="201"/>
    <n v="9762"/>
    <n v="316"/>
    <n v="9919"/>
    <x v="472"/>
    <n v="-2.9642176582680498E-3"/>
    <s v="No Backlog"/>
    <n v="0.95231374130456703"/>
    <n v="6.666196189131969"/>
    <n v="28.569412239137012"/>
    <b v="0"/>
  </r>
  <r>
    <x v="520"/>
    <n v="116"/>
    <n v="181"/>
    <n v="182"/>
    <n v="9665"/>
    <n v="247"/>
    <n v="9846"/>
    <x v="473"/>
    <n v="-2.0705032915693353E-2"/>
    <s v="No Backlog"/>
    <n v="0.95653057079016857"/>
    <n v="6.6957139955311797"/>
    <n v="28.695917123705058"/>
    <b v="0"/>
  </r>
  <r>
    <x v="521"/>
    <n v="141"/>
    <n v="173"/>
    <n v="129"/>
    <n v="9510"/>
    <n v="287"/>
    <n v="9683"/>
    <x v="474"/>
    <n v="-6.3970508511330369E-3"/>
    <s v="No Backlog"/>
    <n v="0.95249406175771967"/>
    <n v="6.6674584323040378"/>
    <n v="28.574821852731588"/>
    <b v="1"/>
  </r>
  <r>
    <x v="522"/>
    <n v="96"/>
    <n v="160"/>
    <n v="233"/>
    <n v="9477"/>
    <n v="313"/>
    <n v="9637"/>
    <x v="475"/>
    <n v="1.7459624618070713E-2"/>
    <s v="Backlog"/>
    <n v="0.95091833558161254"/>
    <n v="6.6564283490712874"/>
    <n v="28.527550067448377"/>
    <b v="0"/>
  </r>
  <r>
    <x v="523"/>
    <n v="158"/>
    <n v="226"/>
    <n v="191"/>
    <n v="9634"/>
    <n v="310"/>
    <n v="9860"/>
    <x v="476"/>
    <n v="-7.7220077220077222E-3"/>
    <s v="No Backlog"/>
    <n v="0.94563894523326575"/>
    <n v="6.6194726166328604"/>
    <n v="28.369168356997971"/>
    <b v="1"/>
  </r>
  <r>
    <x v="524"/>
    <n v="141"/>
    <n v="232"/>
    <n v="188"/>
    <n v="9483"/>
    <n v="231"/>
    <n v="9715"/>
    <x v="477"/>
    <n v="-3.0479896238651102E-2"/>
    <s v="No Backlog"/>
    <n v="0.95234173957797219"/>
    <n v="6.6663921770458057"/>
    <n v="28.570252187339165"/>
    <b v="1"/>
  </r>
  <r>
    <x v="525"/>
    <n v="123"/>
    <n v="233"/>
    <n v="159"/>
    <n v="9286"/>
    <n v="316"/>
    <n v="9519"/>
    <x v="478"/>
    <n v="-7.4693422519509474E-3"/>
    <s v="No Backlog"/>
    <n v="0.94232587456665617"/>
    <n v="6.5962811219665936"/>
    <n v="28.269776236999686"/>
    <b v="1"/>
  </r>
  <r>
    <x v="526"/>
    <n v="123"/>
    <n v="230"/>
    <n v="167"/>
    <n v="9273"/>
    <n v="370"/>
    <n v="9503"/>
    <x v="479"/>
    <n v="2.3475233067505336E-2"/>
    <s v="Backlog"/>
    <n v="0.93686204356518998"/>
    <n v="6.5580343049563297"/>
    <n v="28.105861306955699"/>
    <b v="1"/>
  </r>
  <r>
    <x v="527"/>
    <n v="174"/>
    <n v="208"/>
    <n v="256"/>
    <n v="9442"/>
    <n v="330"/>
    <n v="9650"/>
    <x v="480"/>
    <n v="-1.5474100087796313E-2"/>
    <s v="No Backlog"/>
    <n v="0.94424870466321242"/>
    <n v="6.6097409326424872"/>
    <n v="28.327461139896371"/>
    <b v="0"/>
  </r>
  <r>
    <x v="528"/>
    <n v="132"/>
    <n v="235"/>
    <n v="197"/>
    <n v="9250"/>
    <n v="279"/>
    <n v="9485"/>
    <x v="481"/>
    <n v="-2.1625236874372979E-2"/>
    <s v="No Backlog"/>
    <n v="0.94580917237743811"/>
    <n v="6.6206642066420667"/>
    <n v="28.374275171323145"/>
    <b v="1"/>
  </r>
  <r>
    <x v="529"/>
    <n v="33"/>
    <n v="53"/>
    <n v="34"/>
    <n v="9072"/>
    <n v="295"/>
    <n v="9125"/>
    <x v="482"/>
    <n v="-3.3040902358436822E-3"/>
    <s v="No Backlog"/>
    <n v="0.96186301369863014"/>
    <n v="6.7330410958904112"/>
    <n v="28.855890410958903"/>
    <b v="1"/>
  </r>
  <r>
    <x v="530"/>
    <n v="29"/>
    <n v="51"/>
    <n v="11"/>
    <n v="9026"/>
    <n v="278"/>
    <n v="9077"/>
    <x v="483"/>
    <n v="-2.754915409236397E-2"/>
    <s v="No Backlog"/>
    <n v="0.96375454445301312"/>
    <n v="6.7462818111710918"/>
    <n v="28.912636333590392"/>
    <b v="1"/>
  </r>
  <r>
    <x v="531"/>
    <n v="91"/>
    <n v="75"/>
    <n v="97"/>
    <n v="8925"/>
    <n v="418"/>
    <n v="9000"/>
    <x v="484"/>
    <n v="3.9731985423768663E-2"/>
    <s v="Backlog"/>
    <n v="0.94522222222222219"/>
    <n v="6.6165555555555553"/>
    <n v="28.356666666666666"/>
    <b v="0"/>
  </r>
  <r>
    <x v="532"/>
    <n v="62"/>
    <n v="97"/>
    <n v="52"/>
    <n v="9235"/>
    <n v="390"/>
    <n v="9332"/>
    <x v="485"/>
    <n v="2.4081401921989824E-2"/>
    <s v="Backlog"/>
    <n v="0.94781397342477491"/>
    <n v="6.6346978139734247"/>
    <n v="28.434419202743246"/>
    <b v="1"/>
  </r>
  <r>
    <x v="533"/>
    <n v="59"/>
    <n v="64"/>
    <n v="117"/>
    <n v="9351"/>
    <n v="293"/>
    <n v="9415"/>
    <x v="486"/>
    <n v="4.1951865754029588E-3"/>
    <s v="Backlog"/>
    <n v="0.96208178438661707"/>
    <n v="6.7345724907063191"/>
    <n v="28.862453531598511"/>
    <b v="0"/>
  </r>
  <r>
    <x v="534"/>
    <n v="84"/>
    <n v="118"/>
    <n v="136"/>
    <n v="9396"/>
    <n v="300"/>
    <n v="9514"/>
    <x v="487"/>
    <n v="1.4291996481970097E-3"/>
    <s v="Backlog"/>
    <n v="0.95606474668908981"/>
    <n v="6.6924532268236288"/>
    <n v="28.681942400672693"/>
    <b v="0"/>
  </r>
  <r>
    <x v="535"/>
    <n v="86"/>
    <n v="152"/>
    <n v="168"/>
    <n v="9436"/>
    <n v="327"/>
    <n v="9588"/>
    <x v="488"/>
    <n v="-6.2575474805137777E-3"/>
    <s v="No Backlog"/>
    <n v="0.95004171881518562"/>
    <n v="6.6502920317062992"/>
    <n v="28.501251564455568"/>
    <b v="0"/>
  </r>
  <r>
    <x v="536"/>
    <n v="106"/>
    <n v="196"/>
    <n v="131"/>
    <n v="9506"/>
    <n v="454"/>
    <n v="9702"/>
    <x v="489"/>
    <n v="9.5117101193106499E-2"/>
    <s v="Backlog"/>
    <n v="0.93300350443207591"/>
    <n v="6.5310245310245314"/>
    <n v="27.990105132962277"/>
    <b v="1"/>
  </r>
  <r>
    <x v="537"/>
    <n v="113"/>
    <n v="162"/>
    <n v="107"/>
    <n v="10319"/>
    <n v="406"/>
    <n v="10481"/>
    <x v="490"/>
    <n v="2.0679915262786241E-2"/>
    <s v="Backlog"/>
    <n v="0.94580669783417615"/>
    <n v="6.6206468848392328"/>
    <n v="28.374200935025286"/>
    <b v="1"/>
  </r>
  <r>
    <x v="538"/>
    <n v="92"/>
    <n v="124"/>
    <n v="93"/>
    <n v="10511"/>
    <n v="393"/>
    <n v="10635"/>
    <x v="491"/>
    <n v="1.9470251037754498E-2"/>
    <s v="Backlog"/>
    <n v="0.951386929948284"/>
    <n v="6.659708509637988"/>
    <n v="28.541607898448518"/>
    <b v="1"/>
  </r>
  <r>
    <x v="539"/>
    <n v="68"/>
    <n v="107"/>
    <n v="102"/>
    <n v="10630"/>
    <n v="315"/>
    <n v="10737"/>
    <x v="492"/>
    <n v="-1.6480853126514784E-3"/>
    <s v="No Backlog"/>
    <n v="0.96069665642171931"/>
    <n v="6.7248765949520353"/>
    <n v="28.820899692651579"/>
    <b v="1"/>
  </r>
  <r>
    <x v="540"/>
    <n v="74"/>
    <n v="103"/>
    <n v="80"/>
    <n v="10629"/>
    <n v="331"/>
    <n v="10732"/>
    <x v="493"/>
    <n v="-1.5634103709458148E-2"/>
    <s v="No Backlog"/>
    <n v="0.95956019381289603"/>
    <n v="6.7169213566902721"/>
    <n v="28.786805814386881"/>
    <b v="1"/>
  </r>
  <r>
    <x v="541"/>
    <n v="56"/>
    <n v="82"/>
    <n v="68"/>
    <n v="10571"/>
    <n v="434"/>
    <n v="10653"/>
    <x v="494"/>
    <n v="4.508237151030877E-2"/>
    <s v="Backlog"/>
    <n v="0.95156294001689667"/>
    <n v="6.6609405801182771"/>
    <n v="28.546888200506899"/>
    <b v="1"/>
  </r>
  <r>
    <x v="542"/>
    <n v="38"/>
    <n v="80"/>
    <n v="82"/>
    <n v="10992"/>
    <n v="398"/>
    <n v="11072"/>
    <x v="495"/>
    <n v="9.4393052671323391E-3"/>
    <s v="Backlog"/>
    <n v="0.95682803468208089"/>
    <n v="6.6977962427745661"/>
    <n v="28.704841040462426"/>
    <b v="0"/>
  </r>
  <r>
    <x v="543"/>
    <n v="65"/>
    <n v="83"/>
    <n v="65"/>
    <n v="10960"/>
    <n v="266"/>
    <n v="11043"/>
    <x v="455"/>
    <n v="-3.8339255657377971E-3"/>
    <s v="No Backlog"/>
    <n v="0.96839626912976551"/>
    <n v="6.7787738839083582"/>
    <n v="29.051888073892965"/>
    <b v="1"/>
  </r>
  <r>
    <x v="544"/>
    <n v="41"/>
    <n v="60"/>
    <n v="71"/>
    <n v="10910"/>
    <n v="257"/>
    <n v="10970"/>
    <x v="496"/>
    <n v="-1.1264432554210082E-2"/>
    <s v="No Backlog"/>
    <n v="0.97110300820419326"/>
    <n v="6.797721057429353"/>
    <n v="29.133090246125796"/>
    <b v="0"/>
  </r>
  <r>
    <x v="545"/>
    <n v="43"/>
    <n v="73"/>
    <n v="64"/>
    <n v="10815"/>
    <n v="282"/>
    <n v="10888"/>
    <x v="497"/>
    <n v="1.6139751257951199E-2"/>
    <s v="Backlog"/>
    <n v="0.96739529757531229"/>
    <n v="6.7717670830271857"/>
    <n v="29.02185892725937"/>
    <b v="1"/>
  </r>
  <r>
    <x v="546"/>
    <n v="35"/>
    <n v="70"/>
    <n v="53"/>
    <n v="11130"/>
    <n v="427"/>
    <n v="11200"/>
    <x v="498"/>
    <n v="-6.5402223675604968E-3"/>
    <s v="No Backlog"/>
    <n v="0.95562499999999995"/>
    <n v="6.6893750000000001"/>
    <n v="28.668749999999999"/>
    <b v="1"/>
  </r>
  <r>
    <x v="547"/>
    <n v="25"/>
    <n v="66"/>
    <n v="94"/>
    <n v="10963"/>
    <n v="330"/>
    <n v="11029"/>
    <x v="499"/>
    <n v="-9.5927772030471176E-3"/>
    <s v="No Backlog"/>
    <n v="0.9640946595339559"/>
    <n v="6.7486626167376915"/>
    <n v="28.922839786018677"/>
    <b v="0"/>
  </r>
  <r>
    <x v="548"/>
    <n v="99"/>
    <n v="156"/>
    <n v="139"/>
    <n v="10818"/>
    <n v="287"/>
    <n v="10974"/>
    <x v="500"/>
    <n v="-8.6411546861646562E-3"/>
    <s v="No Backlog"/>
    <n v="0.95963185711682153"/>
    <n v="6.7174229998177504"/>
    <n v="28.788955713504645"/>
    <b v="1"/>
  </r>
  <r>
    <x v="549"/>
    <n v="107"/>
    <n v="170"/>
    <n v="133"/>
    <n v="10724"/>
    <n v="284"/>
    <n v="10894"/>
    <x v="501"/>
    <n v="-3.2088122605363985E-2"/>
    <s v="No Backlog"/>
    <n v="0.95832568386267669"/>
    <n v="6.7082797870387365"/>
    <n v="28.7497705158803"/>
    <b v="1"/>
  </r>
  <r>
    <x v="550"/>
    <n v="80"/>
    <n v="122"/>
    <n v="152"/>
    <n v="10598"/>
    <n v="493"/>
    <n v="10720"/>
    <x v="502"/>
    <n v="4.2751113310242457E-2"/>
    <s v="Backlog"/>
    <n v="0.94263059701492535"/>
    <n v="6.598414179104477"/>
    <n v="28.27891791044776"/>
    <b v="0"/>
  </r>
  <r>
    <x v="551"/>
    <n v="57"/>
    <n v="162"/>
    <n v="193"/>
    <n v="10984"/>
    <n v="447"/>
    <n v="11146"/>
    <x v="503"/>
    <n v="1.4140647243048306E-2"/>
    <s v="Backlog"/>
    <n v="0.94536156468688315"/>
    <n v="6.617530952808182"/>
    <n v="28.360846940606493"/>
    <b v="0"/>
  </r>
  <r>
    <x v="552"/>
    <n v="161"/>
    <n v="304"/>
    <n v="211"/>
    <n v="11017"/>
    <n v="331"/>
    <n v="11321"/>
    <x v="504"/>
    <n v="-3.7432154220475387E-3"/>
    <s v="No Backlog"/>
    <n v="0.94390954862644638"/>
    <n v="6.6073668403851249"/>
    <n v="28.31728645879339"/>
    <b v="1"/>
  </r>
  <r>
    <x v="553"/>
    <n v="205"/>
    <n v="294"/>
    <n v="177"/>
    <n v="10978"/>
    <n v="332"/>
    <n v="11272"/>
    <x v="505"/>
    <n v="-8.2660154048468902E-3"/>
    <s v="No Backlog"/>
    <n v="0.94446415897799862"/>
    <n v="6.6112491128459903"/>
    <n v="28.333924769339959"/>
    <b v="1"/>
  </r>
  <r>
    <x v="554"/>
    <n v="100"/>
    <n v="255"/>
    <n v="236"/>
    <n v="10842"/>
    <n v="284"/>
    <n v="11097"/>
    <x v="506"/>
    <n v="-2.0553135063458988E-2"/>
    <s v="No Backlog"/>
    <n v="0.95142831395872762"/>
    <n v="6.6599981977110936"/>
    <n v="28.542849418761829"/>
    <b v="1"/>
  </r>
  <r>
    <x v="555"/>
    <n v="269"/>
    <n v="412"/>
    <n v="204"/>
    <n v="10744"/>
    <n v="403"/>
    <n v="11156"/>
    <x v="507"/>
    <n v="2.8817329078425685E-2"/>
    <s v="Backlog"/>
    <n v="0.9269451416278236"/>
    <n v="6.4886159913947647"/>
    <n v="27.808354248834707"/>
    <b v="1"/>
  </r>
  <r>
    <x v="556"/>
    <n v="168"/>
    <n v="285"/>
    <n v="210"/>
    <n v="11067"/>
    <n v="428"/>
    <n v="11352"/>
    <x v="508"/>
    <n v="5.733621580975656E-3"/>
    <s v="Backlog"/>
    <n v="0.93719168428470756"/>
    <n v="6.560341789992953"/>
    <n v="28.115750528541227"/>
    <b v="1"/>
  </r>
  <r>
    <x v="557"/>
    <n v="187"/>
    <n v="310"/>
    <n v="247"/>
    <n v="11064"/>
    <n v="364"/>
    <n v="11374"/>
    <x v="509"/>
    <n v="1.2616822429906542E-2"/>
    <s v="Backlog"/>
    <n v="0.94074204325654998"/>
    <n v="6.5851943027958502"/>
    <n v="28.222261297696498"/>
    <b v="1"/>
  </r>
  <r>
    <x v="558"/>
    <n v="133"/>
    <n v="287"/>
    <n v="189"/>
    <n v="11095"/>
    <n v="260"/>
    <n v="11382"/>
    <x v="510"/>
    <n v="-2.3627134287032763E-2"/>
    <s v="No Backlog"/>
    <n v="0.95194166227376564"/>
    <n v="6.6635916359163598"/>
    <n v="28.558249868212968"/>
    <b v="1"/>
  </r>
  <r>
    <x v="559"/>
    <n v="180"/>
    <n v="337"/>
    <n v="219"/>
    <n v="10892"/>
    <n v="313"/>
    <n v="11229"/>
    <x v="511"/>
    <n v="-1.9567066830513281E-2"/>
    <s v="No Backlog"/>
    <n v="0.94211416867040698"/>
    <n v="6.5947991806928492"/>
    <n v="28.263425060112208"/>
    <b v="1"/>
  </r>
  <r>
    <x v="560"/>
    <n v="153"/>
    <n v="253"/>
    <n v="286"/>
    <n v="10799"/>
    <n v="427"/>
    <n v="11052"/>
    <x v="512"/>
    <n v="4.9170844581565756E-3"/>
    <s v="Backlog"/>
    <n v="0.93847267462902639"/>
    <n v="6.5693087224031848"/>
    <n v="28.154180238870794"/>
    <b v="0"/>
  </r>
  <r>
    <x v="561"/>
    <n v="209"/>
    <n v="353"/>
    <n v="232"/>
    <n v="10837"/>
    <n v="414"/>
    <n v="11190"/>
    <x v="513"/>
    <n v="-8.4428667370238901E-3"/>
    <s v="No Backlog"/>
    <n v="0.93145665773011621"/>
    <n v="6.5201966041108133"/>
    <n v="27.943699731903486"/>
    <b v="1"/>
  </r>
  <r>
    <x v="562"/>
    <n v="167"/>
    <n v="326"/>
    <n v="213"/>
    <n v="10678"/>
    <n v="343"/>
    <n v="11004"/>
    <x v="514"/>
    <n v="-1.9351717464925012E-4"/>
    <s v="No Backlog"/>
    <n v="0.93920392584514723"/>
    <n v="6.5744274809160306"/>
    <n v="28.176117775354417"/>
    <b v="1"/>
  </r>
  <r>
    <x v="563"/>
    <n v="224"/>
    <n v="315"/>
    <n v="152"/>
    <n v="10649"/>
    <n v="316"/>
    <n v="10964"/>
    <x v="515"/>
    <n v="-1.1419723216877963E-2"/>
    <s v="No Backlog"/>
    <n v="0.94244801167457137"/>
    <n v="6.5971360817219997"/>
    <n v="28.273440350237141"/>
    <b v="1"/>
  </r>
  <r>
    <x v="564"/>
    <n v="132"/>
    <n v="243"/>
    <n v="183"/>
    <n v="10492"/>
    <n v="277"/>
    <n v="10735"/>
    <x v="516"/>
    <n v="-3.0837004405286344E-2"/>
    <s v="No Backlog"/>
    <n v="0.95156031672100605"/>
    <n v="6.6609222170470428"/>
    <n v="28.546809501630182"/>
    <b v="1"/>
  </r>
  <r>
    <x v="565"/>
    <n v="218"/>
    <n v="283"/>
    <n v="208"/>
    <n v="10282"/>
    <n v="382"/>
    <n v="10565"/>
    <x v="517"/>
    <n v="1.2222222222222223E-2"/>
    <s v="Backlog"/>
    <n v="0.93705631803123524"/>
    <n v="6.5593942262186467"/>
    <n v="28.111689540937057"/>
    <b v="1"/>
  </r>
  <r>
    <x v="566"/>
    <n v="118"/>
    <n v="245"/>
    <n v="160"/>
    <n v="10419"/>
    <n v="398"/>
    <n v="10664"/>
    <x v="518"/>
    <n v="4.3907793633369925E-3"/>
    <s v="Backlog"/>
    <n v="0.93970367591897974"/>
    <n v="6.5779257314328579"/>
    <n v="28.191110277569393"/>
    <b v="1"/>
  </r>
  <r>
    <x v="567"/>
    <n v="81"/>
    <n v="230"/>
    <n v="242"/>
    <n v="10356"/>
    <n v="291"/>
    <n v="10586"/>
    <x v="519"/>
    <n v="-1.6492796820665675E-2"/>
    <s v="No Backlog"/>
    <n v="0.95078405441148683"/>
    <n v="6.6554883808804082"/>
    <n v="28.523521632344604"/>
    <b v="0"/>
  </r>
  <r>
    <x v="568"/>
    <n v="236"/>
    <n v="330"/>
    <n v="222"/>
    <n v="10142"/>
    <n v="243"/>
    <n v="10472"/>
    <x v="520"/>
    <n v="-2.0608142236589553E-2"/>
    <s v="No Backlog"/>
    <n v="0.94528265851795268"/>
    <n v="6.6169786096256686"/>
    <n v="28.358479755538582"/>
    <b v="1"/>
  </r>
  <r>
    <x v="569"/>
    <n v="196"/>
    <n v="306"/>
    <n v="187"/>
    <n v="9988"/>
    <n v="293"/>
    <n v="10294"/>
    <x v="521"/>
    <n v="-6.1887570912841673E-3"/>
    <s v="No Backlog"/>
    <n v="0.94181076355158344"/>
    <n v="6.5926753448610844"/>
    <n v="28.254322906547504"/>
    <b v="1"/>
  </r>
  <r>
    <x v="570"/>
    <n v="113"/>
    <n v="280"/>
    <n v="237"/>
    <n v="10140"/>
    <n v="505"/>
    <n v="10420"/>
    <x v="522"/>
    <n v="2.8956927867151011E-2"/>
    <s v="Backlog"/>
    <n v="0.92466410748560457"/>
    <n v="6.4726487523992322"/>
    <n v="27.739923224568138"/>
    <b v="1"/>
  </r>
  <r>
    <x v="571"/>
    <n v="239"/>
    <n v="367"/>
    <n v="224"/>
    <n v="10280"/>
    <n v="366"/>
    <n v="10647"/>
    <x v="523"/>
    <n v="-2.0173492031470646E-3"/>
    <s v="No Backlog"/>
    <n v="0.93115431576970042"/>
    <n v="6.518080210387903"/>
    <n v="27.934629473091015"/>
    <b v="1"/>
  </r>
  <r>
    <x v="572"/>
    <n v="152"/>
    <n v="272"/>
    <n v="214"/>
    <n v="10180"/>
    <n v="286"/>
    <n v="10452"/>
    <x v="524"/>
    <n v="-2.7289266221952699E-2"/>
    <s v="No Backlog"/>
    <n v="0.94661308840413316"/>
    <n v="6.6262916188289323"/>
    <n v="28.398392652123995"/>
    <b v="1"/>
  </r>
  <r>
    <x v="573"/>
    <n v="170"/>
    <n v="297"/>
    <n v="196"/>
    <n v="10012"/>
    <n v="388"/>
    <n v="10309"/>
    <x v="525"/>
    <n v="-2.4833748960931004E-2"/>
    <s v="No Backlog"/>
    <n v="0.93355320593656033"/>
    <n v="6.5348724415559225"/>
    <n v="28.00659617809681"/>
    <b v="1"/>
  </r>
  <r>
    <x v="574"/>
    <n v="191"/>
    <n v="283"/>
    <n v="192"/>
    <n v="9873"/>
    <n v="488"/>
    <n v="10156"/>
    <x v="526"/>
    <n v="2.1097496004262119E-2"/>
    <s v="Backlog"/>
    <n v="0.92408428515163454"/>
    <n v="6.4685899960614419"/>
    <n v="27.722528554549037"/>
    <b v="1"/>
  </r>
  <r>
    <x v="575"/>
    <n v="109"/>
    <n v="214"/>
    <n v="173"/>
    <n v="10026"/>
    <n v="443"/>
    <n v="10240"/>
    <x v="527"/>
    <n v="2.1183345507669833E-2"/>
    <s v="Backlog"/>
    <n v="0.93583984374999996"/>
    <n v="6.5508789062499995"/>
    <n v="28.0751953125"/>
    <b v="1"/>
  </r>
  <r>
    <x v="576"/>
    <n v="155"/>
    <n v="212"/>
    <n v="181"/>
    <n v="10071"/>
    <n v="285"/>
    <n v="10283"/>
    <x v="528"/>
    <n v="-9.7077457592479044E-3"/>
    <s v="No Backlog"/>
    <n v="0.95166780122532335"/>
    <n v="6.6616746085772638"/>
    <n v="28.550034036759701"/>
    <b v="1"/>
  </r>
  <r>
    <x v="577"/>
    <n v="119"/>
    <n v="209"/>
    <n v="152"/>
    <n v="9921"/>
    <n v="230"/>
    <n v="10130"/>
    <x v="529"/>
    <n v="-3.1369311732535342E-2"/>
    <s v="No Backlog"/>
    <n v="0.95666337611056274"/>
    <n v="6.6966436327739389"/>
    <n v="28.699901283316883"/>
    <b v="1"/>
  </r>
  <r>
    <x v="578"/>
    <n v="143"/>
    <n v="203"/>
    <n v="163"/>
    <n v="9668"/>
    <n v="281"/>
    <n v="9871"/>
    <x v="530"/>
    <n v="-3.1319910514541388E-2"/>
    <s v="No Backlog"/>
    <n v="0.95096748049842972"/>
    <n v="6.6567723634890079"/>
    <n v="28.529024414952893"/>
    <b v="1"/>
  </r>
  <r>
    <x v="579"/>
    <n v="105"/>
    <n v="210"/>
    <n v="149"/>
    <n v="9483"/>
    <n v="390"/>
    <n v="9693"/>
    <x v="531"/>
    <n v="2.1335092928626415E-2"/>
    <s v="Backlog"/>
    <n v="0.93809965954812746"/>
    <n v="6.5666976168368922"/>
    <n v="28.142989786443824"/>
    <b v="1"/>
  </r>
  <r>
    <x v="580"/>
    <n v="119"/>
    <n v="219"/>
    <n v="210"/>
    <n v="9694"/>
    <n v="407"/>
    <n v="9913"/>
    <x v="532"/>
    <n v="6.3529665123290618E-3"/>
    <s v="Backlog"/>
    <n v="0.93685060022193078"/>
    <n v="6.5579542015535157"/>
    <n v="28.105518006657924"/>
    <b v="1"/>
  </r>
  <r>
    <x v="581"/>
    <n v="148"/>
    <n v="245"/>
    <n v="175"/>
    <n v="9634"/>
    <n v="288"/>
    <n v="9879"/>
    <x v="533"/>
    <n v="-8.3993152150652686E-2"/>
    <s v="No Backlog"/>
    <n v="0.94604717076627187"/>
    <n v="6.6223301953639027"/>
    <n v="28.381415122988155"/>
    <b v="1"/>
  </r>
  <r>
    <x v="582"/>
    <n v="142"/>
    <n v="235"/>
    <n v="139"/>
    <n v="8914"/>
    <n v="353"/>
    <n v="9149"/>
    <x v="534"/>
    <n v="8.8774675855624336E-3"/>
    <s v="Backlog"/>
    <n v="0.93573068094873757"/>
    <n v="6.5501147666411628"/>
    <n v="28.071920428462128"/>
    <b v="1"/>
  </r>
  <r>
    <x v="583"/>
    <n v="118"/>
    <n v="139"/>
    <n v="168"/>
    <n v="8888"/>
    <n v="251"/>
    <n v="9027"/>
    <x v="535"/>
    <n v="-1.3777932152367721E-2"/>
    <s v="No Backlog"/>
    <n v="0.95679627783316712"/>
    <n v="6.6975739448321701"/>
    <n v="28.703888334995014"/>
    <b v="0"/>
  </r>
  <r>
    <x v="584"/>
    <n v="125"/>
    <n v="232"/>
    <n v="192"/>
    <n v="8725"/>
    <n v="207"/>
    <n v="8957"/>
    <x v="536"/>
    <n v="-2.66494482272834E-2"/>
    <s v="No Backlog"/>
    <n v="0.95098805403594955"/>
    <n v="6.6569163782516467"/>
    <n v="28.529641621078486"/>
    <b v="1"/>
  </r>
  <r>
    <x v="585"/>
    <n v="156"/>
    <n v="256"/>
    <n v="176"/>
    <n v="8493"/>
    <n v="202"/>
    <n v="8749"/>
    <x v="537"/>
    <n v="-3.7993004462670364E-2"/>
    <s v="No Backlog"/>
    <n v="0.94765116013258655"/>
    <n v="6.6335581209281056"/>
    <n v="28.429534803977596"/>
    <b v="1"/>
  </r>
  <r>
    <x v="586"/>
    <n v="109"/>
    <n v="245"/>
    <n v="159"/>
    <n v="8298"/>
    <n v="322"/>
    <n v="8543"/>
    <x v="538"/>
    <n v="-2.632898696088265E-3"/>
    <s v="No Backlog"/>
    <n v="0.93362987241016038"/>
    <n v="6.5354091068711231"/>
    <n v="28.008896172304812"/>
    <b v="1"/>
  </r>
  <r>
    <x v="587"/>
    <n v="167"/>
    <n v="209"/>
    <n v="157"/>
    <n v="8294"/>
    <n v="339"/>
    <n v="8503"/>
    <x v="539"/>
    <n v="4.3997485857950975E-3"/>
    <s v="Backlog"/>
    <n v="0.93555215806186054"/>
    <n v="6.5488651064330234"/>
    <n v="28.066564741855817"/>
    <b v="1"/>
  </r>
  <r>
    <x v="588"/>
    <n v="84"/>
    <n v="171"/>
    <n v="157"/>
    <n v="8261"/>
    <n v="271"/>
    <n v="8432"/>
    <x v="540"/>
    <n v="-6.8836045056320403E-3"/>
    <s v="No Backlog"/>
    <n v="0.94758064516129037"/>
    <n v="6.6330645161290329"/>
    <n v="28.427419354838712"/>
    <b v="1"/>
  </r>
  <r>
    <x v="589"/>
    <n v="87"/>
    <n v="246"/>
    <n v="173"/>
    <n v="8103"/>
    <n v="168"/>
    <n v="8349"/>
    <x v="541"/>
    <n v="-4.4738500315059861E-2"/>
    <s v="No Backlog"/>
    <n v="0.95041322314049592"/>
    <n v="6.6528925619834718"/>
    <n v="28.512396694214878"/>
    <b v="1"/>
  </r>
  <r>
    <x v="590"/>
    <n v="136"/>
    <n v="276"/>
    <n v="178"/>
    <n v="7800"/>
    <n v="220"/>
    <n v="8076"/>
    <x v="542"/>
    <n v="-2.8232189973614777E-2"/>
    <s v="No Backlog"/>
    <n v="0.93858345715700842"/>
    <n v="6.5700842000990587"/>
    <n v="28.157503714710252"/>
    <b v="1"/>
  </r>
  <r>
    <x v="591"/>
    <n v="166"/>
    <n v="277"/>
    <n v="229"/>
    <n v="7671"/>
    <n v="305"/>
    <n v="7948"/>
    <x v="543"/>
    <n v="1.7512897094759707E-2"/>
    <s v="Backlog"/>
    <n v="0.92677403120281832"/>
    <n v="6.4874182184197284"/>
    <n v="27.80322093608455"/>
    <b v="1"/>
  </r>
  <r>
    <x v="592"/>
    <n v="110"/>
    <n v="272"/>
    <n v="193"/>
    <n v="7754"/>
    <n v="259"/>
    <n v="8026"/>
    <x v="544"/>
    <n v="-8.4056037358238821E-3"/>
    <s v="No Backlog"/>
    <n v="0.9338400199352106"/>
    <n v="6.536880139546474"/>
    <n v="28.015200598056317"/>
    <b v="1"/>
  </r>
  <r>
    <x v="593"/>
    <n v="202"/>
    <n v="313"/>
    <n v="158"/>
    <n v="7647"/>
    <n v="215"/>
    <n v="7960"/>
    <x v="545"/>
    <n v="-7.8040904198062432E-3"/>
    <s v="No Backlog"/>
    <n v="0.93366834170854274"/>
    <n v="6.5356783919597987"/>
    <n v="28.010050251256281"/>
    <b v="1"/>
  </r>
  <r>
    <x v="594"/>
    <n v="134"/>
    <n v="294"/>
    <n v="186"/>
    <n v="7510"/>
    <n v="136"/>
    <n v="7804"/>
    <x v="546"/>
    <n v="-4.62435584486032E-2"/>
    <s v="No Backlog"/>
    <n v="0.94490005125576626"/>
    <n v="6.6143003587903637"/>
    <n v="28.347001537672988"/>
    <b v="1"/>
  </r>
  <r>
    <x v="595"/>
    <n v="180"/>
    <n v="280"/>
    <n v="146"/>
    <n v="7220"/>
    <n v="187"/>
    <n v="7500"/>
    <x v="547"/>
    <n v="-3.6542016209299019E-2"/>
    <s v="No Backlog"/>
    <n v="0.93773333333333331"/>
    <n v="6.5641333333333334"/>
    <n v="28.131999999999998"/>
    <b v="1"/>
  </r>
  <r>
    <x v="596"/>
    <n v="108"/>
    <n v="220"/>
    <n v="213"/>
    <n v="7052"/>
    <n v="276"/>
    <n v="7272"/>
    <x v="548"/>
    <n v="8.7072018890200706E-3"/>
    <s v="Backlog"/>
    <n v="0.93179317931793182"/>
    <n v="6.5225522552255226"/>
    <n v="27.953795379537954"/>
    <b v="1"/>
  </r>
  <r>
    <x v="597"/>
    <n v="147"/>
    <n v="276"/>
    <n v="214"/>
    <n v="7116"/>
    <n v="281"/>
    <n v="7392"/>
    <x v="549"/>
    <n v="-8.778346744696415E-3"/>
    <s v="No Backlog"/>
    <n v="0.92464826839826841"/>
    <n v="6.4725378787878789"/>
    <n v="27.739448051948052"/>
    <b v="1"/>
  </r>
  <r>
    <x v="598"/>
    <n v="104"/>
    <n v="230"/>
    <n v="206"/>
    <n v="7001"/>
    <n v="226"/>
    <n v="7231"/>
    <x v="550"/>
    <n v="-1.2103321033210332E-2"/>
    <s v="No Backlog"/>
    <n v="0.93693818282395247"/>
    <n v="6.5585672797676668"/>
    <n v="28.108145484718573"/>
    <b v="1"/>
  </r>
  <r>
    <x v="599"/>
    <n v="174"/>
    <n v="285"/>
    <n v="150"/>
    <n v="6874"/>
    <n v="181"/>
    <n v="7159"/>
    <x v="551"/>
    <n v="-3.3019572687882866E-2"/>
    <s v="No Backlog"/>
    <n v="0.93490710993155468"/>
    <n v="6.544349769520883"/>
    <n v="28.047213297946641"/>
    <b v="1"/>
  </r>
  <r>
    <x v="600"/>
    <n v="113"/>
    <n v="208"/>
    <n v="159"/>
    <n v="6632"/>
    <n v="160"/>
    <n v="6840"/>
    <x v="314"/>
    <n v="-3.4301606922126082E-2"/>
    <s v="No Backlog"/>
    <n v="0.94619883040935671"/>
    <n v="6.6233918128654974"/>
    <n v="28.385964912280702"/>
    <b v="1"/>
  </r>
  <r>
    <x v="601"/>
    <n v="88"/>
    <n v="214"/>
    <n v="160"/>
    <n v="6468"/>
    <n v="218"/>
    <n v="6682"/>
    <x v="223"/>
    <n v="2.0480000000000002E-2"/>
    <s v="Backlog"/>
    <n v="0.9353486979946124"/>
    <n v="6.5474408859622866"/>
    <n v="28.060460939838372"/>
    <b v="1"/>
  </r>
  <r>
    <x v="602"/>
    <n v="130"/>
    <n v="227"/>
    <n v="192"/>
    <n v="6604"/>
    <n v="226"/>
    <n v="6831"/>
    <x v="552"/>
    <n v="-1.050486045782377E-2"/>
    <s v="No Backlog"/>
    <n v="0.93368467281510759"/>
    <n v="6.5357927097057527"/>
    <n v="28.010540184453227"/>
    <b v="1"/>
  </r>
  <r>
    <x v="603"/>
    <n v="84"/>
    <n v="158"/>
    <n v="193"/>
    <n v="6521"/>
    <n v="210"/>
    <n v="6679"/>
    <x v="553"/>
    <n v="6.9719537315797815E-3"/>
    <s v="Backlog"/>
    <n v="0.9449019314268603"/>
    <n v="6.6143135199880216"/>
    <n v="28.347057942805808"/>
    <b v="0"/>
  </r>
  <r>
    <x v="604"/>
    <n v="115"/>
    <n v="216"/>
    <n v="169"/>
    <n v="6498"/>
    <n v="143"/>
    <n v="6714"/>
    <x v="219"/>
    <n v="-2.7065302911093627E-2"/>
    <s v="No Backlog"/>
    <n v="0.94652963955913016"/>
    <n v="6.6257074769139113"/>
    <n v="28.395889186773903"/>
    <b v="1"/>
  </r>
  <r>
    <x v="605"/>
    <n v="167"/>
    <n v="239"/>
    <n v="166"/>
    <n v="6346"/>
    <n v="163"/>
    <n v="6585"/>
    <x v="554"/>
    <n v="-2.6686074721009218E-2"/>
    <s v="No Backlog"/>
    <n v="0.93895216400911163"/>
    <n v="6.5726651480637814"/>
    <n v="28.168564920273347"/>
    <b v="1"/>
  </r>
  <r>
    <x v="606"/>
    <n v="99"/>
    <n v="190"/>
    <n v="176"/>
    <n v="6214"/>
    <n v="196"/>
    <n v="6404"/>
    <x v="555"/>
    <n v="2.6586905948820204E-3"/>
    <s v="Backlog"/>
    <n v="0.93972517176764525"/>
    <n v="6.5780762023735164"/>
    <n v="28.191755153029359"/>
    <b v="1"/>
  </r>
  <r>
    <x v="607"/>
    <n v="101"/>
    <n v="162"/>
    <n v="178"/>
    <n v="6239"/>
    <n v="205"/>
    <n v="6401"/>
    <x v="556"/>
    <n v="-1.325820351342393E-3"/>
    <s v="No Backlog"/>
    <n v="0.94266520856116232"/>
    <n v="6.5986564599281365"/>
    <n v="28.279956256834868"/>
    <b v="0"/>
  </r>
  <r>
    <x v="608"/>
    <n v="107"/>
    <n v="215"/>
    <n v="230"/>
    <n v="6193"/>
    <n v="167"/>
    <n v="6408"/>
    <x v="557"/>
    <n v="-3.8167938931297708E-3"/>
    <s v="No Backlog"/>
    <n v="0.94038701622971288"/>
    <n v="6.58270911360799"/>
    <n v="28.211610486891388"/>
    <b v="0"/>
  </r>
  <r>
    <x v="609"/>
    <n v="184"/>
    <n v="314"/>
    <n v="217"/>
    <n v="6127"/>
    <n v="124"/>
    <n v="6441"/>
    <x v="558"/>
    <n v="-6.8132600366483428E-2"/>
    <s v="No Backlog"/>
    <n v="0.93199813693525846"/>
    <n v="6.5239869585468089"/>
    <n v="27.959944108057755"/>
    <b v="1"/>
  </r>
  <r>
    <x v="610"/>
    <n v="209"/>
    <n v="285"/>
    <n v="184"/>
    <n v="5903"/>
    <n v="309"/>
    <n v="6188"/>
    <x v="559"/>
    <n v="4.4869503038970325E-2"/>
    <s v="Backlog"/>
    <n v="0.90400775694893343"/>
    <n v="6.3280542986425337"/>
    <n v="27.120232708468002"/>
    <b v="1"/>
  </r>
  <r>
    <x v="611"/>
    <n v="81"/>
    <n v="213"/>
    <n v="153"/>
    <n v="6058"/>
    <n v="213"/>
    <n v="6271"/>
    <x v="560"/>
    <n v="-3.4217279726261761E-3"/>
    <s v="No Backlog"/>
    <n v="0.93206825067772281"/>
    <n v="6.5244777547440593"/>
    <n v="27.962047520331684"/>
    <b v="1"/>
  </r>
  <r>
    <x v="612"/>
    <n v="91"/>
    <n v="199"/>
    <n v="172"/>
    <n v="5999"/>
    <n v="174"/>
    <n v="6198"/>
    <x v="561"/>
    <n v="-1.0815450643776824E-2"/>
    <s v="No Backlog"/>
    <n v="0.93981929654727336"/>
    <n v="6.5787350758309131"/>
    <n v="28.1945788964182"/>
    <b v="1"/>
  </r>
  <r>
    <x v="613"/>
    <n v="154"/>
    <n v="225"/>
    <n v="220"/>
    <n v="5917"/>
    <n v="155"/>
    <n v="6142"/>
    <x v="562"/>
    <n v="-2.0305449496702533E-2"/>
    <s v="No Backlog"/>
    <n v="0.93813090198632365"/>
    <n v="6.5669163139042652"/>
    <n v="28.143927059589711"/>
    <b v="1"/>
  </r>
  <r>
    <x v="614"/>
    <n v="186"/>
    <n v="259"/>
    <n v="172"/>
    <n v="5819"/>
    <n v="174"/>
    <n v="6078"/>
    <x v="295"/>
    <n v="-2.5155004428697964E-2"/>
    <s v="No Backlog"/>
    <n v="0.92875946034879897"/>
    <n v="6.5013162224415932"/>
    <n v="27.86278381046397"/>
    <b v="1"/>
  </r>
  <r>
    <x v="615"/>
    <n v="92"/>
    <n v="203"/>
    <n v="173"/>
    <n v="5766"/>
    <n v="263"/>
    <n v="5969"/>
    <x v="563"/>
    <n v="4.4702889333091043E-2"/>
    <s v="Backlog"/>
    <n v="0.9219299715195175"/>
    <n v="6.4535098006366223"/>
    <n v="27.657899145585525"/>
    <b v="1"/>
  </r>
  <r>
    <x v="616"/>
    <n v="124"/>
    <n v="234"/>
    <n v="161"/>
    <n v="5956"/>
    <n v="207"/>
    <n v="6190"/>
    <x v="564"/>
    <n v="4.1746390676639412E-3"/>
    <s v="Backlog"/>
    <n v="0.92875605815831985"/>
    <n v="6.501292407108239"/>
    <n v="27.862681744749594"/>
    <b v="1"/>
  </r>
  <r>
    <x v="617"/>
    <n v="93"/>
    <n v="196"/>
    <n v="169"/>
    <n v="5922"/>
    <n v="149"/>
    <n v="6118"/>
    <x v="299"/>
    <n v="-5.1966048848085919E-4"/>
    <s v="No Backlog"/>
    <n v="0.94360902255639101"/>
    <n v="6.6052631578947372"/>
    <n v="28.30827067669173"/>
    <b v="1"/>
  </r>
  <r>
    <x v="618"/>
    <n v="33"/>
    <n v="53"/>
    <n v="34"/>
    <n v="5904"/>
    <n v="134"/>
    <n v="5957"/>
    <x v="565"/>
    <n v="-4.0381282495667248E-2"/>
    <s v="No Backlog"/>
    <n v="0.96860835991270777"/>
    <n v="6.7802585193889549"/>
    <n v="29.058250797381234"/>
    <b v="1"/>
  </r>
  <r>
    <x v="619"/>
    <n v="29"/>
    <n v="51"/>
    <n v="11"/>
    <n v="5679"/>
    <n v="142"/>
    <n v="5730"/>
    <x v="566"/>
    <n v="4.1358136174823909E-2"/>
    <s v="Backlog"/>
    <n v="0.96631762652705067"/>
    <n v="6.7642233856893546"/>
    <n v="28.98952879581152"/>
    <b v="1"/>
  </r>
  <r>
    <x v="620"/>
    <n v="91"/>
    <n v="75"/>
    <n v="97"/>
    <n v="6038"/>
    <n v="272"/>
    <n v="6113"/>
    <x v="567"/>
    <n v="2.2892819979188347E-2"/>
    <s v="Backlog"/>
    <n v="0.94323572713888437"/>
    <n v="6.6026500899721903"/>
    <n v="28.297071814166532"/>
    <b v="0"/>
  </r>
  <r>
    <x v="621"/>
    <n v="62"/>
    <n v="97"/>
    <n v="52"/>
    <n v="6065"/>
    <n v="167"/>
    <n v="6162"/>
    <x v="568"/>
    <n v="2.8823329942353339E-3"/>
    <s v="Backlog"/>
    <n v="0.95715676728334953"/>
    <n v="6.700097370983447"/>
    <n v="28.714703018500487"/>
    <b v="1"/>
  </r>
  <r>
    <x v="622"/>
    <n v="59"/>
    <n v="64"/>
    <n v="117"/>
    <n v="6061"/>
    <n v="146"/>
    <n v="6125"/>
    <x v="569"/>
    <n v="-1.2003381234150465E-2"/>
    <s v="No Backlog"/>
    <n v="0.96571428571428575"/>
    <n v="6.76"/>
    <n v="28.971428571428572"/>
    <b v="0"/>
  </r>
  <r>
    <x v="623"/>
    <n v="84"/>
    <n v="118"/>
    <n v="136"/>
    <n v="6021"/>
    <n v="177"/>
    <n v="6139"/>
    <x v="570"/>
    <n v="-1.2833675564681724E-2"/>
    <s v="No Backlog"/>
    <n v="0.95194657110278547"/>
    <n v="6.6636259977194978"/>
    <n v="28.558397133083563"/>
    <b v="0"/>
  </r>
  <r>
    <x v="624"/>
    <n v="86"/>
    <n v="152"/>
    <n v="168"/>
    <n v="6007"/>
    <n v="238"/>
    <n v="6159"/>
    <x v="571"/>
    <n v="7.3149592650372686E-2"/>
    <s v="Backlog"/>
    <n v="0.93667803214807599"/>
    <n v="6.556746225036532"/>
    <n v="28.100340964442278"/>
    <b v="0"/>
  </r>
  <r>
    <x v="625"/>
    <n v="106"/>
    <n v="196"/>
    <n v="131"/>
    <n v="6446"/>
    <n v="255"/>
    <n v="6642"/>
    <x v="572"/>
    <n v="1.3568082700694557E-2"/>
    <s v="Backlog"/>
    <n v="0.9320987654320988"/>
    <n v="6.5246913580246915"/>
    <n v="27.962962962962965"/>
    <b v="1"/>
  </r>
  <r>
    <x v="626"/>
    <n v="113"/>
    <n v="162"/>
    <n v="107"/>
    <n v="6483"/>
    <n v="208"/>
    <n v="6645"/>
    <x v="573"/>
    <n v="7.3306772908366532E-3"/>
    <s v="Backlog"/>
    <n v="0.94431903686982699"/>
    <n v="6.6102332580887886"/>
    <n v="28.329571106094811"/>
    <b v="1"/>
  </r>
  <r>
    <x v="627"/>
    <n v="92"/>
    <n v="124"/>
    <n v="93"/>
    <n v="6508"/>
    <n v="187"/>
    <n v="6632"/>
    <x v="574"/>
    <n v="2.0566366081316246E-3"/>
    <s v="Backlog"/>
    <n v="0.95310615199034987"/>
    <n v="6.6717430639324489"/>
    <n v="28.593184559710497"/>
    <b v="1"/>
  </r>
  <r>
    <x v="628"/>
    <n v="68"/>
    <n v="107"/>
    <n v="102"/>
    <n v="6523"/>
    <n v="189"/>
    <n v="6630"/>
    <x v="575"/>
    <n v="-1.1209346384591095E-2"/>
    <s v="No Backlog"/>
    <n v="0.95535444947209658"/>
    <n v="6.6874811463046759"/>
    <n v="28.660633484162897"/>
    <b v="1"/>
  </r>
  <r>
    <x v="629"/>
    <n v="74"/>
    <n v="103"/>
    <n v="80"/>
    <n v="6555"/>
    <n v="292"/>
    <n v="6658"/>
    <x v="576"/>
    <n v="7.2169886635797542E-2"/>
    <s v="Backlog"/>
    <n v="0.94067287473715833"/>
    <n v="6.5847101231601082"/>
    <n v="28.22018624211475"/>
    <b v="1"/>
  </r>
  <r>
    <x v="630"/>
    <n v="56"/>
    <n v="82"/>
    <n v="68"/>
    <n v="7002"/>
    <n v="287"/>
    <n v="7084"/>
    <x v="577"/>
    <n v="1.9061801935964261E-2"/>
    <s v="Backlog"/>
    <n v="0.94791078486730662"/>
    <n v="6.6353754940711465"/>
    <n v="28.437323546019197"/>
    <b v="1"/>
  </r>
  <r>
    <x v="631"/>
    <n v="38"/>
    <n v="80"/>
    <n v="82"/>
    <n v="7053"/>
    <n v="210"/>
    <n v="7133"/>
    <x v="578"/>
    <n v="5.1147157679380393E-3"/>
    <s v="Backlog"/>
    <n v="0.95934389457451286"/>
    <n v="6.7154072620215901"/>
    <n v="28.780316837235386"/>
    <b v="0"/>
  </r>
  <r>
    <x v="632"/>
    <n v="65"/>
    <n v="83"/>
    <n v="65"/>
    <n v="7046"/>
    <n v="168"/>
    <n v="7129"/>
    <x v="579"/>
    <n v="-1.2939808083745275E-2"/>
    <s v="No Backlog"/>
    <n v="0.96479169589002667"/>
    <n v="6.7535418712301869"/>
    <n v="28.9437508767008"/>
    <b v="1"/>
  </r>
  <r>
    <x v="633"/>
    <n v="41"/>
    <n v="60"/>
    <n v="71"/>
    <n v="6996"/>
    <n v="207"/>
    <n v="7056"/>
    <x v="377"/>
    <n v="5.1406687288260422E-2"/>
    <s v="Backlog"/>
    <n v="0.96215986394557829"/>
    <n v="6.7351190476190483"/>
    <n v="28.864795918367349"/>
    <b v="0"/>
  </r>
  <r>
    <x v="634"/>
    <n v="43"/>
    <n v="73"/>
    <n v="64"/>
    <n v="7546"/>
    <n v="408"/>
    <n v="7619"/>
    <x v="580"/>
    <n v="4.132810311011488E-2"/>
    <s v="Backlog"/>
    <n v="0.93686835542722147"/>
    <n v="6.5580784879905503"/>
    <n v="28.106050662816642"/>
    <b v="1"/>
  </r>
  <r>
    <x v="635"/>
    <n v="35"/>
    <n v="70"/>
    <n v="53"/>
    <n v="7709"/>
    <n v="276"/>
    <n v="7779"/>
    <x v="581"/>
    <n v="1.4664334723530204E-2"/>
    <s v="Backlog"/>
    <n v="0.95552127522817842"/>
    <n v="6.6886489265972493"/>
    <n v="28.665638256845352"/>
    <b v="1"/>
  </r>
  <r>
    <x v="636"/>
    <n v="25"/>
    <n v="66"/>
    <n v="94"/>
    <n v="7788"/>
    <n v="246"/>
    <n v="7854"/>
    <x v="582"/>
    <n v="8.7509944311853615E-3"/>
    <s v="Backlog"/>
    <n v="0.96027501909854851"/>
    <n v="6.7219251336898393"/>
    <n v="28.808250572956457"/>
    <b v="0"/>
  </r>
  <r>
    <x v="637"/>
    <n v="99"/>
    <n v="156"/>
    <n v="139"/>
    <n v="7848"/>
    <n v="240"/>
    <n v="8004"/>
    <x v="583"/>
    <n v="-1.6430073606729757E-2"/>
    <s v="No Backlog"/>
    <n v="0.95052473763118439"/>
    <n v="6.6536731634182908"/>
    <n v="28.515742128935532"/>
    <b v="1"/>
  </r>
  <r>
    <x v="638"/>
    <n v="107"/>
    <n v="170"/>
    <n v="133"/>
    <n v="7826"/>
    <n v="343"/>
    <n v="7996"/>
    <x v="584"/>
    <n v="8.552719497527729E-2"/>
    <s v="Backlog"/>
    <n v="0.93584292146073034"/>
    <n v="6.5509004502251127"/>
    <n v="28.075287643821909"/>
    <b v="1"/>
  </r>
  <r>
    <x v="639"/>
    <n v="80"/>
    <n v="122"/>
    <n v="152"/>
    <n v="8474"/>
    <n v="351"/>
    <n v="8596"/>
    <x v="585"/>
    <n v="1.7111904468792318E-2"/>
    <s v="Backlog"/>
    <n v="0.94497440670079103"/>
    <n v="6.6148208469055376"/>
    <n v="28.349232201023732"/>
    <b v="0"/>
  </r>
  <r>
    <x v="640"/>
    <n v="57"/>
    <n v="162"/>
    <n v="193"/>
    <n v="8569"/>
    <n v="307"/>
    <n v="8731"/>
    <x v="586"/>
    <n v="4.5993706124425075E-3"/>
    <s v="Backlog"/>
    <n v="0.94628335814912379"/>
    <n v="6.6239835070438664"/>
    <n v="28.388500744473713"/>
    <b v="0"/>
  </r>
  <r>
    <x v="641"/>
    <n v="161"/>
    <n v="304"/>
    <n v="211"/>
    <n v="8572"/>
    <n v="272"/>
    <n v="8876"/>
    <x v="587"/>
    <n v="-7.2289156626506026E-4"/>
    <s v="No Backlog"/>
    <n v="0.93510590356016221"/>
    <n v="6.5457413249211358"/>
    <n v="28.053177106804867"/>
    <b v="1"/>
  </r>
  <r>
    <x v="642"/>
    <n v="205"/>
    <n v="294"/>
    <n v="177"/>
    <n v="8571"/>
    <n v="277"/>
    <n v="8865"/>
    <x v="588"/>
    <n v="-1.6517964793826861E-2"/>
    <s v="No Backlog"/>
    <n v="0.93558939650310213"/>
    <n v="6.5491257755217145"/>
    <n v="28.067681895093063"/>
    <b v="1"/>
  </r>
  <r>
    <x v="643"/>
    <n v="100"/>
    <n v="255"/>
    <n v="236"/>
    <n v="8445"/>
    <n v="288"/>
    <n v="8700"/>
    <x v="589"/>
    <n v="1.5079073188672305E-2"/>
    <s v="Backlog"/>
    <n v="0.9375862068965517"/>
    <n v="6.5631034482758617"/>
    <n v="28.127586206896552"/>
    <b v="1"/>
  </r>
  <r>
    <x v="644"/>
    <n v="269"/>
    <n v="412"/>
    <n v="204"/>
    <n v="8672"/>
    <n v="392"/>
    <n v="9084"/>
    <x v="590"/>
    <n v="1.1714975845410628E-2"/>
    <s v="Backlog"/>
    <n v="0.91149273447820345"/>
    <n v="6.380449141347424"/>
    <n v="27.344782034346103"/>
    <b v="1"/>
  </r>
  <r>
    <x v="645"/>
    <n v="168"/>
    <n v="285"/>
    <n v="210"/>
    <n v="8681"/>
    <n v="304"/>
    <n v="8966"/>
    <x v="591"/>
    <n v="-2.5068640324698581E-3"/>
    <s v="No Backlog"/>
    <n v="0.93430738344858355"/>
    <n v="6.5401516841400849"/>
    <n v="28.029221503457507"/>
    <b v="1"/>
  </r>
  <r>
    <x v="646"/>
    <n v="187"/>
    <n v="310"/>
    <n v="247"/>
    <n v="8606"/>
    <n v="250"/>
    <n v="8916"/>
    <x v="592"/>
    <n v="-3.2312111057922451E-3"/>
    <s v="No Backlog"/>
    <n v="0.9371915657245401"/>
    <n v="6.5603409600717804"/>
    <n v="28.115746971736204"/>
    <b v="1"/>
  </r>
  <r>
    <x v="647"/>
    <n v="133"/>
    <n v="287"/>
    <n v="189"/>
    <n v="8590"/>
    <n v="261"/>
    <n v="8877"/>
    <x v="593"/>
    <n v="-2.6293672709809101E-2"/>
    <s v="No Backlog"/>
    <n v="0.93826743269122448"/>
    <n v="6.567872028838571"/>
    <n v="28.148022980736734"/>
    <b v="1"/>
  </r>
  <r>
    <x v="648"/>
    <n v="180"/>
    <n v="337"/>
    <n v="219"/>
    <n v="8485"/>
    <n v="375"/>
    <n v="8822"/>
    <x v="594"/>
    <n v="4.2909987669543771E-2"/>
    <s v="Backlog"/>
    <n v="0.9192926773974156"/>
    <n v="6.4350487417819089"/>
    <n v="27.578780321922469"/>
    <b v="1"/>
  </r>
  <r>
    <x v="649"/>
    <n v="153"/>
    <n v="253"/>
    <n v="286"/>
    <n v="8790"/>
    <n v="332"/>
    <n v="9043"/>
    <x v="595"/>
    <n v="-2.4828564672499409E-3"/>
    <s v="No Backlog"/>
    <n v="0.93530907884551584"/>
    <n v="6.5471635519186107"/>
    <n v="28.059272365365477"/>
    <b v="0"/>
  </r>
  <r>
    <x v="650"/>
    <n v="209"/>
    <n v="353"/>
    <n v="232"/>
    <n v="8704"/>
    <n v="267"/>
    <n v="9057"/>
    <x v="596"/>
    <n v="-3.3187151831219628E-3"/>
    <s v="No Backlog"/>
    <n v="0.9315446615877222"/>
    <n v="6.5208126311140555"/>
    <n v="27.946339847631666"/>
    <b v="1"/>
  </r>
  <r>
    <x v="651"/>
    <n v="167"/>
    <n v="326"/>
    <n v="213"/>
    <n v="8654"/>
    <n v="245"/>
    <n v="8980"/>
    <x v="597"/>
    <n v="-1.831371149958378E-2"/>
    <s v="No Backlog"/>
    <n v="0.93641425389755006"/>
    <n v="6.5548997772828503"/>
    <n v="28.092427616926503"/>
    <b v="1"/>
  </r>
  <r>
    <x v="652"/>
    <n v="224"/>
    <n v="315"/>
    <n v="152"/>
    <n v="8492"/>
    <n v="237"/>
    <n v="8807"/>
    <x v="598"/>
    <n v="-2.3743185947910358E-2"/>
    <s v="No Backlog"/>
    <n v="0.93732258430793691"/>
    <n v="6.5612580901555582"/>
    <n v="28.119677529238107"/>
    <b v="1"/>
  </r>
  <r>
    <x v="653"/>
    <n v="132"/>
    <n v="243"/>
    <n v="183"/>
    <n v="8352"/>
    <n v="293"/>
    <n v="8595"/>
    <x v="599"/>
    <n v="-2.6057823551309096E-2"/>
    <s v="No Backlog"/>
    <n v="0.93763816172193137"/>
    <n v="6.5634671320535194"/>
    <n v="28.129144851657941"/>
    <b v="1"/>
  </r>
  <r>
    <x v="654"/>
    <n v="218"/>
    <n v="283"/>
    <n v="208"/>
    <n v="8159"/>
    <n v="310"/>
    <n v="8442"/>
    <x v="600"/>
    <n v="1.5288571792585043E-3"/>
    <s v="Backlog"/>
    <n v="0.92975598199478793"/>
    <n v="6.5082918739635156"/>
    <n v="27.892679459843638"/>
    <b v="1"/>
  </r>
  <r>
    <x v="655"/>
    <n v="118"/>
    <n v="245"/>
    <n v="160"/>
    <n v="8117"/>
    <n v="256"/>
    <n v="8362"/>
    <x v="601"/>
    <n v="-5.851672815163465E-3"/>
    <s v="No Backlog"/>
    <n v="0.94008610380291802"/>
    <n v="6.5806027266204259"/>
    <n v="28.202583114087542"/>
    <b v="1"/>
  </r>
  <r>
    <x v="656"/>
    <n v="81"/>
    <n v="230"/>
    <n v="242"/>
    <n v="8017"/>
    <n v="202"/>
    <n v="8247"/>
    <x v="602"/>
    <n v="-2.9686500319897634E-2"/>
    <s v="No Backlog"/>
    <n v="0.94761731538741356"/>
    <n v="6.6333212077118953"/>
    <n v="28.428519461622408"/>
    <b v="0"/>
  </r>
  <r>
    <x v="657"/>
    <n v="236"/>
    <n v="330"/>
    <n v="222"/>
    <n v="7796"/>
    <n v="213"/>
    <n v="8126"/>
    <x v="603"/>
    <n v="-4.1540287485164182E-2"/>
    <s v="No Backlog"/>
    <n v="0.93317745508245142"/>
    <n v="6.53224218557716"/>
    <n v="27.995323652473544"/>
    <b v="1"/>
  </r>
  <r>
    <x v="658"/>
    <n v="196"/>
    <n v="306"/>
    <n v="187"/>
    <n v="7534"/>
    <n v="266"/>
    <n v="7840"/>
    <x v="604"/>
    <n v="-1.3483764446890478E-2"/>
    <s v="No Backlog"/>
    <n v="0.92704081632653057"/>
    <n v="6.4892857142857139"/>
    <n v="27.811224489795919"/>
    <b v="1"/>
  </r>
  <r>
    <x v="659"/>
    <n v="113"/>
    <n v="280"/>
    <n v="237"/>
    <n v="7490"/>
    <n v="320"/>
    <n v="7770"/>
    <x v="605"/>
    <n v="-5.9972105997210604E-3"/>
    <s v="No Backlog"/>
    <n v="0.92277992277992282"/>
    <n v="6.4594594594594597"/>
    <n v="27.683397683397686"/>
    <b v="1"/>
  </r>
  <r>
    <x v="660"/>
    <n v="239"/>
    <n v="367"/>
    <n v="224"/>
    <n v="7356"/>
    <n v="229"/>
    <n v="7723"/>
    <x v="606"/>
    <n v="2.1046723726673216E-3"/>
    <s v="Backlog"/>
    <n v="0.92282791661271524"/>
    <n v="6.4597954162890066"/>
    <n v="27.684837498381459"/>
    <b v="1"/>
  </r>
  <r>
    <x v="661"/>
    <n v="152"/>
    <n v="272"/>
    <n v="214"/>
    <n v="7376"/>
    <n v="234"/>
    <n v="7648"/>
    <x v="607"/>
    <n v="-6.4407728927471297E-3"/>
    <s v="No Backlog"/>
    <n v="0.93383891213389125"/>
    <n v="6.5368723849372383"/>
    <n v="28.015167364016737"/>
    <b v="1"/>
  </r>
  <r>
    <x v="662"/>
    <n v="170"/>
    <n v="297"/>
    <n v="196"/>
    <n v="7344"/>
    <n v="248"/>
    <n v="7641"/>
    <x v="608"/>
    <n v="1.6910935738444193E-3"/>
    <s v="Backlog"/>
    <n v="0.92867425729616537"/>
    <n v="6.5007198010731573"/>
    <n v="27.860227718884961"/>
    <b v="1"/>
  </r>
  <r>
    <x v="663"/>
    <n v="191"/>
    <n v="283"/>
    <n v="192"/>
    <n v="7380"/>
    <n v="272"/>
    <n v="7663"/>
    <x v="609"/>
    <n v="4.4597636465953855E-2"/>
    <s v="Backlog"/>
    <n v="0.92757405715777108"/>
    <n v="6.4930184001043978"/>
    <n v="27.827221714733131"/>
    <b v="1"/>
  </r>
  <r>
    <x v="664"/>
    <n v="109"/>
    <n v="214"/>
    <n v="173"/>
    <n v="7795"/>
    <n v="370"/>
    <n v="8009"/>
    <x v="610"/>
    <n v="2.2626262626262626E-2"/>
    <s v="Backlog"/>
    <n v="0.92708203271319767"/>
    <n v="6.4895742289923835"/>
    <n v="27.81246098139593"/>
    <b v="1"/>
  </r>
  <r>
    <x v="665"/>
    <n v="155"/>
    <n v="212"/>
    <n v="181"/>
    <n v="7876"/>
    <n v="283"/>
    <n v="8088"/>
    <x v="611"/>
    <n v="1.8701435532727514E-2"/>
    <s v="Backlog"/>
    <n v="0.93879821958456977"/>
    <n v="6.5715875370919887"/>
    <n v="28.163946587537094"/>
    <b v="1"/>
  </r>
  <r>
    <x v="666"/>
    <n v="119"/>
    <n v="209"/>
    <n v="152"/>
    <n v="7922"/>
    <n v="187"/>
    <n v="8131"/>
    <x v="612"/>
    <n v="-2.2495151906916613E-2"/>
    <s v="No Backlog"/>
    <n v="0.95129750338211783"/>
    <n v="6.659082523674825"/>
    <n v="28.538925101463533"/>
    <b v="1"/>
  </r>
  <r>
    <x v="667"/>
    <n v="143"/>
    <n v="203"/>
    <n v="163"/>
    <n v="7826"/>
    <n v="265"/>
    <n v="8029"/>
    <x v="613"/>
    <n v="1.3225763787858748E-3"/>
    <s v="Backlog"/>
    <n v="0.94171129655000618"/>
    <n v="6.5919790758500429"/>
    <n v="28.251338896500187"/>
    <b v="1"/>
  </r>
  <r>
    <x v="668"/>
    <n v="105"/>
    <n v="210"/>
    <n v="149"/>
    <n v="7900"/>
    <n v="329"/>
    <n v="8110"/>
    <x v="614"/>
    <n v="4.2662792233522651E-2"/>
    <s v="Backlog"/>
    <n v="0.9335388409371147"/>
    <n v="6.5347718865598026"/>
    <n v="28.006165228113442"/>
    <b v="1"/>
  </r>
  <r>
    <x v="669"/>
    <n v="119"/>
    <n v="219"/>
    <n v="210"/>
    <n v="8178"/>
    <n v="284"/>
    <n v="8397"/>
    <x v="615"/>
    <n v="2.6602482898403852E-3"/>
    <s v="Backlog"/>
    <n v="0.94009765392402045"/>
    <n v="6.5806835774681431"/>
    <n v="28.202929617720613"/>
    <b v="1"/>
  </r>
  <r>
    <x v="670"/>
    <n v="148"/>
    <n v="245"/>
    <n v="175"/>
    <n v="8175"/>
    <n v="260"/>
    <n v="8420"/>
    <x v="616"/>
    <n v="-1.3392293114339862E-2"/>
    <s v="No Backlog"/>
    <n v="0.94002375296912111"/>
    <n v="6.580166270783848"/>
    <n v="28.200712589073632"/>
    <b v="1"/>
  </r>
  <r>
    <x v="671"/>
    <n v="142"/>
    <n v="235"/>
    <n v="139"/>
    <n v="8068"/>
    <n v="259"/>
    <n v="8303"/>
    <x v="617"/>
    <n v="-4.9942374183634267E-3"/>
    <s v="No Backlog"/>
    <n v="0.94050343249427915"/>
    <n v="6.583524027459954"/>
    <n v="28.215102974828376"/>
    <b v="1"/>
  </r>
  <r>
    <x v="672"/>
    <n v="118"/>
    <n v="139"/>
    <n v="168"/>
    <n v="8054"/>
    <n v="284"/>
    <n v="8193"/>
    <x v="618"/>
    <n v="-1.1969111969111969E-2"/>
    <s v="No Backlog"/>
    <n v="0.9483705602343464"/>
    <n v="6.6385939216404246"/>
    <n v="28.451116807030392"/>
    <b v="0"/>
  </r>
  <r>
    <x v="673"/>
    <n v="125"/>
    <n v="232"/>
    <n v="192"/>
    <n v="7981"/>
    <n v="304"/>
    <n v="8213"/>
    <x v="619"/>
    <n v="1.5891624332421517E-2"/>
    <s v="Backlog"/>
    <n v="0.93473761110434672"/>
    <n v="6.5431632777304269"/>
    <n v="28.042128333130403"/>
    <b v="1"/>
  </r>
  <r>
    <x v="674"/>
    <n v="156"/>
    <n v="256"/>
    <n v="176"/>
    <n v="8158"/>
    <n v="359"/>
    <n v="8414"/>
    <x v="434"/>
    <n v="1.820746249519169E-2"/>
    <s v="Backlog"/>
    <n v="0.9269075350606133"/>
    <n v="6.4883527454242929"/>
    <n v="27.8072260518184"/>
    <b v="1"/>
  </r>
  <r>
    <x v="675"/>
    <n v="109"/>
    <n v="245"/>
    <n v="159"/>
    <n v="8208"/>
    <n v="267"/>
    <n v="8453"/>
    <x v="620"/>
    <n v="-1.0703941569071906E-2"/>
    <s v="No Backlog"/>
    <n v="0.93942978824086121"/>
    <n v="6.5760085176860281"/>
    <n v="28.182893647225836"/>
    <b v="1"/>
  </r>
  <r>
    <x v="676"/>
    <n v="167"/>
    <n v="209"/>
    <n v="157"/>
    <n v="8079"/>
    <n v="223"/>
    <n v="8288"/>
    <x v="621"/>
    <n v="-1.2347250509164969E-2"/>
    <s v="No Backlog"/>
    <n v="0.94787644787644787"/>
    <n v="6.6351351351351351"/>
    <n v="28.436293436293436"/>
    <b v="1"/>
  </r>
  <r>
    <x v="677"/>
    <n v="84"/>
    <n v="171"/>
    <n v="157"/>
    <n v="7994"/>
    <n v="235"/>
    <n v="8165"/>
    <x v="622"/>
    <n v="-3.4025003222064698E-2"/>
    <s v="No Backlog"/>
    <n v="0.95027556644213107"/>
    <n v="6.6519289650949176"/>
    <n v="28.508266993263931"/>
    <b v="1"/>
  </r>
  <r>
    <x v="678"/>
    <n v="87"/>
    <n v="246"/>
    <n v="173"/>
    <n v="7847"/>
    <n v="352"/>
    <n v="8093"/>
    <x v="544"/>
    <n v="3.6824549699799869E-2"/>
    <s v="Backlog"/>
    <n v="0.92610898307179046"/>
    <n v="6.4827628815025333"/>
    <n v="27.783269492153714"/>
    <b v="1"/>
  </r>
  <r>
    <x v="679"/>
    <n v="136"/>
    <n v="276"/>
    <n v="178"/>
    <n v="8102"/>
    <n v="331"/>
    <n v="8378"/>
    <x v="623"/>
    <n v="1.0294685368678419E-2"/>
    <s v="Backlog"/>
    <n v="0.92754834089281446"/>
    <n v="6.4928383862497014"/>
    <n v="27.826450226784434"/>
    <b v="1"/>
  </r>
  <r>
    <x v="680"/>
    <n v="166"/>
    <n v="277"/>
    <n v="229"/>
    <n v="8097"/>
    <n v="246"/>
    <n v="8374"/>
    <x v="624"/>
    <n v="-2.8021908037192712E-3"/>
    <s v="No Backlog"/>
    <n v="0.93754478146644371"/>
    <n v="6.5628134702651062"/>
    <n v="28.12634344399331"/>
    <b v="1"/>
  </r>
  <r>
    <x v="681"/>
    <n v="110"/>
    <n v="272"/>
    <n v="193"/>
    <n v="8050"/>
    <n v="221"/>
    <n v="8322"/>
    <x v="625"/>
    <n v="-2.2608251373100012E-2"/>
    <s v="No Backlog"/>
    <n v="0.94075943282864694"/>
    <n v="6.5853160298005289"/>
    <n v="28.222782984859407"/>
    <b v="1"/>
  </r>
  <r>
    <x v="682"/>
    <n v="202"/>
    <n v="313"/>
    <n v="158"/>
    <n v="7931"/>
    <n v="279"/>
    <n v="8244"/>
    <x v="626"/>
    <n v="-9.5399895452169363E-3"/>
    <s v="No Backlog"/>
    <n v="0.92819019893255705"/>
    <n v="6.497331392527899"/>
    <n v="27.845705967976713"/>
    <b v="1"/>
  </r>
  <r>
    <x v="683"/>
    <n v="134"/>
    <n v="294"/>
    <n v="186"/>
    <n v="7885"/>
    <n v="306"/>
    <n v="8179"/>
    <x v="627"/>
    <n v="1.3458239873334213E-2"/>
    <s v="Backlog"/>
    <n v="0.92664139870399809"/>
    <n v="6.4864897909279868"/>
    <n v="27.799241961119943"/>
    <b v="1"/>
  </r>
  <r>
    <x v="684"/>
    <n v="180"/>
    <n v="280"/>
    <n v="146"/>
    <n v="7989"/>
    <n v="308"/>
    <n v="8269"/>
    <x v="628"/>
    <n v="-6.7699518291889074E-3"/>
    <s v="No Backlog"/>
    <n v="0.92889103881968804"/>
    <n v="6.5022372717378163"/>
    <n v="27.866731164590639"/>
    <b v="1"/>
  </r>
  <r>
    <x v="685"/>
    <n v="108"/>
    <n v="220"/>
    <n v="213"/>
    <n v="7915"/>
    <n v="286"/>
    <n v="8135"/>
    <x v="629"/>
    <n v="0"/>
    <s v="No Backlog"/>
    <n v="0.93779963122311005"/>
    <n v="6.5645974185617701"/>
    <n v="28.133988936693303"/>
    <b v="1"/>
  </r>
  <r>
    <x v="686"/>
    <n v="147"/>
    <n v="276"/>
    <n v="214"/>
    <n v="7810"/>
    <n v="181"/>
    <n v="8086"/>
    <x v="629"/>
    <n v="-4.076550006553939E-2"/>
    <s v="No Backlog"/>
    <n v="0.9434825624536235"/>
    <n v="6.6043779371753644"/>
    <n v="28.304476873608706"/>
    <b v="1"/>
  </r>
  <r>
    <x v="687"/>
    <n v="104"/>
    <n v="230"/>
    <n v="206"/>
    <n v="7567"/>
    <n v="249"/>
    <n v="7797"/>
    <x v="360"/>
    <n v="1.7491117791746377E-2"/>
    <s v="Backlog"/>
    <n v="0.93856611517250221"/>
    <n v="6.5699628062075153"/>
    <n v="28.156983455175066"/>
    <b v="1"/>
  </r>
  <r>
    <x v="688"/>
    <n v="174"/>
    <n v="285"/>
    <n v="150"/>
    <n v="7786"/>
    <n v="340"/>
    <n v="8071"/>
    <x v="630"/>
    <n v="1.98764437281762E-2"/>
    <s v="Backlog"/>
    <n v="0.92256225994300578"/>
    <n v="6.4579358196010404"/>
    <n v="27.676867798290175"/>
    <b v="1"/>
  </r>
  <r>
    <x v="689"/>
    <n v="113"/>
    <n v="208"/>
    <n v="159"/>
    <n v="7885"/>
    <n v="291"/>
    <n v="8093"/>
    <x v="631"/>
    <n v="7.9009744535159341E-4"/>
    <s v="Backlog"/>
    <n v="0.93834177684418629"/>
    <n v="6.5683924379093037"/>
    <n v="28.150253305325588"/>
    <b v="1"/>
  </r>
  <r>
    <x v="690"/>
    <n v="88"/>
    <n v="214"/>
    <n v="160"/>
    <n v="7859"/>
    <n v="259"/>
    <n v="8073"/>
    <x v="632"/>
    <n v="-8.552631578947369E-3"/>
    <s v="No Backlog"/>
    <n v="0.94140963706181102"/>
    <n v="6.5898674594326767"/>
    <n v="28.24228911185433"/>
    <b v="1"/>
  </r>
  <r>
    <x v="691"/>
    <n v="130"/>
    <n v="227"/>
    <n v="192"/>
    <n v="7870"/>
    <n v="335"/>
    <n v="8097"/>
    <x v="633"/>
    <n v="1.167883211678832E-2"/>
    <s v="Backlog"/>
    <n v="0.93059157712733109"/>
    <n v="6.5141410398913173"/>
    <n v="27.917747313819934"/>
    <b v="1"/>
  </r>
  <r>
    <x v="692"/>
    <n v="84"/>
    <n v="158"/>
    <n v="193"/>
    <n v="7930"/>
    <n v="307"/>
    <n v="8088"/>
    <x v="634"/>
    <n v="9.5762823035550303E-3"/>
    <s v="Backlog"/>
    <n v="0.94250741839762608"/>
    <n v="6.5975519287833828"/>
    <n v="28.275222551928781"/>
    <b v="0"/>
  </r>
  <r>
    <x v="693"/>
    <n v="115"/>
    <n v="216"/>
    <n v="169"/>
    <n v="7896"/>
    <n v="200"/>
    <n v="8112"/>
    <x v="635"/>
    <n v="-1.8711018711018712E-2"/>
    <s v="No Backlog"/>
    <n v="0.94871794871794868"/>
    <n v="6.6410256410256405"/>
    <n v="28.46153846153846"/>
    <b v="1"/>
  </r>
  <r>
    <x v="694"/>
    <n v="167"/>
    <n v="239"/>
    <n v="166"/>
    <n v="7800"/>
    <n v="248"/>
    <n v="8039"/>
    <x v="636"/>
    <n v="-3.5222457627118647E-2"/>
    <s v="No Backlog"/>
    <n v="0.93942032591118296"/>
    <n v="6.5759422813782811"/>
    <n v="28.18260977733549"/>
    <b v="1"/>
  </r>
  <r>
    <x v="695"/>
    <n v="99"/>
    <n v="190"/>
    <n v="176"/>
    <n v="7609"/>
    <n v="323"/>
    <n v="7799"/>
    <x v="637"/>
    <n v="3.3214383749656878E-2"/>
    <s v="Backlog"/>
    <n v="0.93422233619694828"/>
    <n v="6.5395563533786376"/>
    <n v="28.026670085908449"/>
    <b v="1"/>
  </r>
  <r>
    <x v="696"/>
    <n v="101"/>
    <n v="162"/>
    <n v="178"/>
    <n v="7914"/>
    <n v="386"/>
    <n v="8076"/>
    <x v="638"/>
    <n v="2.8958554729011689E-2"/>
    <s v="Backlog"/>
    <n v="0.93214462605250126"/>
    <n v="6.5250123823675086"/>
    <n v="27.964338781575037"/>
    <b v="0"/>
  </r>
  <r>
    <x v="697"/>
    <n v="107"/>
    <n v="215"/>
    <n v="230"/>
    <n v="7978"/>
    <n v="232"/>
    <n v="8193"/>
    <x v="639"/>
    <n v="1.0327911179963851E-3"/>
    <s v="Backlog"/>
    <n v="0.94544123031856464"/>
    <n v="6.6180886122299523"/>
    <n v="28.363236909556939"/>
    <b v="0"/>
  </r>
  <r>
    <x v="698"/>
    <n v="184"/>
    <n v="314"/>
    <n v="217"/>
    <n v="7967"/>
    <n v="213"/>
    <n v="8281"/>
    <x v="640"/>
    <n v="-1.8828991488264123E-2"/>
    <s v="No Backlog"/>
    <n v="0.93636034295374959"/>
    <n v="6.5545224006762473"/>
    <n v="28.090810288612488"/>
    <b v="1"/>
  </r>
  <r>
    <x v="699"/>
    <n v="209"/>
    <n v="285"/>
    <n v="184"/>
    <n v="7817"/>
    <n v="209"/>
    <n v="8102"/>
    <x v="583"/>
    <n v="-2.3133543638275498E-2"/>
    <s v="No Backlog"/>
    <n v="0.93902740064181689"/>
    <n v="6.5731918044927182"/>
    <n v="28.170822019254508"/>
    <b v="1"/>
  </r>
  <r>
    <x v="700"/>
    <n v="81"/>
    <n v="213"/>
    <n v="153"/>
    <n v="7793"/>
    <n v="361"/>
    <n v="8006"/>
    <x v="545"/>
    <n v="1.9779332615715822E-2"/>
    <s v="Backlog"/>
    <n v="0.9283037721708719"/>
    <n v="6.4981264051961034"/>
    <n v="27.849113165126155"/>
    <b v="1"/>
  </r>
  <r>
    <x v="701"/>
    <n v="91"/>
    <n v="199"/>
    <n v="172"/>
    <n v="7869"/>
    <n v="290"/>
    <n v="8068"/>
    <x v="627"/>
    <n v="-1.055548225359546E-3"/>
    <s v="No Backlog"/>
    <n v="0.93939018344075365"/>
    <n v="6.5757312840852755"/>
    <n v="28.181705503222609"/>
    <b v="1"/>
  </r>
  <r>
    <x v="702"/>
    <n v="154"/>
    <n v="225"/>
    <n v="220"/>
    <n v="7794"/>
    <n v="223"/>
    <n v="8019"/>
    <x v="614"/>
    <n v="-4.3851538766345267E-2"/>
    <s v="No Backlog"/>
    <n v="0.94413268487342561"/>
    <n v="6.6089287941139796"/>
    <n v="28.323980546202769"/>
    <b v="1"/>
  </r>
  <r>
    <x v="703"/>
    <n v="186"/>
    <n v="259"/>
    <n v="172"/>
    <n v="7483"/>
    <n v="244"/>
    <n v="7742"/>
    <x v="641"/>
    <n v="-1.685315651333057E-2"/>
    <s v="No Backlog"/>
    <n v="0.93502970808576591"/>
    <n v="6.5452079566003611"/>
    <n v="28.050891242572977"/>
    <b v="1"/>
  </r>
  <r>
    <x v="704"/>
    <n v="92"/>
    <n v="203"/>
    <n v="173"/>
    <n v="7434"/>
    <n v="317"/>
    <n v="7637"/>
    <x v="642"/>
    <n v="6.1542784881270199E-2"/>
    <s v="Backlog"/>
    <n v="0.93191043603509227"/>
    <n v="6.5233730522456455"/>
    <n v="27.957313081052767"/>
    <b v="1"/>
  </r>
  <r>
    <x v="705"/>
    <n v="124"/>
    <n v="234"/>
    <n v="161"/>
    <n v="7908"/>
    <n v="353"/>
    <n v="8142"/>
    <x v="643"/>
    <n v="5.6915949702183982E-3"/>
    <s v="Backlog"/>
    <n v="0.92790469172193568"/>
    <n v="6.4953328420535499"/>
    <n v="27.837140751658069"/>
    <b v="1"/>
  </r>
  <r>
    <x v="706"/>
    <n v="93"/>
    <n v="196"/>
    <n v="169"/>
    <n v="7915"/>
    <n v="317"/>
    <n v="8111"/>
    <x v="644"/>
    <n v="7.5019742037378259E-3"/>
    <s v="Backlog"/>
    <n v="0.93675255825422266"/>
    <n v="6.5572679077795586"/>
    <n v="28.102576747626678"/>
    <b v="1"/>
  </r>
  <r>
    <x v="707"/>
    <n v="16"/>
    <n v="20"/>
    <n v="20"/>
    <n v="7855"/>
    <n v="200"/>
    <n v="7875"/>
    <x v="645"/>
    <n v="-1.7112998040496409E-2"/>
    <s v="No Backlog"/>
    <n v="0.97206349206349207"/>
    <n v="6.8044444444444441"/>
    <n v="29.161904761904761"/>
    <b v="0"/>
  </r>
  <r>
    <x v="708"/>
    <n v="11"/>
    <n v="22"/>
    <n v="12"/>
    <n v="7720"/>
    <n v="196"/>
    <n v="7742"/>
    <x v="646"/>
    <n v="-3.7214247740563533E-2"/>
    <s v="No Backlog"/>
    <n v="0.97184190131748904"/>
    <n v="6.8028933092224229"/>
    <n v="29.15525703952467"/>
    <b v="1"/>
  </r>
  <r>
    <x v="709"/>
    <n v="16"/>
    <n v="18"/>
    <n v="15"/>
    <n v="7586"/>
    <n v="342"/>
    <n v="7604"/>
    <x v="357"/>
    <n v="4.6521258972943125E-2"/>
    <s v="Backlog"/>
    <n v="0.95265649658074703"/>
    <n v="6.6685954760652288"/>
    <n v="28.57969489742241"/>
    <b v="1"/>
  </r>
  <r>
    <x v="710"/>
    <n v="15"/>
    <n v="13"/>
    <n v="23"/>
    <n v="7879"/>
    <n v="298"/>
    <n v="7892"/>
    <x v="647"/>
    <n v="1.2003693444136657E-2"/>
    <s v="Backlog"/>
    <n v="0.96059300557526606"/>
    <n v="6.7241510390268626"/>
    <n v="28.817790167257982"/>
    <b v="0"/>
  </r>
  <r>
    <x v="711"/>
    <n v="25"/>
    <n v="32"/>
    <n v="27"/>
    <n v="7903"/>
    <n v="231"/>
    <n v="7935"/>
    <x v="648"/>
    <n v="-3.5192909280500522E-3"/>
    <s v="No Backlog"/>
    <n v="0.96685570258349085"/>
    <n v="6.7679899180844361"/>
    <n v="29.005671077504726"/>
    <b v="1"/>
  </r>
  <r>
    <x v="712"/>
    <n v="26"/>
    <n v="36"/>
    <n v="36"/>
    <n v="7803"/>
    <n v="158"/>
    <n v="7839"/>
    <x v="649"/>
    <n v="-1.2818835840418574E-2"/>
    <s v="No Backlog"/>
    <n v="0.97525194540119908"/>
    <n v="6.8267636178083935"/>
    <n v="29.257558362035972"/>
    <b v="0"/>
  </r>
  <r>
    <x v="713"/>
    <n v="34"/>
    <n v="54"/>
    <n v="29"/>
    <n v="7743"/>
    <n v="196"/>
    <n v="7797"/>
    <x v="650"/>
    <n v="-5.00861269378561E-2"/>
    <s v="No Backlog"/>
    <n v="0.96793638578940622"/>
    <n v="6.7755547005258432"/>
    <n v="29.038091573682188"/>
    <b v="1"/>
  </r>
  <r>
    <x v="714"/>
    <n v="23"/>
    <n v="45"/>
    <n v="11"/>
    <n v="7472"/>
    <n v="303"/>
    <n v="7517"/>
    <x v="651"/>
    <n v="2.6363509555028596E-2"/>
    <s v="Backlog"/>
    <n v="0.95370493547957957"/>
    <n v="6.6759345483570574"/>
    <n v="28.611148064387386"/>
    <b v="1"/>
  </r>
  <r>
    <x v="715"/>
    <n v="20"/>
    <n v="22"/>
    <n v="41"/>
    <n v="7538"/>
    <n v="180"/>
    <n v="7560"/>
    <x v="652"/>
    <n v="-1.3590649633052459E-2"/>
    <s v="No Backlog"/>
    <n v="0.9732804232804233"/>
    <n v="6.8129629629629633"/>
    <n v="29.198412698412699"/>
    <b v="0"/>
  </r>
  <r>
    <x v="716"/>
    <n v="47"/>
    <n v="42"/>
    <n v="47"/>
    <n v="7433"/>
    <n v="175"/>
    <n v="7475"/>
    <x v="653"/>
    <n v="-2.1906861394323504E-2"/>
    <s v="No Backlog"/>
    <n v="0.97096989966555181"/>
    <n v="6.7967892976588624"/>
    <n v="29.129096989966555"/>
    <b v="0"/>
  </r>
  <r>
    <x v="717"/>
    <n v="32"/>
    <n v="50"/>
    <n v="39"/>
    <n v="7280"/>
    <n v="181"/>
    <n v="7330"/>
    <x v="382"/>
    <n v="-2.8736441752359489E-2"/>
    <s v="No Backlog"/>
    <n v="0.96848567530695773"/>
    <n v="6.7793997271487036"/>
    <n v="29.054570259208731"/>
    <b v="1"/>
  </r>
  <r>
    <x v="718"/>
    <n v="32"/>
    <n v="49"/>
    <n v="39"/>
    <n v="7122"/>
    <n v="227"/>
    <n v="7171"/>
    <x v="654"/>
    <n v="-0.11094996374184192"/>
    <s v="No Backlog"/>
    <n v="0.96151164412215873"/>
    <n v="6.7305815088551109"/>
    <n v="28.845349323664763"/>
    <b v="1"/>
  </r>
  <r>
    <x v="719"/>
    <n v="33"/>
    <n v="53"/>
    <n v="34"/>
    <n v="6566"/>
    <n v="436"/>
    <n v="6619"/>
    <x v="655"/>
    <n v="-1"/>
    <s v="No Backlog"/>
    <n v="0.92612177066022061"/>
    <n v="6.4828523946215446"/>
    <n v="27.783653119806619"/>
    <b v="1"/>
  </r>
  <r>
    <x v="720"/>
    <m/>
    <m/>
    <m/>
    <m/>
    <m/>
    <m/>
    <x v="656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d v="2023-01-12T00:00:00"/>
    <n v="6"/>
    <n v="18"/>
    <n v="11"/>
    <n v="2484"/>
    <n v="14"/>
    <n v="2502"/>
    <n v="2470"/>
    <n v="-5.6680161943319842E-3"/>
    <s v="No Backlog"/>
    <n v="0.98721023181454837"/>
    <n v="6.9104716227018388"/>
    <x v="0"/>
    <b v="1"/>
    <x v="0"/>
  </r>
  <r>
    <d v="2023-01-22T00:00:00"/>
    <n v="11"/>
    <n v="50"/>
    <n v="6"/>
    <n v="2472"/>
    <n v="16"/>
    <n v="2522"/>
    <n v="2456"/>
    <n v="6.1074918566775245E-3"/>
    <s v="Backlog"/>
    <n v="0.97383029341792227"/>
    <n v="6.8168120539254557"/>
    <x v="1"/>
    <b v="1"/>
    <x v="1"/>
  </r>
  <r>
    <d v="2023-01-23T00:00:00"/>
    <n v="7"/>
    <n v="31"/>
    <n v="11"/>
    <n v="2481"/>
    <n v="10"/>
    <n v="2512"/>
    <n v="2471"/>
    <n v="-4.8563334682314848E-3"/>
    <s v="No Backlog"/>
    <n v="0.98367834394904463"/>
    <n v="6.8857484076433124"/>
    <x v="2"/>
    <b v="1"/>
    <x v="1"/>
  </r>
  <r>
    <d v="2023-01-24T00:00:00"/>
    <n v="8"/>
    <n v="54"/>
    <n v="15"/>
    <n v="2468"/>
    <n v="9"/>
    <n v="2522"/>
    <n v="2459"/>
    <n v="1.6266775111834079E-3"/>
    <s v="Backlog"/>
    <n v="0.97501982553528943"/>
    <n v="6.8251387787470259"/>
    <x v="3"/>
    <b v="1"/>
    <x v="1"/>
  </r>
  <r>
    <d v="2023-01-25T00:00:00"/>
    <n v="11"/>
    <n v="42"/>
    <n v="9"/>
    <n v="2470"/>
    <n v="7"/>
    <n v="2512"/>
    <n v="2463"/>
    <n v="-3.6540803897685747E-3"/>
    <s v="No Backlog"/>
    <n v="0.98049363057324845"/>
    <n v="6.8634554140127388"/>
    <x v="4"/>
    <b v="1"/>
    <x v="1"/>
  </r>
  <r>
    <d v="2023-01-29T00:00:00"/>
    <n v="8"/>
    <n v="35"/>
    <n v="4"/>
    <n v="2462"/>
    <n v="8"/>
    <n v="2497"/>
    <n v="2454"/>
    <n v="-1.1002444987775062E-2"/>
    <s v="No Backlog"/>
    <n v="0.9827793352022427"/>
    <n v="6.8794553464156989"/>
    <x v="5"/>
    <b v="1"/>
    <x v="2"/>
  </r>
  <r>
    <d v="2023-01-30T00:00:00"/>
    <n v="7"/>
    <n v="47"/>
    <n v="9"/>
    <n v="2437"/>
    <n v="10"/>
    <n v="2484"/>
    <n v="2427"/>
    <n v="1.2360939431396785E-3"/>
    <s v="Backlog"/>
    <n v="0.97705314009661837"/>
    <n v="6.8393719806763285"/>
    <x v="6"/>
    <b v="1"/>
    <x v="2"/>
  </r>
  <r>
    <d v="2023-01-31T00:00:00"/>
    <n v="10"/>
    <n v="54"/>
    <n v="5"/>
    <n v="2439"/>
    <n v="9"/>
    <n v="2493"/>
    <n v="2430"/>
    <n v="2.05761316872428E-3"/>
    <s v="Backlog"/>
    <n v="0.97472924187725629"/>
    <n v="6.8231046931407944"/>
    <x v="7"/>
    <b v="1"/>
    <x v="2"/>
  </r>
  <r>
    <d v="2023-02-01T00:00:00"/>
    <n v="4"/>
    <n v="30"/>
    <n v="7"/>
    <n v="2443"/>
    <n v="8"/>
    <n v="2473"/>
    <n v="2435"/>
    <n v="4.1067761806981519E-4"/>
    <s v="Backlog"/>
    <n v="0.98463404771532548"/>
    <n v="6.8924383340072781"/>
    <x v="8"/>
    <b v="1"/>
    <x v="2"/>
  </r>
  <r>
    <d v="2023-02-02T00:00:00"/>
    <n v="9"/>
    <n v="27"/>
    <n v="9"/>
    <n v="2440"/>
    <n v="4"/>
    <n v="2467"/>
    <n v="2436"/>
    <n v="-7.7996715927750411E-3"/>
    <s v="No Backlog"/>
    <n v="0.9874341305229023"/>
    <n v="6.9120389136603162"/>
    <x v="9"/>
    <b v="1"/>
    <x v="2"/>
  </r>
  <r>
    <d v="2023-02-05T00:00:00"/>
    <n v="4"/>
    <n v="24"/>
    <n v="13"/>
    <n v="2429"/>
    <n v="12"/>
    <n v="2453"/>
    <n v="2417"/>
    <n v="-4.9648324369052548E-3"/>
    <s v="No Backlog"/>
    <n v="0.9853240929474113"/>
    <n v="6.8972686506318794"/>
    <x v="10"/>
    <b v="1"/>
    <x v="3"/>
  </r>
  <r>
    <d v="2023-02-06T00:00:00"/>
    <n v="16"/>
    <n v="39"/>
    <n v="7"/>
    <n v="2418"/>
    <n v="13"/>
    <n v="2457"/>
    <n v="2405"/>
    <n v="2.9106029106029108E-3"/>
    <s v="Backlog"/>
    <n v="0.97883597883597884"/>
    <n v="6.8518518518518521"/>
    <x v="11"/>
    <b v="1"/>
    <x v="3"/>
  </r>
  <r>
    <d v="2023-02-07T00:00:00"/>
    <n v="4"/>
    <n v="32"/>
    <n v="8"/>
    <n v="2419"/>
    <n v="7"/>
    <n v="2451"/>
    <n v="2412"/>
    <n v="-5.3897180762852402E-3"/>
    <s v="No Backlog"/>
    <n v="0.98408812729498163"/>
    <n v="6.8886168910648715"/>
    <x v="12"/>
    <b v="1"/>
    <x v="3"/>
  </r>
  <r>
    <d v="2023-02-08T00:00:00"/>
    <n v="7"/>
    <n v="34"/>
    <n v="6"/>
    <n v="2407"/>
    <n v="8"/>
    <n v="2441"/>
    <n v="2399"/>
    <n v="8.3368070029178826E-4"/>
    <s v="Backlog"/>
    <n v="0.98279393691110206"/>
    <n v="6.879557558377714"/>
    <x v="13"/>
    <b v="1"/>
    <x v="3"/>
  </r>
  <r>
    <d v="2023-02-09T00:00:00"/>
    <n v="4"/>
    <n v="26"/>
    <n v="4"/>
    <n v="2410"/>
    <n v="9"/>
    <n v="2436"/>
    <n v="2401"/>
    <n v="5.8309037900874635E-3"/>
    <s v="Backlog"/>
    <n v="0.98563218390804597"/>
    <n v="6.8994252873563218"/>
    <x v="14"/>
    <b v="1"/>
    <x v="3"/>
  </r>
  <r>
    <d v="2023-02-12T00:00:00"/>
    <n v="4"/>
    <n v="18"/>
    <n v="10"/>
    <n v="2415"/>
    <n v="0"/>
    <n v="2433"/>
    <n v="2415"/>
    <n v="-1.3664596273291925E-2"/>
    <s v="No Backlog"/>
    <n v="0.99260172626387178"/>
    <n v="6.9482120838471024"/>
    <x v="15"/>
    <b v="1"/>
    <x v="4"/>
  </r>
  <r>
    <d v="2023-02-13T00:00:00"/>
    <n v="4"/>
    <n v="24"/>
    <n v="8"/>
    <n v="2389"/>
    <n v="7"/>
    <n v="2413"/>
    <n v="2382"/>
    <n v="-7.556675062972292E-3"/>
    <s v="No Backlog"/>
    <n v="0.98715292167426438"/>
    <n v="6.910070451719851"/>
    <x v="16"/>
    <b v="1"/>
    <x v="4"/>
  </r>
  <r>
    <d v="2023-02-14T00:00:00"/>
    <n v="6"/>
    <n v="47"/>
    <n v="14"/>
    <n v="2375"/>
    <n v="11"/>
    <n v="2422"/>
    <n v="2364"/>
    <n v="-2.5380710659898475E-3"/>
    <s v="No Backlog"/>
    <n v="0.97605284888521882"/>
    <n v="6.8323699421965314"/>
    <x v="17"/>
    <b v="1"/>
    <x v="4"/>
  </r>
  <r>
    <d v="2023-02-15T00:00:00"/>
    <n v="9"/>
    <n v="40"/>
    <n v="9"/>
    <n v="2371"/>
    <n v="13"/>
    <n v="2411"/>
    <n v="2358"/>
    <n v="6.7854113655640372E-3"/>
    <s v="Backlog"/>
    <n v="0.97801742015761095"/>
    <n v="6.8461219411032763"/>
    <x v="18"/>
    <b v="1"/>
    <x v="4"/>
  </r>
  <r>
    <d v="2023-02-16T00:00:00"/>
    <n v="3"/>
    <n v="46"/>
    <n v="22"/>
    <n v="2375"/>
    <n v="1"/>
    <n v="2421"/>
    <n v="2374"/>
    <n v="-1.8112889637742206E-2"/>
    <s v="No Backlog"/>
    <n v="0.9805865344898802"/>
    <n v="6.8641057414291611"/>
    <x v="19"/>
    <b v="1"/>
    <x v="4"/>
  </r>
  <r>
    <d v="2023-02-20T00:00:00"/>
    <n v="18"/>
    <n v="57"/>
    <n v="8"/>
    <n v="2340"/>
    <n v="9"/>
    <n v="2397"/>
    <n v="2331"/>
    <n v="-4.29000429000429E-4"/>
    <s v="No Backlog"/>
    <n v="0.97246558197747179"/>
    <n v="6.8072590738423022"/>
    <x v="20"/>
    <b v="1"/>
    <x v="5"/>
  </r>
  <r>
    <d v="2023-02-21T00:00:00"/>
    <n v="7"/>
    <n v="32"/>
    <n v="3"/>
    <n v="2340"/>
    <n v="10"/>
    <n v="2372"/>
    <n v="2330"/>
    <n v="1.2875536480686696E-3"/>
    <s v="Backlog"/>
    <n v="0.98229342327150082"/>
    <n v="6.8760539629005057"/>
    <x v="21"/>
    <b v="1"/>
    <x v="5"/>
  </r>
  <r>
    <d v="2023-02-22T00:00:00"/>
    <n v="2"/>
    <n v="38"/>
    <n v="8"/>
    <n v="2345"/>
    <n v="12"/>
    <n v="2383"/>
    <n v="2333"/>
    <n v="8.5726532361765965E-4"/>
    <s v="Backlog"/>
    <n v="0.97901804448174568"/>
    <n v="6.8531263113722201"/>
    <x v="22"/>
    <b v="1"/>
    <x v="5"/>
  </r>
  <r>
    <d v="2023-02-23T00:00:00"/>
    <n v="1"/>
    <n v="35"/>
    <n v="6"/>
    <n v="2343"/>
    <n v="8"/>
    <n v="2378"/>
    <n v="2335"/>
    <n v="0"/>
    <s v="No Backlog"/>
    <n v="0.9819175777964676"/>
    <n v="6.8734230445752731"/>
    <x v="23"/>
    <b v="1"/>
    <x v="5"/>
  </r>
  <r>
    <d v="2023-02-26T00:00:00"/>
    <n v="5"/>
    <n v="22"/>
    <n v="3"/>
    <n v="2340"/>
    <n v="5"/>
    <n v="2362"/>
    <n v="2335"/>
    <n v="-9.8501070663811561E-3"/>
    <s v="No Backlog"/>
    <n v="0.9885690093141406"/>
    <n v="6.9199830651989842"/>
    <x v="24"/>
    <b v="1"/>
    <x v="6"/>
  </r>
  <r>
    <d v="2023-02-27T00:00:00"/>
    <n v="6"/>
    <n v="26"/>
    <n v="16"/>
    <n v="2317"/>
    <n v="5"/>
    <n v="2343"/>
    <n v="2312"/>
    <n v="-7.3529411764705881E-3"/>
    <s v="No Backlog"/>
    <n v="0.98676909944515578"/>
    <n v="6.9073836961160904"/>
    <x v="25"/>
    <b v="1"/>
    <x v="6"/>
  </r>
  <r>
    <d v="2023-02-28T00:00:00"/>
    <n v="14"/>
    <n v="48"/>
    <n v="20"/>
    <n v="2302"/>
    <n v="7"/>
    <n v="2350"/>
    <n v="2295"/>
    <n v="-6.5359477124183009E-3"/>
    <s v="No Backlog"/>
    <n v="0.97659574468085109"/>
    <n v="6.8361702127659578"/>
    <x v="26"/>
    <b v="1"/>
    <x v="6"/>
  </r>
  <r>
    <d v="2023-03-01T00:00:00"/>
    <n v="11"/>
    <n v="39"/>
    <n v="12"/>
    <n v="2294"/>
    <n v="14"/>
    <n v="2333"/>
    <n v="2280"/>
    <n v="4.3859649122807015E-3"/>
    <s v="Backlog"/>
    <n v="0.97728246892413206"/>
    <n v="6.8409772824689243"/>
    <x v="27"/>
    <b v="1"/>
    <x v="6"/>
  </r>
  <r>
    <d v="2023-03-02T00:00:00"/>
    <n v="11"/>
    <n v="33"/>
    <n v="5"/>
    <n v="2294"/>
    <n v="4"/>
    <n v="2327"/>
    <n v="2290"/>
    <n v="-1.9650655021834062E-2"/>
    <s v="No Backlog"/>
    <n v="0.98409969918349804"/>
    <n v="6.8886978942844861"/>
    <x v="28"/>
    <b v="1"/>
    <x v="6"/>
  </r>
  <r>
    <d v="2023-03-07T00:00:00"/>
    <n v="6"/>
    <n v="33"/>
    <n v="9"/>
    <n v="2264"/>
    <n v="19"/>
    <n v="2297"/>
    <n v="2245"/>
    <n v="8.9086859688195987E-3"/>
    <s v="Backlog"/>
    <n v="0.97736177622986509"/>
    <n v="6.8415324336090553"/>
    <x v="29"/>
    <b v="1"/>
    <x v="7"/>
  </r>
  <r>
    <d v="2023-03-08T00:00:00"/>
    <n v="8"/>
    <n v="41"/>
    <n v="8"/>
    <n v="2272"/>
    <n v="7"/>
    <n v="2313"/>
    <n v="2265"/>
    <n v="-1.3245033112582781E-3"/>
    <s v="No Backlog"/>
    <n v="0.97924773022049283"/>
    <n v="6.8547341115434497"/>
    <x v="30"/>
    <b v="1"/>
    <x v="7"/>
  </r>
  <r>
    <d v="2023-03-09T00:00:00"/>
    <n v="6"/>
    <n v="33"/>
    <n v="6"/>
    <n v="2270"/>
    <n v="8"/>
    <n v="2303"/>
    <n v="2262"/>
    <n v="-2.2104332449160036E-3"/>
    <s v="No Backlog"/>
    <n v="0.98219713417281806"/>
    <n v="6.8753799392097266"/>
    <x v="31"/>
    <b v="1"/>
    <x v="7"/>
  </r>
  <r>
    <d v="2023-03-13T00:00:00"/>
    <n v="3"/>
    <n v="28"/>
    <n v="5"/>
    <n v="2269"/>
    <n v="12"/>
    <n v="2297"/>
    <n v="2257"/>
    <n v="5.7598582188746125E-3"/>
    <s v="Backlog"/>
    <n v="0.98258598171528078"/>
    <n v="6.8781018720069653"/>
    <x v="32"/>
    <b v="1"/>
    <x v="8"/>
  </r>
  <r>
    <d v="2023-03-14T00:00:00"/>
    <n v="5"/>
    <n v="21"/>
    <n v="10"/>
    <n v="2277"/>
    <n v="7"/>
    <n v="2298"/>
    <n v="2270"/>
    <n v="2.2026431718061676E-3"/>
    <s v="Backlog"/>
    <n v="0.98781549173194083"/>
    <n v="6.9147084421235858"/>
    <x v="33"/>
    <b v="1"/>
    <x v="8"/>
  </r>
  <r>
    <d v="2023-03-15T00:00:00"/>
    <n v="3"/>
    <n v="17"/>
    <n v="14"/>
    <n v="2287"/>
    <n v="12"/>
    <n v="2304"/>
    <n v="2275"/>
    <n v="-5.2747252747252747E-3"/>
    <s v="No Backlog"/>
    <n v="0.98741319444444442"/>
    <n v="6.9118923611111107"/>
    <x v="34"/>
    <b v="1"/>
    <x v="8"/>
  </r>
  <r>
    <d v="2023-03-16T00:00:00"/>
    <n v="6"/>
    <n v="25"/>
    <n v="4"/>
    <n v="2280"/>
    <n v="17"/>
    <n v="2305"/>
    <n v="2263"/>
    <n v="7.5121520106053909E-3"/>
    <s v="Backlog"/>
    <n v="0.98177874186550973"/>
    <n v="6.8724511930585681"/>
    <x v="35"/>
    <b v="1"/>
    <x v="8"/>
  </r>
  <r>
    <d v="2023-03-19T00:00:00"/>
    <n v="6"/>
    <n v="22"/>
    <n v="11"/>
    <n v="2286"/>
    <n v="6"/>
    <n v="2308"/>
    <n v="2280"/>
    <n v="-3.9473684210526317E-3"/>
    <s v="No Backlog"/>
    <n v="0.98786828422876949"/>
    <n v="6.9150779896013868"/>
    <x v="36"/>
    <b v="1"/>
    <x v="9"/>
  </r>
  <r>
    <d v="2023-03-20T00:00:00"/>
    <n v="2"/>
    <n v="31"/>
    <n v="8"/>
    <n v="2282"/>
    <n v="11"/>
    <n v="2313"/>
    <n v="2271"/>
    <n v="-2.2016732716864818E-3"/>
    <s v="No Backlog"/>
    <n v="0.98184176394293121"/>
    <n v="6.8728923476005184"/>
    <x v="37"/>
    <b v="1"/>
    <x v="9"/>
  </r>
  <r>
    <d v="2023-03-21T00:00:00"/>
    <n v="4"/>
    <n v="35"/>
    <n v="12"/>
    <n v="2276"/>
    <n v="10"/>
    <n v="2311"/>
    <n v="2266"/>
    <n v="-7.9435127978817292E-3"/>
    <s v="No Backlog"/>
    <n v="0.98052790999567285"/>
    <n v="6.8636953699697099"/>
    <x v="38"/>
    <b v="1"/>
    <x v="9"/>
  </r>
  <r>
    <d v="2023-03-22T00:00:00"/>
    <n v="4"/>
    <n v="27"/>
    <n v="26"/>
    <n v="2266"/>
    <n v="18"/>
    <n v="2293"/>
    <n v="2248"/>
    <n v="4.4483985765124553E-4"/>
    <s v="Backlog"/>
    <n v="0.98037505451373741"/>
    <n v="6.8626253815961622"/>
    <x v="39"/>
    <b v="1"/>
    <x v="9"/>
  </r>
  <r>
    <d v="2023-03-23T00:00:00"/>
    <n v="12"/>
    <n v="42"/>
    <n v="13"/>
    <n v="2261"/>
    <n v="12"/>
    <n v="2303"/>
    <n v="2249"/>
    <n v="-3.1124944419742106E-3"/>
    <s v="No Backlog"/>
    <n v="0.97655232305688233"/>
    <n v="6.8358662613981762"/>
    <x v="40"/>
    <b v="1"/>
    <x v="9"/>
  </r>
  <r>
    <d v="2023-03-26T00:00:00"/>
    <n v="13"/>
    <n v="39"/>
    <n v="17"/>
    <n v="2251"/>
    <n v="9"/>
    <n v="2290"/>
    <n v="2242"/>
    <n v="-2.6761819803746653E-3"/>
    <s v="No Backlog"/>
    <n v="0.97903930131004369"/>
    <n v="6.8532751091703057"/>
    <x v="41"/>
    <b v="1"/>
    <x v="10"/>
  </r>
  <r>
    <d v="2023-03-27T00:00:00"/>
    <n v="10"/>
    <n v="39"/>
    <n v="6"/>
    <n v="2243"/>
    <n v="7"/>
    <n v="2282"/>
    <n v="2236"/>
    <n v="-2.6833631484794273E-3"/>
    <s v="No Backlog"/>
    <n v="0.97984224364592465"/>
    <n v="6.8588957055214728"/>
    <x v="42"/>
    <b v="1"/>
    <x v="10"/>
  </r>
  <r>
    <d v="2023-03-28T00:00:00"/>
    <n v="9"/>
    <n v="34"/>
    <n v="17"/>
    <n v="2237"/>
    <n v="7"/>
    <n v="2271"/>
    <n v="2230"/>
    <n v="-2.6905829596412557E-3"/>
    <s v="No Backlog"/>
    <n v="0.98194627917217081"/>
    <n v="6.873623954205196"/>
    <x v="43"/>
    <b v="1"/>
    <x v="10"/>
  </r>
  <r>
    <d v="2023-03-29T00:00:00"/>
    <n v="9"/>
    <n v="33"/>
    <n v="15"/>
    <n v="2233"/>
    <n v="9"/>
    <n v="2266"/>
    <n v="2224"/>
    <n v="-6.2949640287769783E-3"/>
    <s v="No Backlog"/>
    <n v="0.98146513680494263"/>
    <n v="6.8702559576345985"/>
    <x v="44"/>
    <b v="1"/>
    <x v="10"/>
  </r>
  <r>
    <d v="2023-03-30T00:00:00"/>
    <n v="8"/>
    <n v="29"/>
    <n v="10"/>
    <n v="2225"/>
    <n v="15"/>
    <n v="2254"/>
    <n v="2210"/>
    <n v="7.6923076923076927E-3"/>
    <s v="Backlog"/>
    <n v="0.98047914818101156"/>
    <n v="6.8633540372670812"/>
    <x v="45"/>
    <b v="1"/>
    <x v="10"/>
  </r>
  <r>
    <d v="2023-04-02T00:00:00"/>
    <n v="7"/>
    <n v="30"/>
    <n v="16"/>
    <n v="2235"/>
    <n v="8"/>
    <n v="2265"/>
    <n v="2227"/>
    <n v="-4.4903457566232603E-3"/>
    <s v="No Backlog"/>
    <n v="0.98322295805739512"/>
    <n v="6.8825607064017662"/>
    <x v="46"/>
    <b v="1"/>
    <x v="11"/>
  </r>
  <r>
    <d v="2023-04-03T00:00:00"/>
    <n v="8"/>
    <n v="24"/>
    <n v="7"/>
    <n v="2223"/>
    <n v="6"/>
    <n v="2247"/>
    <n v="2217"/>
    <n v="-1.6689219666215605E-2"/>
    <s v="No Backlog"/>
    <n v="0.986648865153538"/>
    <n v="6.9065420560747661"/>
    <x v="47"/>
    <b v="1"/>
    <x v="11"/>
  </r>
  <r>
    <d v="2023-04-04T00:00:00"/>
    <n v="11"/>
    <n v="55"/>
    <n v="13"/>
    <n v="2192"/>
    <n v="12"/>
    <n v="2247"/>
    <n v="2180"/>
    <n v="-2.2935779816513763E-3"/>
    <s v="No Backlog"/>
    <n v="0.97018246550956833"/>
    <n v="6.7912772585669785"/>
    <x v="48"/>
    <b v="1"/>
    <x v="11"/>
  </r>
  <r>
    <d v="2023-04-05T00:00:00"/>
    <n v="8"/>
    <n v="49"/>
    <n v="15"/>
    <n v="2192"/>
    <n v="17"/>
    <n v="2241"/>
    <n v="2175"/>
    <n v="1.8390804597701149E-3"/>
    <s v="Backlog"/>
    <n v="0.97054886211512714"/>
    <n v="6.7938420348058903"/>
    <x v="49"/>
    <b v="1"/>
    <x v="11"/>
  </r>
  <r>
    <d v="2023-04-06T00:00:00"/>
    <n v="11"/>
    <n v="45"/>
    <n v="4"/>
    <n v="2189"/>
    <n v="10"/>
    <n v="2234"/>
    <n v="2179"/>
    <n v="-9.1785222579164757E-4"/>
    <s v="No Backlog"/>
    <n v="0.97538048343777972"/>
    <n v="6.8276633840644578"/>
    <x v="50"/>
    <b v="1"/>
    <x v="11"/>
  </r>
  <r>
    <d v="2023-04-09T00:00:00"/>
    <n v="5"/>
    <n v="33"/>
    <n v="15"/>
    <n v="2187"/>
    <n v="10"/>
    <n v="2220"/>
    <n v="2177"/>
    <n v="-5.9715204409738175E-3"/>
    <s v="No Backlog"/>
    <n v="0.98063063063063061"/>
    <n v="6.8644144144144139"/>
    <x v="51"/>
    <b v="1"/>
    <x v="12"/>
  </r>
  <r>
    <d v="2023-04-10T00:00:00"/>
    <n v="8"/>
    <n v="28"/>
    <n v="13"/>
    <n v="2180"/>
    <n v="16"/>
    <n v="2208"/>
    <n v="2164"/>
    <n v="-7.3937153419593345E-3"/>
    <s v="No Backlog"/>
    <n v="0.98007246376811596"/>
    <n v="6.8605072463768115"/>
    <x v="52"/>
    <b v="1"/>
    <x v="12"/>
  </r>
  <r>
    <d v="2023-04-11T00:00:00"/>
    <n v="20"/>
    <n v="51"/>
    <n v="15"/>
    <n v="2164"/>
    <n v="16"/>
    <n v="2215"/>
    <n v="2148"/>
    <n v="4.6554934823091247E-4"/>
    <s v="Backlog"/>
    <n v="0.96975169300225739"/>
    <n v="6.7882618510158022"/>
    <x v="53"/>
    <b v="1"/>
    <x v="12"/>
  </r>
  <r>
    <d v="2023-04-12T00:00:00"/>
    <n v="4"/>
    <n v="33"/>
    <n v="12"/>
    <n v="2163"/>
    <n v="14"/>
    <n v="2196"/>
    <n v="2149"/>
    <n v="1.3959981386691485E-3"/>
    <s v="Backlog"/>
    <n v="0.97859744990892528"/>
    <n v="6.8501821493624773"/>
    <x v="54"/>
    <b v="1"/>
    <x v="12"/>
  </r>
  <r>
    <d v="2023-04-13T00:00:00"/>
    <n v="8"/>
    <n v="32"/>
    <n v="12"/>
    <n v="2159"/>
    <n v="7"/>
    <n v="2191"/>
    <n v="2152"/>
    <n v="-7.8996282527881035E-3"/>
    <s v="No Backlog"/>
    <n v="0.98219990871748064"/>
    <n v="6.8753993610223647"/>
    <x v="55"/>
    <b v="1"/>
    <x v="12"/>
  </r>
  <r>
    <d v="2023-04-16T00:00:00"/>
    <n v="8"/>
    <n v="35"/>
    <n v="12"/>
    <n v="2148"/>
    <n v="13"/>
    <n v="2183"/>
    <n v="2135"/>
    <n v="9.3676814988290398E-4"/>
    <s v="Backlog"/>
    <n v="0.9780119102153001"/>
    <n v="6.8460833715071008"/>
    <x v="56"/>
    <b v="1"/>
    <x v="13"/>
  </r>
  <r>
    <d v="2023-04-17T00:00:00"/>
    <n v="11"/>
    <n v="29"/>
    <n v="12"/>
    <n v="2146"/>
    <n v="9"/>
    <n v="2175"/>
    <n v="2137"/>
    <n v="-1.0762751520823585E-2"/>
    <s v="No Backlog"/>
    <n v="0.9825287356321839"/>
    <n v="6.8777011494252873"/>
    <x v="57"/>
    <b v="1"/>
    <x v="13"/>
  </r>
  <r>
    <d v="2023-04-18T00:00:00"/>
    <n v="6"/>
    <n v="35"/>
    <n v="12"/>
    <n v="2132"/>
    <n v="18"/>
    <n v="2167"/>
    <n v="2114"/>
    <n v="3.3112582781456954E-3"/>
    <s v="Backlog"/>
    <n v="0.97554222427318871"/>
    <n v="6.8287955699123213"/>
    <x v="58"/>
    <b v="1"/>
    <x v="13"/>
  </r>
  <r>
    <d v="2023-04-19T00:00:00"/>
    <n v="3"/>
    <n v="38"/>
    <n v="12"/>
    <n v="2138"/>
    <n v="17"/>
    <n v="2176"/>
    <n v="2121"/>
    <n v="4.2432814710042432E-3"/>
    <s v="Backlog"/>
    <n v="0.97472426470588236"/>
    <n v="6.8230698529411766"/>
    <x v="59"/>
    <b v="1"/>
    <x v="13"/>
  </r>
  <r>
    <d v="2023-04-20T00:00:00"/>
    <n v="11"/>
    <n v="36"/>
    <n v="10"/>
    <n v="2145"/>
    <n v="15"/>
    <n v="2181"/>
    <n v="2130"/>
    <n v="4.6948356807511736E-4"/>
    <s v="Backlog"/>
    <n v="0.97661623108665752"/>
    <n v="6.8363136176066028"/>
    <x v="60"/>
    <b v="1"/>
    <x v="13"/>
  </r>
  <r>
    <d v="2023-04-23T00:00:00"/>
    <n v="17"/>
    <n v="40"/>
    <n v="14"/>
    <n v="2141"/>
    <n v="10"/>
    <n v="2181"/>
    <n v="2131"/>
    <n v="-9.3852651337400278E-4"/>
    <s v="No Backlog"/>
    <n v="0.97707473635946818"/>
    <n v="6.8395231545162769"/>
    <x v="61"/>
    <b v="1"/>
    <x v="14"/>
  </r>
  <r>
    <d v="2023-04-24T00:00:00"/>
    <n v="8"/>
    <n v="35"/>
    <n v="13"/>
    <n v="2134"/>
    <n v="5"/>
    <n v="2169"/>
    <n v="2129"/>
    <n v="-2.2076092062000941E-2"/>
    <s v="No Backlog"/>
    <n v="0.98155832180728442"/>
    <n v="6.8709082526509908"/>
    <x v="62"/>
    <b v="1"/>
    <x v="14"/>
  </r>
  <r>
    <d v="2023-04-25T00:00:00"/>
    <n v="20"/>
    <n v="52"/>
    <n v="11"/>
    <n v="2096"/>
    <n v="14"/>
    <n v="2148"/>
    <n v="2082"/>
    <n v="4.8030739673390969E-4"/>
    <s v="Backlog"/>
    <n v="0.96927374301675973"/>
    <n v="6.7849162011173183"/>
    <x v="63"/>
    <b v="1"/>
    <x v="14"/>
  </r>
  <r>
    <d v="2023-04-26T00:00:00"/>
    <n v="7"/>
    <n v="38"/>
    <n v="5"/>
    <n v="2096"/>
    <n v="13"/>
    <n v="2134"/>
    <n v="2083"/>
    <n v="0"/>
    <s v="No Backlog"/>
    <n v="0.97610121836925956"/>
    <n v="6.832708528584817"/>
    <x v="64"/>
    <b v="1"/>
    <x v="14"/>
  </r>
  <r>
    <d v="2023-04-27T00:00:00"/>
    <n v="7"/>
    <n v="28"/>
    <n v="17"/>
    <n v="2095"/>
    <n v="12"/>
    <n v="2123"/>
    <n v="2083"/>
    <n v="-3.3605376860297649E-3"/>
    <s v="No Backlog"/>
    <n v="0.98115873763542161"/>
    <n v="6.868111163447951"/>
    <x v="65"/>
    <b v="1"/>
    <x v="14"/>
  </r>
  <r>
    <d v="2023-04-30T00:00:00"/>
    <n v="9"/>
    <n v="47"/>
    <n v="10"/>
    <n v="2086"/>
    <n v="10"/>
    <n v="2133"/>
    <n v="2076"/>
    <n v="9.6339113680154141E-4"/>
    <s v="Backlog"/>
    <n v="0.97327707454289736"/>
    <n v="6.8129395218002813"/>
    <x v="66"/>
    <b v="1"/>
    <x v="15"/>
  </r>
  <r>
    <d v="2023-05-01T00:00:00"/>
    <n v="7"/>
    <n v="39"/>
    <n v="13"/>
    <n v="2083"/>
    <n v="5"/>
    <n v="2122"/>
    <n v="2078"/>
    <n v="-1.7805582290664101E-2"/>
    <s v="No Backlog"/>
    <n v="0.97926484448633366"/>
    <n v="6.8548539114043354"/>
    <x v="67"/>
    <b v="1"/>
    <x v="15"/>
  </r>
  <r>
    <d v="2023-05-02T00:00:00"/>
    <n v="12"/>
    <n v="38"/>
    <n v="29"/>
    <n v="2047"/>
    <n v="6"/>
    <n v="2085"/>
    <n v="2041"/>
    <n v="-1.6658500734933857E-2"/>
    <s v="No Backlog"/>
    <n v="0.97889688249400475"/>
    <n v="6.8522781774580332"/>
    <x v="68"/>
    <b v="1"/>
    <x v="15"/>
  </r>
  <r>
    <d v="2023-05-03T00:00:00"/>
    <n v="10"/>
    <n v="47"/>
    <n v="14"/>
    <n v="2025"/>
    <n v="18"/>
    <n v="2072"/>
    <n v="2007"/>
    <n v="9.9651220727453907E-4"/>
    <s v="Backlog"/>
    <n v="0.96862934362934361"/>
    <n v="6.7804054054054053"/>
    <x v="69"/>
    <b v="1"/>
    <x v="15"/>
  </r>
  <r>
    <d v="2023-05-04T00:00:00"/>
    <n v="18"/>
    <n v="42"/>
    <n v="11"/>
    <n v="2023"/>
    <n v="14"/>
    <n v="2065"/>
    <n v="2009"/>
    <n v="4.9776007964161271E-3"/>
    <s v="Backlog"/>
    <n v="0.97288135593220337"/>
    <n v="6.8101694915254232"/>
    <x v="70"/>
    <b v="1"/>
    <x v="15"/>
  </r>
  <r>
    <d v="2023-05-07T00:00:00"/>
    <n v="7"/>
    <n v="25"/>
    <n v="5"/>
    <n v="2025"/>
    <n v="6"/>
    <n v="2050"/>
    <n v="2019"/>
    <n v="0"/>
    <s v="No Backlog"/>
    <n v="0.98487804878048779"/>
    <n v="6.894146341463415"/>
    <x v="71"/>
    <b v="1"/>
    <x v="16"/>
  </r>
  <r>
    <d v="2023-05-08T00:00:00"/>
    <n v="4"/>
    <n v="19"/>
    <n v="9"/>
    <n v="2026"/>
    <n v="7"/>
    <n v="2045"/>
    <n v="2019"/>
    <n v="-8.9153046062407128E-3"/>
    <s v="No Backlog"/>
    <n v="0.98728606356968218"/>
    <n v="6.9110024449877754"/>
    <x v="72"/>
    <b v="1"/>
    <x v="16"/>
  </r>
  <r>
    <d v="2023-05-09T00:00:00"/>
    <n v="11"/>
    <n v="40"/>
    <n v="2"/>
    <n v="2015"/>
    <n v="14"/>
    <n v="2055"/>
    <n v="2001"/>
    <n v="3.9980009995002497E-3"/>
    <s v="Backlog"/>
    <n v="0.97372262773722629"/>
    <n v="6.8160583941605841"/>
    <x v="73"/>
    <b v="1"/>
    <x v="16"/>
  </r>
  <r>
    <d v="2023-05-10T00:00:00"/>
    <n v="4"/>
    <n v="29"/>
    <n v="11"/>
    <n v="2019"/>
    <n v="10"/>
    <n v="2048"/>
    <n v="2009"/>
    <n v="9.9552015928322545E-4"/>
    <s v="Backlog"/>
    <n v="0.98095703125"/>
    <n v="6.86669921875"/>
    <x v="74"/>
    <b v="1"/>
    <x v="16"/>
  </r>
  <r>
    <d v="2023-05-11T00:00:00"/>
    <n v="6"/>
    <n v="35"/>
    <n v="9"/>
    <n v="2020"/>
    <n v="9"/>
    <n v="2055"/>
    <n v="2011"/>
    <n v="-2.9835902536051715E-3"/>
    <s v="No Backlog"/>
    <n v="0.97858880778588808"/>
    <n v="6.8501216545012165"/>
    <x v="75"/>
    <b v="1"/>
    <x v="16"/>
  </r>
  <r>
    <d v="2023-05-14T00:00:00"/>
    <n v="10"/>
    <n v="29"/>
    <n v="17"/>
    <n v="2010"/>
    <n v="5"/>
    <n v="2039"/>
    <n v="2005"/>
    <n v="-1.8952618453865335E-2"/>
    <s v="No Backlog"/>
    <n v="0.98332515939185872"/>
    <n v="6.8832761157430111"/>
    <x v="76"/>
    <b v="1"/>
    <x v="17"/>
  </r>
  <r>
    <d v="2023-05-15T00:00:00"/>
    <n v="8"/>
    <n v="33"/>
    <n v="6"/>
    <n v="1984"/>
    <n v="17"/>
    <n v="2017"/>
    <n v="1967"/>
    <n v="1.0167768174885613E-3"/>
    <s v="Backlog"/>
    <n v="0.97521070897372331"/>
    <n v="6.8264749628160635"/>
    <x v="77"/>
    <b v="1"/>
    <x v="17"/>
  </r>
  <r>
    <d v="2023-05-16T00:00:00"/>
    <n v="5"/>
    <n v="19"/>
    <n v="9"/>
    <n v="1988"/>
    <n v="19"/>
    <n v="2007"/>
    <n v="1969"/>
    <n v="2.5393600812595226E-3"/>
    <s v="Backlog"/>
    <n v="0.98106626806178376"/>
    <n v="6.8674638764324865"/>
    <x v="78"/>
    <b v="1"/>
    <x v="17"/>
  </r>
  <r>
    <d v="2023-05-17T00:00:00"/>
    <n v="10"/>
    <n v="21"/>
    <n v="20"/>
    <n v="1989"/>
    <n v="15"/>
    <n v="2010"/>
    <n v="1974"/>
    <n v="-2.5329280648429585E-3"/>
    <s v="No Backlog"/>
    <n v="0.98208955223880601"/>
    <n v="6.8746268656716421"/>
    <x v="79"/>
    <b v="1"/>
    <x v="17"/>
  </r>
  <r>
    <d v="2023-05-18T00:00:00"/>
    <n v="8"/>
    <n v="30"/>
    <n v="8"/>
    <n v="1980"/>
    <n v="11"/>
    <n v="2010"/>
    <n v="1969"/>
    <n v="3.5551041137633316E-3"/>
    <s v="Backlog"/>
    <n v="0.97960199004975124"/>
    <n v="6.8572139303482587"/>
    <x v="80"/>
    <b v="1"/>
    <x v="17"/>
  </r>
  <r>
    <d v="2023-05-21T00:00:00"/>
    <n v="4"/>
    <n v="21"/>
    <n v="5"/>
    <n v="1981"/>
    <n v="5"/>
    <n v="2002"/>
    <n v="1976"/>
    <n v="-1.2651821862348178E-2"/>
    <s v="No Backlog"/>
    <n v="0.98701298701298701"/>
    <n v="6.9090909090909092"/>
    <x v="81"/>
    <b v="1"/>
    <x v="18"/>
  </r>
  <r>
    <d v="2023-05-22T00:00:00"/>
    <n v="6"/>
    <n v="49"/>
    <n v="8"/>
    <n v="1972"/>
    <n v="21"/>
    <n v="2021"/>
    <n v="1951"/>
    <n v="1.1276268580215274E-2"/>
    <s v="Backlog"/>
    <n v="0.96536368134586836"/>
    <n v="6.7575457694210783"/>
    <x v="82"/>
    <b v="1"/>
    <x v="18"/>
  </r>
  <r>
    <d v="2023-05-23T00:00:00"/>
    <n v="10"/>
    <n v="38"/>
    <n v="10"/>
    <n v="1983"/>
    <n v="10"/>
    <n v="2021"/>
    <n v="1973"/>
    <n v="-2.0273694880892043E-3"/>
    <s v="No Backlog"/>
    <n v="0.97624938149430973"/>
    <n v="6.8337456704601678"/>
    <x v="83"/>
    <b v="1"/>
    <x v="18"/>
  </r>
  <r>
    <d v="2023-05-24T00:00:00"/>
    <n v="5"/>
    <n v="35"/>
    <n v="3"/>
    <n v="1980"/>
    <n v="11"/>
    <n v="2015"/>
    <n v="1969"/>
    <n v="1.015744032503809E-3"/>
    <s v="Backlog"/>
    <n v="0.97717121588089328"/>
    <n v="6.8401985111662533"/>
    <x v="84"/>
    <b v="1"/>
    <x v="18"/>
  </r>
  <r>
    <d v="2023-05-25T00:00:00"/>
    <n v="4"/>
    <n v="20"/>
    <n v="6"/>
    <n v="1985"/>
    <n v="14"/>
    <n v="2005"/>
    <n v="1971"/>
    <n v="8.6250634195839671E-3"/>
    <s v="Backlog"/>
    <n v="0.98304239401496263"/>
    <n v="6.8812967581047388"/>
    <x v="85"/>
    <b v="1"/>
    <x v="18"/>
  </r>
  <r>
    <d v="2023-05-29T00:00:00"/>
    <n v="4"/>
    <n v="14"/>
    <n v="2"/>
    <n v="1991"/>
    <n v="3"/>
    <n v="2005"/>
    <n v="1988"/>
    <n v="-2.5150905432595573E-3"/>
    <s v="No Backlog"/>
    <n v="0.99152119700748131"/>
    <n v="6.9406483790523694"/>
    <x v="86"/>
    <b v="1"/>
    <x v="19"/>
  </r>
  <r>
    <d v="2023-05-30T00:00:00"/>
    <n v="3"/>
    <n v="27"/>
    <n v="4"/>
    <n v="1994"/>
    <n v="11"/>
    <n v="2021"/>
    <n v="1983"/>
    <n v="-1.5128593040847202E-3"/>
    <s v="No Backlog"/>
    <n v="0.98119742701632851"/>
    <n v="6.8683819891142992"/>
    <x v="87"/>
    <b v="1"/>
    <x v="19"/>
  </r>
  <r>
    <d v="2023-05-31T00:00:00"/>
    <n v="6"/>
    <n v="22"/>
    <n v="12"/>
    <n v="1997"/>
    <n v="17"/>
    <n v="2019"/>
    <n v="1980"/>
    <n v="5.0505050505050509E-3"/>
    <s v="Backlog"/>
    <n v="0.98068350668647841"/>
    <n v="6.8647845468053488"/>
    <x v="88"/>
    <b v="1"/>
    <x v="19"/>
  </r>
  <r>
    <d v="2023-06-01T00:00:00"/>
    <n v="8"/>
    <n v="38"/>
    <n v="9"/>
    <n v="1999"/>
    <n v="9"/>
    <n v="2037"/>
    <n v="1990"/>
    <n v="-3.5175879396984926E-3"/>
    <s v="No Backlog"/>
    <n v="0.97692685321551298"/>
    <n v="6.8384879725085908"/>
    <x v="89"/>
    <b v="1"/>
    <x v="19"/>
  </r>
  <r>
    <d v="2023-06-04T00:00:00"/>
    <n v="6"/>
    <n v="23"/>
    <n v="4"/>
    <n v="1999"/>
    <n v="16"/>
    <n v="2022"/>
    <n v="1983"/>
    <n v="5.5471507816439742E-3"/>
    <s v="Backlog"/>
    <n v="0.98071216617210677"/>
    <n v="6.8649851632047474"/>
    <x v="90"/>
    <b v="1"/>
    <x v="20"/>
  </r>
  <r>
    <d v="2023-06-05T00:00:00"/>
    <n v="0"/>
    <n v="18"/>
    <n v="8"/>
    <n v="2006"/>
    <n v="12"/>
    <n v="2024"/>
    <n v="1994"/>
    <n v="1.0030090270812437E-2"/>
    <s v="Backlog"/>
    <n v="0.9851778656126482"/>
    <n v="6.8962450592885371"/>
    <x v="91"/>
    <b v="1"/>
    <x v="20"/>
  </r>
  <r>
    <d v="2023-06-06T00:00:00"/>
    <n v="4"/>
    <n v="18"/>
    <n v="6"/>
    <n v="2031"/>
    <n v="17"/>
    <n v="2049"/>
    <n v="2014"/>
    <n v="4.4687189672293947E-3"/>
    <s v="Backlog"/>
    <n v="0.98291849682772081"/>
    <n v="6.8804294777940456"/>
    <x v="92"/>
    <b v="1"/>
    <x v="20"/>
  </r>
  <r>
    <d v="2023-06-07T00:00:00"/>
    <n v="4"/>
    <n v="17"/>
    <n v="3"/>
    <n v="2036"/>
    <n v="13"/>
    <n v="2053"/>
    <n v="2023"/>
    <n v="2.4715768660405341E-3"/>
    <s v="Backlog"/>
    <n v="0.98538723818801754"/>
    <n v="6.8977106673161224"/>
    <x v="93"/>
    <b v="1"/>
    <x v="20"/>
  </r>
  <r>
    <d v="2023-06-08T00:00:00"/>
    <n v="2"/>
    <n v="21"/>
    <n v="10"/>
    <n v="2042"/>
    <n v="14"/>
    <n v="2063"/>
    <n v="2028"/>
    <n v="-9.8619329388560163E-4"/>
    <s v="No Backlog"/>
    <n v="0.98303441589917595"/>
    <n v="6.8812409112942312"/>
    <x v="94"/>
    <b v="1"/>
    <x v="20"/>
  </r>
  <r>
    <d v="2023-06-11T00:00:00"/>
    <n v="5"/>
    <n v="22"/>
    <n v="11"/>
    <n v="2040"/>
    <n v="14"/>
    <n v="2062"/>
    <n v="2026"/>
    <n v="8.8845014807502464E-3"/>
    <s v="Backlog"/>
    <n v="0.98254122211445194"/>
    <n v="6.8777885548011639"/>
    <x v="95"/>
    <b v="1"/>
    <x v="21"/>
  </r>
  <r>
    <d v="2023-06-12T00:00:00"/>
    <n v="5"/>
    <n v="26"/>
    <n v="3"/>
    <n v="2049"/>
    <n v="5"/>
    <n v="2075"/>
    <n v="2044"/>
    <n v="-4.8923679060665359E-4"/>
    <s v="No Backlog"/>
    <n v="0.98506024096385547"/>
    <n v="6.895421686746988"/>
    <x v="96"/>
    <b v="1"/>
    <x v="21"/>
  </r>
  <r>
    <d v="2023-06-13T00:00:00"/>
    <n v="2"/>
    <n v="9"/>
    <n v="6"/>
    <n v="2058"/>
    <n v="15"/>
    <n v="2067"/>
    <n v="2043"/>
    <n v="1.9579050416054823E-3"/>
    <s v="Backlog"/>
    <n v="0.98838896952104505"/>
    <n v="6.9187227866473151"/>
    <x v="97"/>
    <b v="1"/>
    <x v="21"/>
  </r>
  <r>
    <d v="2023-06-14T00:00:00"/>
    <n v="4"/>
    <n v="15"/>
    <n v="4"/>
    <n v="2063"/>
    <n v="16"/>
    <n v="2078"/>
    <n v="2047"/>
    <n v="6.3507572056668293E-3"/>
    <s v="Backlog"/>
    <n v="0.98508180943214629"/>
    <n v="6.8955726660250241"/>
    <x v="98"/>
    <b v="1"/>
    <x v="21"/>
  </r>
  <r>
    <d v="2023-06-15T00:00:00"/>
    <n v="2"/>
    <n v="8"/>
    <n v="3"/>
    <n v="2072"/>
    <n v="12"/>
    <n v="2080"/>
    <n v="2060"/>
    <n v="2.9126213592233011E-3"/>
    <s v="Backlog"/>
    <n v="0.99038461538461542"/>
    <n v="6.9326923076923084"/>
    <x v="99"/>
    <b v="1"/>
    <x v="21"/>
  </r>
  <r>
    <d v="2023-06-19T00:00:00"/>
    <n v="2"/>
    <n v="9"/>
    <n v="3"/>
    <n v="2080"/>
    <n v="14"/>
    <n v="2089"/>
    <n v="2066"/>
    <n v="8.7124878993223628E-3"/>
    <s v="Backlog"/>
    <n v="0.98898994734322643"/>
    <n v="6.9229296314025852"/>
    <x v="100"/>
    <b v="1"/>
    <x v="22"/>
  </r>
  <r>
    <d v="2023-06-20T00:00:00"/>
    <n v="1"/>
    <n v="12"/>
    <n v="2"/>
    <n v="2088"/>
    <n v="4"/>
    <n v="2100"/>
    <n v="2084"/>
    <n v="-8.1573896353166978E-3"/>
    <s v="No Backlog"/>
    <n v="0.99238095238095236"/>
    <n v="6.9466666666666663"/>
    <x v="101"/>
    <b v="1"/>
    <x v="22"/>
  </r>
  <r>
    <d v="2023-06-21T00:00:00"/>
    <n v="6"/>
    <n v="18"/>
    <n v="7"/>
    <n v="2096"/>
    <n v="29"/>
    <n v="2114"/>
    <n v="2067"/>
    <n v="1.4513788098693759E-2"/>
    <s v="Backlog"/>
    <n v="0.97776726584673601"/>
    <n v="6.8443708609271523"/>
    <x v="102"/>
    <b v="1"/>
    <x v="22"/>
  </r>
  <r>
    <d v="2023-06-22T00:00:00"/>
    <n v="6"/>
    <n v="21"/>
    <n v="5"/>
    <n v="2111"/>
    <n v="14"/>
    <n v="2132"/>
    <n v="2097"/>
    <n v="1.9074868860276585E-3"/>
    <s v="Backlog"/>
    <n v="0.98358348968105069"/>
    <n v="6.8850844277673549"/>
    <x v="103"/>
    <b v="1"/>
    <x v="22"/>
  </r>
  <r>
    <d v="2023-06-25T00:00:00"/>
    <n v="5"/>
    <n v="13"/>
    <n v="3"/>
    <n v="2117"/>
    <n v="16"/>
    <n v="2130"/>
    <n v="2101"/>
    <n v="1.9038553069966682E-3"/>
    <s v="Backlog"/>
    <n v="0.98638497652582158"/>
    <n v="6.9046948356807514"/>
    <x v="104"/>
    <b v="1"/>
    <x v="23"/>
  </r>
  <r>
    <d v="2023-06-26T00:00:00"/>
    <n v="4"/>
    <n v="18"/>
    <n v="7"/>
    <n v="2121"/>
    <n v="16"/>
    <n v="2139"/>
    <n v="2105"/>
    <n v="1.4726840855106888E-2"/>
    <s v="Backlog"/>
    <n v="0.98410472183263209"/>
    <n v="6.8887330528284245"/>
    <x v="105"/>
    <b v="1"/>
    <x v="23"/>
  </r>
  <r>
    <d v="2023-06-27T00:00:00"/>
    <n v="3"/>
    <n v="16"/>
    <n v="2"/>
    <n v="2153"/>
    <n v="17"/>
    <n v="2169"/>
    <n v="2136"/>
    <n v="7.9588014981273412E-3"/>
    <s v="Backlog"/>
    <n v="0.98478561549100974"/>
    <n v="6.8934993084370682"/>
    <x v="106"/>
    <b v="1"/>
    <x v="23"/>
  </r>
  <r>
    <d v="2023-06-28T00:00:00"/>
    <n v="1"/>
    <n v="9"/>
    <n v="0"/>
    <n v="2164"/>
    <n v="11"/>
    <n v="2173"/>
    <n v="2153"/>
    <n v="4.6446818392940084E-4"/>
    <s v="Backlog"/>
    <n v="0.9907961343764381"/>
    <n v="6.9355729406350664"/>
    <x v="107"/>
    <b v="1"/>
    <x v="23"/>
  </r>
  <r>
    <d v="2023-06-29T00:00:00"/>
    <n v="0"/>
    <n v="8"/>
    <n v="5"/>
    <n v="2171"/>
    <n v="17"/>
    <n v="2179"/>
    <n v="2154"/>
    <n v="4.6425255338904364E-4"/>
    <s v="Backlog"/>
    <n v="0.98852684717760442"/>
    <n v="6.9196879302432306"/>
    <x v="108"/>
    <b v="1"/>
    <x v="23"/>
  </r>
  <r>
    <d v="2023-07-02T00:00:00"/>
    <n v="2"/>
    <n v="9"/>
    <n v="1"/>
    <n v="2181"/>
    <n v="26"/>
    <n v="2190"/>
    <n v="2155"/>
    <n v="1.8097447795823667E-2"/>
    <s v="Backlog"/>
    <n v="0.98401826484018262"/>
    <n v="6.8881278538812785"/>
    <x v="109"/>
    <b v="1"/>
    <x v="24"/>
  </r>
  <r>
    <d v="2023-07-04T00:00:00"/>
    <n v="1"/>
    <n v="13"/>
    <n v="4"/>
    <n v="2204"/>
    <n v="10"/>
    <n v="2217"/>
    <n v="2194"/>
    <n v="8.6599817684594356E-3"/>
    <s v="Backlog"/>
    <n v="0.98962562020748757"/>
    <n v="6.9273793414524132"/>
    <x v="110"/>
    <b v="1"/>
    <x v="24"/>
  </r>
  <r>
    <d v="2023-07-05T00:00:00"/>
    <n v="2"/>
    <n v="12"/>
    <n v="3"/>
    <n v="2252"/>
    <n v="39"/>
    <n v="2264"/>
    <n v="2213"/>
    <n v="1.6267510167193855E-2"/>
    <s v="Backlog"/>
    <n v="0.9774734982332155"/>
    <n v="6.8423144876325086"/>
    <x v="111"/>
    <b v="1"/>
    <x v="24"/>
  </r>
  <r>
    <d v="2023-07-06T00:00:00"/>
    <n v="2"/>
    <n v="18"/>
    <n v="0"/>
    <n v="2281"/>
    <n v="32"/>
    <n v="2299"/>
    <n v="2249"/>
    <n v="1.6451756336149401E-2"/>
    <s v="Backlog"/>
    <n v="0.97825141365811219"/>
    <n v="6.8477598956067851"/>
    <x v="112"/>
    <b v="1"/>
    <x v="24"/>
  </r>
  <r>
    <d v="2023-07-09T00:00:00"/>
    <n v="5"/>
    <n v="16"/>
    <n v="8"/>
    <n v="2306"/>
    <n v="20"/>
    <n v="2322"/>
    <n v="2286"/>
    <n v="4.8118985126859139E-3"/>
    <s v="Backlog"/>
    <n v="0.98449612403100772"/>
    <n v="6.8914728682170541"/>
    <x v="113"/>
    <b v="1"/>
    <x v="25"/>
  </r>
  <r>
    <d v="2023-07-10T00:00:00"/>
    <n v="3"/>
    <n v="18"/>
    <n v="8"/>
    <n v="2317"/>
    <n v="20"/>
    <n v="2335"/>
    <n v="2297"/>
    <n v="1.1754462342185459E-2"/>
    <s v="Backlog"/>
    <n v="0.98372591006423982"/>
    <n v="6.8860813704496788"/>
    <x v="114"/>
    <b v="1"/>
    <x v="25"/>
  </r>
  <r>
    <d v="2023-07-11T00:00:00"/>
    <n v="4"/>
    <n v="17"/>
    <n v="2"/>
    <n v="2332"/>
    <n v="8"/>
    <n v="2349"/>
    <n v="2324"/>
    <n v="4.7332185886402754E-3"/>
    <s v="Backlog"/>
    <n v="0.98935717326521921"/>
    <n v="6.9255002128565346"/>
    <x v="115"/>
    <b v="1"/>
    <x v="25"/>
  </r>
  <r>
    <d v="2023-07-12T00:00:00"/>
    <n v="8"/>
    <n v="20"/>
    <n v="9"/>
    <n v="2373"/>
    <n v="38"/>
    <n v="2393"/>
    <n v="2335"/>
    <n v="1.4561027837259101E-2"/>
    <s v="Backlog"/>
    <n v="0.97576264103635602"/>
    <n v="6.8303384872544921"/>
    <x v="116"/>
    <b v="1"/>
    <x v="25"/>
  </r>
  <r>
    <d v="2023-07-13T00:00:00"/>
    <n v="7"/>
    <n v="14"/>
    <n v="6"/>
    <n v="2391"/>
    <n v="22"/>
    <n v="2405"/>
    <n v="2369"/>
    <n v="9.2866188265090764E-3"/>
    <s v="Backlog"/>
    <n v="0.98503118503118503"/>
    <n v="6.895218295218295"/>
    <x v="117"/>
    <b v="1"/>
    <x v="25"/>
  </r>
  <r>
    <d v="2023-07-16T00:00:00"/>
    <n v="9"/>
    <n v="22"/>
    <n v="8"/>
    <n v="2407"/>
    <n v="16"/>
    <n v="2429"/>
    <n v="2391"/>
    <n v="8.3647009619406104E-4"/>
    <s v="Backlog"/>
    <n v="0.9843557019349527"/>
    <n v="6.8904899135446689"/>
    <x v="118"/>
    <b v="1"/>
    <x v="26"/>
  </r>
  <r>
    <d v="2023-07-17T00:00:00"/>
    <n v="5"/>
    <n v="17"/>
    <n v="7"/>
    <n v="2413"/>
    <n v="20"/>
    <n v="2430"/>
    <n v="2393"/>
    <n v="7.9398244880902625E-3"/>
    <s v="Backlog"/>
    <n v="0.98477366255144028"/>
    <n v="6.8934156378600822"/>
    <x v="119"/>
    <b v="1"/>
    <x v="26"/>
  </r>
  <r>
    <d v="2023-07-18T00:00:00"/>
    <n v="3"/>
    <n v="9"/>
    <n v="7"/>
    <n v="2447"/>
    <n v="35"/>
    <n v="2456"/>
    <n v="2412"/>
    <n v="1.4096185737976783E-2"/>
    <s v="Backlog"/>
    <n v="0.98208469055374592"/>
    <n v="6.8745928338762212"/>
    <x v="120"/>
    <b v="1"/>
    <x v="26"/>
  </r>
  <r>
    <d v="2023-07-19T00:00:00"/>
    <n v="6"/>
    <n v="12"/>
    <n v="2"/>
    <n v="2470"/>
    <n v="24"/>
    <n v="2482"/>
    <n v="2446"/>
    <n v="1.1038430089942763E-2"/>
    <s v="Backlog"/>
    <n v="0.98549556809024985"/>
    <n v="6.8984689766317491"/>
    <x v="121"/>
    <b v="1"/>
    <x v="26"/>
  </r>
  <r>
    <d v="2023-07-20T00:00:00"/>
    <n v="5"/>
    <n v="20"/>
    <n v="5"/>
    <n v="2489"/>
    <n v="16"/>
    <n v="2509"/>
    <n v="2473"/>
    <n v="2.0218358269308533E-3"/>
    <s v="Backlog"/>
    <n v="0.98565165404543642"/>
    <n v="6.8995615783180551"/>
    <x v="122"/>
    <b v="1"/>
    <x v="26"/>
  </r>
  <r>
    <d v="2023-07-23T00:00:00"/>
    <n v="3"/>
    <n v="15"/>
    <n v="5"/>
    <n v="2495"/>
    <n v="17"/>
    <n v="2510"/>
    <n v="2478"/>
    <n v="9.2816787732041967E-3"/>
    <s v="Backlog"/>
    <n v="0.98725099601593624"/>
    <n v="6.910756972111554"/>
    <x v="123"/>
    <b v="1"/>
    <x v="27"/>
  </r>
  <r>
    <d v="2023-07-24T00:00:00"/>
    <n v="7"/>
    <n v="13"/>
    <n v="5"/>
    <n v="2508"/>
    <n v="7"/>
    <n v="2521"/>
    <n v="2501"/>
    <n v="-7.1971211515393842E-3"/>
    <s v="No Backlog"/>
    <n v="0.99206664022213409"/>
    <n v="6.9444664815549384"/>
    <x v="124"/>
    <b v="1"/>
    <x v="27"/>
  </r>
  <r>
    <d v="2023-07-25T00:00:00"/>
    <n v="8"/>
    <n v="19"/>
    <n v="7"/>
    <n v="2501"/>
    <n v="18"/>
    <n v="2520"/>
    <n v="2483"/>
    <n v="1.0471204188481676E-2"/>
    <s v="Backlog"/>
    <n v="0.98531746031746037"/>
    <n v="6.8972222222222221"/>
    <x v="125"/>
    <b v="1"/>
    <x v="27"/>
  </r>
  <r>
    <d v="2023-07-26T00:00:00"/>
    <n v="7"/>
    <n v="24"/>
    <n v="10"/>
    <n v="2523"/>
    <n v="14"/>
    <n v="2547"/>
    <n v="2509"/>
    <n v="-3.9856516540454365E-3"/>
    <s v="No Backlog"/>
    <n v="0.98508048684727134"/>
    <n v="6.8955634079308989"/>
    <x v="126"/>
    <b v="1"/>
    <x v="27"/>
  </r>
  <r>
    <d v="2023-07-27T00:00:00"/>
    <n v="17"/>
    <n v="28"/>
    <n v="7"/>
    <n v="2511"/>
    <n v="12"/>
    <n v="2539"/>
    <n v="2499"/>
    <n v="3.2012805122048822E-3"/>
    <s v="Backlog"/>
    <n v="0.98424576604962588"/>
    <n v="6.8897203623473811"/>
    <x v="127"/>
    <b v="1"/>
    <x v="27"/>
  </r>
  <r>
    <d v="2023-07-30T00:00:00"/>
    <n v="8"/>
    <n v="21"/>
    <n v="14"/>
    <n v="2516"/>
    <n v="9"/>
    <n v="2537"/>
    <n v="2507"/>
    <n v="-5.185480654168329E-3"/>
    <s v="No Backlog"/>
    <n v="0.9881750098541584"/>
    <n v="6.9172250689791088"/>
    <x v="128"/>
    <b v="1"/>
    <x v="28"/>
  </r>
  <r>
    <d v="2023-07-31T00:00:00"/>
    <n v="10"/>
    <n v="16"/>
    <n v="15"/>
    <n v="2507"/>
    <n v="13"/>
    <n v="2523"/>
    <n v="2494"/>
    <n v="-4.8115477145148355E-3"/>
    <s v="No Backlog"/>
    <n v="0.9885057471264368"/>
    <n v="6.9195402298850572"/>
    <x v="129"/>
    <b v="1"/>
    <x v="28"/>
  </r>
  <r>
    <d v="2023-08-01T00:00:00"/>
    <n v="8"/>
    <n v="26"/>
    <n v="5"/>
    <n v="2503"/>
    <n v="21"/>
    <n v="2529"/>
    <n v="2482"/>
    <n v="7.2522159548751011E-3"/>
    <s v="Backlog"/>
    <n v="0.98141557928034795"/>
    <n v="6.8699090549624353"/>
    <x v="130"/>
    <b v="1"/>
    <x v="28"/>
  </r>
  <r>
    <d v="2023-08-02T00:00:00"/>
    <n v="4"/>
    <n v="16"/>
    <n v="9"/>
    <n v="2516"/>
    <n v="16"/>
    <n v="2532"/>
    <n v="2500"/>
    <n v="1.6000000000000001E-3"/>
    <s v="Backlog"/>
    <n v="0.9873617693522907"/>
    <n v="6.9115323854660353"/>
    <x v="131"/>
    <b v="1"/>
    <x v="28"/>
  </r>
  <r>
    <d v="2023-08-03T00:00:00"/>
    <n v="5"/>
    <n v="23"/>
    <n v="11"/>
    <n v="2519"/>
    <n v="15"/>
    <n v="2542"/>
    <n v="2504"/>
    <n v="-7.9872204472843447E-4"/>
    <s v="No Backlog"/>
    <n v="0.98505114083398904"/>
    <n v="6.895357985837923"/>
    <x v="132"/>
    <b v="1"/>
    <x v="28"/>
  </r>
  <r>
    <d v="2023-08-06T00:00:00"/>
    <n v="10"/>
    <n v="19"/>
    <n v="5"/>
    <n v="2518"/>
    <n v="16"/>
    <n v="2537"/>
    <n v="2502"/>
    <n v="5.5955235811350921E-3"/>
    <s v="Backlog"/>
    <n v="0.98620417816318484"/>
    <n v="6.9034292471422942"/>
    <x v="133"/>
    <b v="1"/>
    <x v="29"/>
  </r>
  <r>
    <d v="2023-08-07T00:00:00"/>
    <n v="8"/>
    <n v="24"/>
    <n v="16"/>
    <n v="2528"/>
    <n v="12"/>
    <n v="2552"/>
    <n v="2516"/>
    <n v="-8.346581875993641E-3"/>
    <s v="No Backlog"/>
    <n v="0.98589341692789967"/>
    <n v="6.9012539184952981"/>
    <x v="134"/>
    <b v="1"/>
    <x v="29"/>
  </r>
  <r>
    <d v="2023-08-08T00:00:00"/>
    <n v="13"/>
    <n v="38"/>
    <n v="15"/>
    <n v="2506"/>
    <n v="11"/>
    <n v="2544"/>
    <n v="2495"/>
    <n v="-4.0080160320641279E-3"/>
    <s v="No Backlog"/>
    <n v="0.98073899371069184"/>
    <n v="6.8651729559748427"/>
    <x v="135"/>
    <b v="1"/>
    <x v="29"/>
  </r>
  <r>
    <d v="2023-08-09T00:00:00"/>
    <n v="12"/>
    <n v="39"/>
    <n v="12"/>
    <n v="2499"/>
    <n v="14"/>
    <n v="2538"/>
    <n v="2485"/>
    <n v="3.2193158953722333E-3"/>
    <s v="Backlog"/>
    <n v="0.97911741528762808"/>
    <n v="6.8538219070133968"/>
    <x v="136"/>
    <b v="1"/>
    <x v="29"/>
  </r>
  <r>
    <d v="2023-08-10T00:00:00"/>
    <n v="6"/>
    <n v="24"/>
    <n v="7"/>
    <n v="2504"/>
    <n v="11"/>
    <n v="2528"/>
    <n v="2493"/>
    <n v="-1.4039310068190935E-2"/>
    <s v="No Backlog"/>
    <n v="0.98615506329113922"/>
    <n v="6.9030854430379742"/>
    <x v="137"/>
    <b v="1"/>
    <x v="29"/>
  </r>
  <r>
    <d v="2023-08-16T00:00:00"/>
    <n v="18"/>
    <n v="36"/>
    <n v="17"/>
    <n v="2473"/>
    <n v="15"/>
    <n v="2509"/>
    <n v="2458"/>
    <n v="-3.6615134255492269E-3"/>
    <s v="No Backlog"/>
    <n v="0.97967317656436825"/>
    <n v="6.8577122359505776"/>
    <x v="138"/>
    <b v="1"/>
    <x v="30"/>
  </r>
  <r>
    <d v="2023-08-17T00:00:00"/>
    <n v="14"/>
    <n v="62"/>
    <n v="13"/>
    <n v="2467"/>
    <n v="18"/>
    <n v="2529"/>
    <n v="2449"/>
    <n v="8.1665986116782364E-4"/>
    <s v="Backlog"/>
    <n v="0.96836694345591146"/>
    <n v="6.7785686041913804"/>
    <x v="139"/>
    <b v="1"/>
    <x v="30"/>
  </r>
  <r>
    <d v="2023-08-20T00:00:00"/>
    <n v="7"/>
    <n v="27"/>
    <n v="17"/>
    <n v="2457"/>
    <n v="6"/>
    <n v="2484"/>
    <n v="2451"/>
    <n v="-9.3839249286005715E-3"/>
    <s v="No Backlog"/>
    <n v="0.98671497584541068"/>
    <n v="6.9070048309178746"/>
    <x v="140"/>
    <b v="1"/>
    <x v="31"/>
  </r>
  <r>
    <d v="2023-08-21T00:00:00"/>
    <n v="13"/>
    <n v="28"/>
    <n v="14"/>
    <n v="2437"/>
    <n v="9"/>
    <n v="2465"/>
    <n v="2428"/>
    <n v="-1.3179571663920923E-2"/>
    <s v="No Backlog"/>
    <n v="0.98498985801217043"/>
    <n v="6.8949290060851931"/>
    <x v="141"/>
    <b v="1"/>
    <x v="31"/>
  </r>
  <r>
    <d v="2023-08-22T00:00:00"/>
    <n v="15"/>
    <n v="31"/>
    <n v="14"/>
    <n v="2410"/>
    <n v="14"/>
    <n v="2441"/>
    <n v="2396"/>
    <n v="-5.4257095158597663E-3"/>
    <s v="No Backlog"/>
    <n v="0.98156493240475218"/>
    <n v="6.8709545268332652"/>
    <x v="142"/>
    <b v="1"/>
    <x v="31"/>
  </r>
  <r>
    <d v="2023-08-23T00:00:00"/>
    <n v="7"/>
    <n v="30"/>
    <n v="14"/>
    <n v="2394"/>
    <n v="11"/>
    <n v="2424"/>
    <n v="2383"/>
    <n v="0"/>
    <s v="No Backlog"/>
    <n v="0.98308580858085803"/>
    <n v="6.881600660066006"/>
    <x v="143"/>
    <b v="1"/>
    <x v="31"/>
  </r>
  <r>
    <d v="2023-08-24T00:00:00"/>
    <n v="18"/>
    <n v="29"/>
    <n v="12"/>
    <n v="2394"/>
    <n v="11"/>
    <n v="2423"/>
    <n v="2383"/>
    <n v="8.3927822073017204E-4"/>
    <s v="Backlog"/>
    <n v="0.98349153941394962"/>
    <n v="6.8844407758976471"/>
    <x v="144"/>
    <b v="1"/>
    <x v="31"/>
  </r>
  <r>
    <d v="2023-08-27T00:00:00"/>
    <n v="7"/>
    <n v="33"/>
    <n v="14"/>
    <n v="2392"/>
    <n v="7"/>
    <n v="2425"/>
    <n v="2385"/>
    <n v="-1.2578616352201257E-3"/>
    <s v="No Backlog"/>
    <n v="0.98350515463917521"/>
    <n v="6.8845360824742263"/>
    <x v="145"/>
    <b v="1"/>
    <x v="32"/>
  </r>
  <r>
    <d v="2023-08-28T00:00:00"/>
    <n v="15"/>
    <n v="20"/>
    <n v="12"/>
    <n v="2385"/>
    <n v="3"/>
    <n v="2405"/>
    <n v="2382"/>
    <n v="-1.343408900083963E-2"/>
    <s v="No Backlog"/>
    <n v="0.99043659043659049"/>
    <n v="6.9330561330561338"/>
    <x v="146"/>
    <b v="1"/>
    <x v="32"/>
  </r>
  <r>
    <d v="2023-08-29T00:00:00"/>
    <n v="15"/>
    <n v="24"/>
    <n v="16"/>
    <n v="2361"/>
    <n v="11"/>
    <n v="2385"/>
    <n v="2350"/>
    <n v="-1.0638297872340425E-2"/>
    <s v="No Backlog"/>
    <n v="0.9853249475890985"/>
    <n v="6.8972746331236898"/>
    <x v="147"/>
    <b v="1"/>
    <x v="32"/>
  </r>
  <r>
    <d v="2023-08-30T00:00:00"/>
    <n v="10"/>
    <n v="30"/>
    <n v="15"/>
    <n v="2335"/>
    <n v="10"/>
    <n v="2365"/>
    <n v="2325"/>
    <n v="-8.6021505376344086E-4"/>
    <s v="No Backlog"/>
    <n v="0.9830866807610994"/>
    <n v="6.881606765327696"/>
    <x v="148"/>
    <b v="1"/>
    <x v="32"/>
  </r>
  <r>
    <d v="2023-08-31T00:00:00"/>
    <n v="10"/>
    <n v="33"/>
    <n v="16"/>
    <n v="2339"/>
    <n v="16"/>
    <n v="2372"/>
    <n v="2323"/>
    <n v="-3.8743004735256135E-3"/>
    <s v="No Backlog"/>
    <n v="0.97934232715008429"/>
    <n v="6.8553962900505905"/>
    <x v="149"/>
    <b v="1"/>
    <x v="32"/>
  </r>
  <r>
    <d v="2023-09-04T00:00:00"/>
    <n v="15"/>
    <n v="44"/>
    <n v="20"/>
    <n v="2331"/>
    <n v="17"/>
    <n v="2375"/>
    <n v="2314"/>
    <n v="6.9144338807260158E-3"/>
    <s v="Backlog"/>
    <n v="0.97431578947368425"/>
    <n v="6.8202105263157895"/>
    <x v="150"/>
    <b v="1"/>
    <x v="33"/>
  </r>
  <r>
    <d v="2023-09-05T00:00:00"/>
    <n v="9"/>
    <n v="31"/>
    <n v="10"/>
    <n v="2335"/>
    <n v="5"/>
    <n v="2366"/>
    <n v="2330"/>
    <n v="-1.7167381974248927E-2"/>
    <s v="No Backlog"/>
    <n v="0.98478444632290785"/>
    <n v="6.8934911242603549"/>
    <x v="151"/>
    <b v="1"/>
    <x v="33"/>
  </r>
  <r>
    <d v="2023-09-06T00:00:00"/>
    <n v="13"/>
    <n v="32"/>
    <n v="14"/>
    <n v="2306"/>
    <n v="16"/>
    <n v="2338"/>
    <n v="2290"/>
    <n v="3.0567685589519651E-3"/>
    <s v="Backlog"/>
    <n v="0.97946963216424299"/>
    <n v="6.8562874251497012"/>
    <x v="152"/>
    <b v="1"/>
    <x v="33"/>
  </r>
  <r>
    <d v="2023-09-07T00:00:00"/>
    <n v="7"/>
    <n v="34"/>
    <n v="9"/>
    <n v="2309"/>
    <n v="12"/>
    <n v="2343"/>
    <n v="2297"/>
    <n v="-3.4828036569438396E-3"/>
    <s v="No Backlog"/>
    <n v="0.98036705078958597"/>
    <n v="6.8625693555271017"/>
    <x v="153"/>
    <b v="1"/>
    <x v="33"/>
  </r>
  <r>
    <d v="2023-09-10T00:00:00"/>
    <n v="11"/>
    <n v="25"/>
    <n v="11"/>
    <n v="2304"/>
    <n v="15"/>
    <n v="2329"/>
    <n v="2289"/>
    <n v="4.3687199650502403E-3"/>
    <s v="Backlog"/>
    <n v="0.98282524688707595"/>
    <n v="6.8797767282095315"/>
    <x v="154"/>
    <b v="1"/>
    <x v="34"/>
  </r>
  <r>
    <d v="2023-09-11T00:00:00"/>
    <n v="6"/>
    <n v="26"/>
    <n v="12"/>
    <n v="2307"/>
    <n v="8"/>
    <n v="2333"/>
    <n v="2299"/>
    <n v="-8.6994345367551109E-4"/>
    <s v="No Backlog"/>
    <n v="0.98542648949849976"/>
    <n v="6.8979854264894982"/>
    <x v="155"/>
    <b v="1"/>
    <x v="34"/>
  </r>
  <r>
    <d v="2023-09-12T00:00:00"/>
    <n v="9"/>
    <n v="40"/>
    <n v="12"/>
    <n v="2301"/>
    <n v="4"/>
    <n v="2341"/>
    <n v="2297"/>
    <n v="-6.9656073138876793E-3"/>
    <s v="No Backlog"/>
    <n v="0.9812046134130713"/>
    <n v="6.868432293891499"/>
    <x v="156"/>
    <b v="1"/>
    <x v="34"/>
  </r>
  <r>
    <d v="2023-09-13T00:00:00"/>
    <n v="3"/>
    <n v="9"/>
    <n v="7"/>
    <n v="2294"/>
    <n v="13"/>
    <n v="2303"/>
    <n v="2281"/>
    <n v="3.5072336694432268E-3"/>
    <s v="Backlog"/>
    <n v="0.99044724272687801"/>
    <n v="6.9331306990881458"/>
    <x v="157"/>
    <b v="1"/>
    <x v="34"/>
  </r>
  <r>
    <d v="2023-09-14T00:00:00"/>
    <n v="3"/>
    <n v="23"/>
    <n v="4"/>
    <n v="2300"/>
    <n v="11"/>
    <n v="2323"/>
    <n v="2289"/>
    <n v="-4.3687199650502403E-4"/>
    <s v="No Backlog"/>
    <n v="0.98536375376668106"/>
    <n v="6.8975462763667679"/>
    <x v="158"/>
    <b v="1"/>
    <x v="34"/>
  </r>
  <r>
    <d v="2023-09-17T00:00:00"/>
    <n v="7"/>
    <n v="19"/>
    <n v="14"/>
    <n v="2305"/>
    <n v="17"/>
    <n v="2324"/>
    <n v="2288"/>
    <n v="6.118881118881119E-3"/>
    <s v="Backlog"/>
    <n v="0.98450946643717729"/>
    <n v="6.8915662650602414"/>
    <x v="159"/>
    <b v="1"/>
    <x v="35"/>
  </r>
  <r>
    <d v="2023-09-18T00:00:00"/>
    <n v="10"/>
    <n v="25"/>
    <n v="5"/>
    <n v="2308"/>
    <n v="6"/>
    <n v="2333"/>
    <n v="2302"/>
    <n v="-4.3440486533449172E-4"/>
    <s v="No Backlog"/>
    <n v="0.98671238748392631"/>
    <n v="6.906986712387484"/>
    <x v="160"/>
    <b v="1"/>
    <x v="35"/>
  </r>
  <r>
    <d v="2023-09-19T00:00:00"/>
    <n v="4"/>
    <n v="15"/>
    <n v="6"/>
    <n v="2305"/>
    <n v="4"/>
    <n v="2320"/>
    <n v="2301"/>
    <n v="-1.1734028683181226E-2"/>
    <s v="No Backlog"/>
    <n v="0.99181034482758623"/>
    <n v="6.9426724137931037"/>
    <x v="161"/>
    <b v="1"/>
    <x v="35"/>
  </r>
  <r>
    <d v="2023-09-20T00:00:00"/>
    <n v="7"/>
    <n v="26"/>
    <n v="10"/>
    <n v="2288"/>
    <n v="14"/>
    <n v="2314"/>
    <n v="2274"/>
    <n v="3.9577836411609502E-3"/>
    <s v="Backlog"/>
    <n v="0.98271391529818497"/>
    <n v="6.8789974070872946"/>
    <x v="162"/>
    <b v="1"/>
    <x v="35"/>
  </r>
  <r>
    <d v="2023-09-21T00:00:00"/>
    <n v="11"/>
    <n v="30"/>
    <n v="5"/>
    <n v="2291"/>
    <n v="8"/>
    <n v="2321"/>
    <n v="2283"/>
    <n v="-1.7520805957074025E-3"/>
    <s v="No Backlog"/>
    <n v="0.98362774666092201"/>
    <n v="6.8853942266264543"/>
    <x v="163"/>
    <b v="1"/>
    <x v="35"/>
  </r>
  <r>
    <d v="2023-09-24T00:00:00"/>
    <n v="4"/>
    <n v="19"/>
    <n v="12"/>
    <n v="2286"/>
    <n v="7"/>
    <n v="2305"/>
    <n v="2279"/>
    <n v="-4.3878894251864857E-3"/>
    <s v="No Backlog"/>
    <n v="0.98872017353579178"/>
    <n v="6.9210412147505425"/>
    <x v="164"/>
    <b v="1"/>
    <x v="36"/>
  </r>
  <r>
    <d v="2023-09-25T00:00:00"/>
    <n v="5"/>
    <n v="26"/>
    <n v="9"/>
    <n v="2282"/>
    <n v="13"/>
    <n v="2308"/>
    <n v="2269"/>
    <n v="4.8479506390480386E-3"/>
    <s v="Backlog"/>
    <n v="0.98310225303292897"/>
    <n v="6.8817157712305033"/>
    <x v="165"/>
    <b v="1"/>
    <x v="36"/>
  </r>
  <r>
    <d v="2023-09-26T00:00:00"/>
    <n v="5"/>
    <n v="26"/>
    <n v="10"/>
    <n v="2283"/>
    <n v="3"/>
    <n v="2309"/>
    <n v="2280"/>
    <n v="-9.6491228070175444E-3"/>
    <s v="No Backlog"/>
    <n v="0.98744045041143347"/>
    <n v="6.9120831528800339"/>
    <x v="166"/>
    <b v="1"/>
    <x v="36"/>
  </r>
  <r>
    <d v="2023-09-27T00:00:00"/>
    <n v="8"/>
    <n v="22"/>
    <n v="8"/>
    <n v="2267"/>
    <n v="9"/>
    <n v="2289"/>
    <n v="2258"/>
    <n v="4.4286979627989372E-4"/>
    <s v="Backlog"/>
    <n v="0.98645696810834427"/>
    <n v="6.90519877675841"/>
    <x v="167"/>
    <b v="1"/>
    <x v="36"/>
  </r>
  <r>
    <d v="2023-09-28T00:00:00"/>
    <n v="18"/>
    <n v="25"/>
    <n v="17"/>
    <n v="2265"/>
    <n v="6"/>
    <n v="2290"/>
    <n v="2259"/>
    <n v="-5.754758742806552E-3"/>
    <s v="No Backlog"/>
    <n v="0.98646288209606992"/>
    <n v="6.905240174672489"/>
    <x v="168"/>
    <b v="1"/>
    <x v="36"/>
  </r>
  <r>
    <d v="2023-10-01T00:00:00"/>
    <n v="6"/>
    <n v="19"/>
    <n v="10"/>
    <n v="2251"/>
    <n v="5"/>
    <n v="2270"/>
    <n v="2246"/>
    <n v="-5.3428317008014248E-3"/>
    <s v="No Backlog"/>
    <n v="0.98942731277533036"/>
    <n v="6.9259911894273127"/>
    <x v="169"/>
    <b v="1"/>
    <x v="37"/>
  </r>
  <r>
    <d v="2023-10-02T00:00:00"/>
    <n v="12"/>
    <n v="34"/>
    <n v="12"/>
    <n v="2243"/>
    <n v="9"/>
    <n v="2277"/>
    <n v="2234"/>
    <n v="-8.9525514771709937E-4"/>
    <s v="No Backlog"/>
    <n v="0.98111550285463334"/>
    <n v="6.8678085199824332"/>
    <x v="170"/>
    <b v="1"/>
    <x v="37"/>
  </r>
  <r>
    <d v="2023-10-03T00:00:00"/>
    <n v="12"/>
    <n v="22"/>
    <n v="9"/>
    <n v="2237"/>
    <n v="5"/>
    <n v="2259"/>
    <n v="2232"/>
    <n v="-4.0322580645161289E-3"/>
    <s v="No Backlog"/>
    <n v="0.98804780876494025"/>
    <n v="6.9163346613545817"/>
    <x v="171"/>
    <b v="1"/>
    <x v="37"/>
  </r>
  <r>
    <d v="2023-10-04T00:00:00"/>
    <n v="7"/>
    <n v="14"/>
    <n v="7"/>
    <n v="2234"/>
    <n v="11"/>
    <n v="2248"/>
    <n v="2223"/>
    <n v="-3.5987404408457041E-3"/>
    <s v="No Backlog"/>
    <n v="0.98887900355871883"/>
    <n v="6.9221530249110321"/>
    <x v="172"/>
    <b v="1"/>
    <x v="37"/>
  </r>
  <r>
    <d v="2023-10-05T00:00:00"/>
    <n v="12"/>
    <n v="26"/>
    <n v="18"/>
    <n v="2223"/>
    <n v="8"/>
    <n v="2249"/>
    <n v="2215"/>
    <n v="-4.5146726862302479E-3"/>
    <s v="No Backlog"/>
    <n v="0.98488216985326815"/>
    <n v="6.8941751889728771"/>
    <x v="173"/>
    <b v="1"/>
    <x v="37"/>
  </r>
  <r>
    <d v="2023-10-09T00:00:00"/>
    <n v="5"/>
    <n v="31"/>
    <n v="16"/>
    <n v="2208"/>
    <n v="3"/>
    <n v="2239"/>
    <n v="2205"/>
    <n v="-1.1791383219954649E-2"/>
    <s v="No Backlog"/>
    <n v="0.98481464939705221"/>
    <n v="6.8937025457793659"/>
    <x v="174"/>
    <b v="1"/>
    <x v="38"/>
  </r>
  <r>
    <d v="2023-10-10T00:00:00"/>
    <n v="17"/>
    <n v="36"/>
    <n v="7"/>
    <n v="2191"/>
    <n v="12"/>
    <n v="2227"/>
    <n v="2179"/>
    <n v="4.1303350160624142E-3"/>
    <s v="Backlog"/>
    <n v="0.97844634036820832"/>
    <n v="6.8491243825774584"/>
    <x v="175"/>
    <b v="1"/>
    <x v="38"/>
  </r>
  <r>
    <d v="2023-10-11T00:00:00"/>
    <n v="9"/>
    <n v="25"/>
    <n v="8"/>
    <n v="2193"/>
    <n v="5"/>
    <n v="2218"/>
    <n v="2188"/>
    <n v="-9.1407678244972577E-4"/>
    <s v="No Backlog"/>
    <n v="0.98647430117222723"/>
    <n v="6.9053201082055908"/>
    <x v="176"/>
    <b v="1"/>
    <x v="38"/>
  </r>
  <r>
    <d v="2023-10-12T00:00:00"/>
    <n v="9"/>
    <n v="20"/>
    <n v="5"/>
    <n v="2188"/>
    <n v="2"/>
    <n v="2208"/>
    <n v="2186"/>
    <n v="-1.3266239707227814E-2"/>
    <s v="No Backlog"/>
    <n v="0.99003623188405798"/>
    <n v="6.9302536231884062"/>
    <x v="177"/>
    <b v="1"/>
    <x v="38"/>
  </r>
  <r>
    <d v="2023-10-15T00:00:00"/>
    <n v="1"/>
    <n v="19"/>
    <n v="13"/>
    <n v="2159"/>
    <n v="2"/>
    <n v="2178"/>
    <n v="2157"/>
    <n v="0"/>
    <s v="No Backlog"/>
    <n v="0.99035812672176304"/>
    <n v="6.932506887052341"/>
    <x v="178"/>
    <b v="1"/>
    <x v="39"/>
  </r>
  <r>
    <d v="2023-10-16T00:00:00"/>
    <n v="9"/>
    <n v="21"/>
    <n v="15"/>
    <n v="2159"/>
    <n v="2"/>
    <n v="2180"/>
    <n v="2157"/>
    <n v="-8.3449235048678721E-3"/>
    <s v="No Backlog"/>
    <n v="0.98944954128440366"/>
    <n v="6.9261467889908257"/>
    <x v="179"/>
    <b v="1"/>
    <x v="39"/>
  </r>
  <r>
    <d v="2023-10-17T00:00:00"/>
    <n v="12"/>
    <n v="19"/>
    <n v="7"/>
    <n v="2145"/>
    <n v="6"/>
    <n v="2164"/>
    <n v="2139"/>
    <n v="-3.2725572697522207E-3"/>
    <s v="No Backlog"/>
    <n v="0.98844731977818856"/>
    <n v="6.9191312384473198"/>
    <x v="180"/>
    <b v="1"/>
    <x v="39"/>
  </r>
  <r>
    <d v="2023-10-18T00:00:00"/>
    <n v="7"/>
    <n v="13"/>
    <n v="11"/>
    <n v="2139"/>
    <n v="7"/>
    <n v="2152"/>
    <n v="2132"/>
    <n v="9.3808630393996248E-4"/>
    <s v="Backlog"/>
    <n v="0.99070631970260226"/>
    <n v="6.9349442379182156"/>
    <x v="181"/>
    <b v="1"/>
    <x v="39"/>
  </r>
  <r>
    <d v="2023-10-19T00:00:00"/>
    <n v="15"/>
    <n v="29"/>
    <n v="9"/>
    <n v="2136"/>
    <n v="2"/>
    <n v="2165"/>
    <n v="2134"/>
    <n v="-7.9662605435801316E-3"/>
    <s v="No Backlog"/>
    <n v="0.9856812933025404"/>
    <n v="6.8997690531177831"/>
    <x v="182"/>
    <b v="1"/>
    <x v="39"/>
  </r>
  <r>
    <d v="2023-10-22T00:00:00"/>
    <n v="9"/>
    <n v="20"/>
    <n v="11"/>
    <n v="2124"/>
    <n v="7"/>
    <n v="2144"/>
    <n v="2117"/>
    <n v="-3.3065658951346244E-3"/>
    <s v="No Backlog"/>
    <n v="0.98740671641791045"/>
    <n v="6.9118470149253728"/>
    <x v="183"/>
    <b v="1"/>
    <x v="40"/>
  </r>
  <r>
    <d v="2023-10-23T00:00:00"/>
    <n v="6"/>
    <n v="22"/>
    <n v="14"/>
    <n v="2119"/>
    <n v="9"/>
    <n v="2141"/>
    <n v="2110"/>
    <n v="-4.2654028436018955E-3"/>
    <s v="No Backlog"/>
    <n v="0.98552078468005599"/>
    <n v="6.8986454927603917"/>
    <x v="184"/>
    <b v="1"/>
    <x v="40"/>
  </r>
  <r>
    <d v="2023-10-24T00:00:00"/>
    <n v="19"/>
    <n v="34"/>
    <n v="6"/>
    <n v="2109"/>
    <n v="8"/>
    <n v="2143"/>
    <n v="2101"/>
    <n v="9.519276534983341E-4"/>
    <s v="Backlog"/>
    <n v="0.98040130657956137"/>
    <n v="6.8628091460569296"/>
    <x v="185"/>
    <b v="1"/>
    <x v="40"/>
  </r>
  <r>
    <d v="2023-10-25T00:00:00"/>
    <n v="5"/>
    <n v="14"/>
    <n v="0"/>
    <n v="2111"/>
    <n v="8"/>
    <n v="2125"/>
    <n v="2103"/>
    <n v="4.2796005706134095E-3"/>
    <s v="Backlog"/>
    <n v="0.98964705882352944"/>
    <n v="6.9275294117647057"/>
    <x v="186"/>
    <b v="1"/>
    <x v="40"/>
  </r>
  <r>
    <d v="2023-10-26T00:00:00"/>
    <n v="1"/>
    <n v="9"/>
    <n v="8"/>
    <n v="2117"/>
    <n v="5"/>
    <n v="2126"/>
    <n v="2112"/>
    <n v="-9.46969696969697E-4"/>
    <s v="No Backlog"/>
    <n v="0.99341486359360298"/>
    <n v="6.9539040451552205"/>
    <x v="187"/>
    <b v="1"/>
    <x v="40"/>
  </r>
  <r>
    <d v="2023-10-29T00:00:00"/>
    <n v="4"/>
    <n v="20"/>
    <n v="9"/>
    <n v="2116"/>
    <n v="6"/>
    <n v="2136"/>
    <n v="2110"/>
    <n v="-2.3696682464454978E-3"/>
    <s v="No Backlog"/>
    <n v="0.98782771535580527"/>
    <n v="6.9147940074906371"/>
    <x v="188"/>
    <b v="1"/>
    <x v="41"/>
  </r>
  <r>
    <d v="2023-10-30T00:00:00"/>
    <n v="6"/>
    <n v="18"/>
    <n v="2"/>
    <n v="2113"/>
    <n v="8"/>
    <n v="2131"/>
    <n v="2105"/>
    <n v="-4.2755344418052253E-3"/>
    <s v="No Backlog"/>
    <n v="0.98779915532613793"/>
    <n v="6.9145940872829659"/>
    <x v="189"/>
    <b v="1"/>
    <x v="41"/>
  </r>
  <r>
    <d v="2023-10-31T00:00:00"/>
    <n v="3"/>
    <n v="11"/>
    <n v="7"/>
    <n v="2116"/>
    <n v="20"/>
    <n v="2127"/>
    <n v="2096"/>
    <n v="2.8625954198473282E-3"/>
    <s v="Backlog"/>
    <n v="0.98542548189938883"/>
    <n v="6.8979783732957216"/>
    <x v="190"/>
    <b v="1"/>
    <x v="41"/>
  </r>
  <r>
    <d v="2023-11-01T00:00:00"/>
    <n v="6"/>
    <n v="28"/>
    <n v="8"/>
    <n v="2125"/>
    <n v="23"/>
    <n v="2153"/>
    <n v="2102"/>
    <n v="2.3786869647954329E-3"/>
    <s v="Backlog"/>
    <n v="0.97631212261960054"/>
    <n v="6.8341848583372036"/>
    <x v="191"/>
    <b v="1"/>
    <x v="41"/>
  </r>
  <r>
    <d v="2023-11-02T00:00:00"/>
    <n v="12"/>
    <n v="25"/>
    <n v="15"/>
    <n v="2137"/>
    <n v="30"/>
    <n v="2162"/>
    <n v="2107"/>
    <n v="3.7019458946369245E-2"/>
    <s v="Backlog"/>
    <n v="0.97456059204440337"/>
    <n v="6.8219241443108238"/>
    <x v="192"/>
    <b v="1"/>
    <x v="41"/>
  </r>
  <r>
    <d v="2023-11-05T00:00:00"/>
    <n v="7"/>
    <n v="27"/>
    <n v="6"/>
    <n v="2218"/>
    <n v="33"/>
    <n v="2245"/>
    <n v="2185"/>
    <n v="5.9496567505720821E-3"/>
    <s v="Backlog"/>
    <n v="0.97327394209354123"/>
    <n v="6.8129175946547882"/>
    <x v="193"/>
    <b v="1"/>
    <x v="42"/>
  </r>
  <r>
    <d v="2023-11-06T00:00:00"/>
    <n v="5"/>
    <n v="20"/>
    <n v="4"/>
    <n v="2238"/>
    <n v="40"/>
    <n v="2258"/>
    <n v="2198"/>
    <n v="2.0018198362147407E-2"/>
    <s v="Backlog"/>
    <n v="0.9734278122232064"/>
    <n v="6.8139946855624451"/>
    <x v="194"/>
    <b v="1"/>
    <x v="42"/>
  </r>
  <r>
    <d v="2023-11-07T00:00:00"/>
    <n v="4"/>
    <n v="25"/>
    <n v="10"/>
    <n v="2272"/>
    <n v="30"/>
    <n v="2297"/>
    <n v="2242"/>
    <n v="8.9206066012488851E-3"/>
    <s v="Backlog"/>
    <n v="0.97605572485851111"/>
    <n v="6.8323900740095773"/>
    <x v="195"/>
    <b v="1"/>
    <x v="42"/>
  </r>
  <r>
    <d v="2023-11-08T00:00:00"/>
    <n v="8"/>
    <n v="29"/>
    <n v="18"/>
    <n v="2287"/>
    <n v="25"/>
    <n v="2316"/>
    <n v="2262"/>
    <n v="1.7683465959328027E-3"/>
    <s v="Backlog"/>
    <n v="0.97668393782383423"/>
    <n v="6.8367875647668397"/>
    <x v="196"/>
    <b v="1"/>
    <x v="42"/>
  </r>
  <r>
    <d v="2023-11-12T00:00:00"/>
    <n v="12"/>
    <n v="24"/>
    <n v="4"/>
    <n v="2297"/>
    <n v="31"/>
    <n v="2321"/>
    <n v="2266"/>
    <n v="3.8834951456310676E-2"/>
    <s v="Backlog"/>
    <n v="0.976303317535545"/>
    <n v="6.8341232227488149"/>
    <x v="197"/>
    <b v="1"/>
    <x v="43"/>
  </r>
  <r>
    <d v="2023-11-13T00:00:00"/>
    <n v="10"/>
    <n v="15"/>
    <n v="17"/>
    <n v="2391"/>
    <n v="37"/>
    <n v="2406"/>
    <n v="2354"/>
    <n v="1.4443500424808835E-2"/>
    <s v="Backlog"/>
    <n v="0.97838736492103073"/>
    <n v="6.848711554447215"/>
    <x v="198"/>
    <b v="0"/>
    <x v="43"/>
  </r>
  <r>
    <d v="2023-11-14T00:00:00"/>
    <n v="12"/>
    <n v="21"/>
    <n v="1"/>
    <n v="2411"/>
    <n v="23"/>
    <n v="2432"/>
    <n v="2388"/>
    <n v="8.375209380234506E-4"/>
    <s v="Backlog"/>
    <n v="0.98190789473684215"/>
    <n v="6.8733552631578947"/>
    <x v="199"/>
    <b v="1"/>
    <x v="43"/>
  </r>
  <r>
    <d v="2023-11-15T00:00:00"/>
    <n v="11"/>
    <n v="7"/>
    <n v="7"/>
    <n v="2413"/>
    <n v="23"/>
    <n v="2420"/>
    <n v="2390"/>
    <n v="-4.1841004184100416E-4"/>
    <s v="No Backlog"/>
    <n v="0.98760330578512401"/>
    <n v="6.9132231404958677"/>
    <x v="200"/>
    <b v="0"/>
    <x v="43"/>
  </r>
  <r>
    <d v="2023-11-16T00:00:00"/>
    <n v="20"/>
    <n v="22"/>
    <n v="14"/>
    <n v="2413"/>
    <n v="24"/>
    <n v="2435"/>
    <n v="2389"/>
    <n v="-4.1858518208455421E-4"/>
    <s v="No Backlog"/>
    <n v="0.98110882956878853"/>
    <n v="6.8677618069815196"/>
    <x v="201"/>
    <b v="1"/>
    <x v="43"/>
  </r>
  <r>
    <d v="2023-11-19T00:00:00"/>
    <n v="7"/>
    <n v="16"/>
    <n v="8"/>
    <n v="2423"/>
    <n v="35"/>
    <n v="2439"/>
    <n v="2388"/>
    <n v="4.1876046901172533E-2"/>
    <s v="Backlog"/>
    <n v="0.97908979089790893"/>
    <n v="6.8536285362853624"/>
    <x v="202"/>
    <b v="1"/>
    <x v="44"/>
  </r>
  <r>
    <d v="2023-11-20T00:00:00"/>
    <n v="13"/>
    <n v="25"/>
    <n v="15"/>
    <n v="2520"/>
    <n v="32"/>
    <n v="2545"/>
    <n v="2488"/>
    <n v="8.4405144694533769E-3"/>
    <s v="Backlog"/>
    <n v="0.97760314341846755"/>
    <n v="6.8432220039292728"/>
    <x v="203"/>
    <b v="1"/>
    <x v="44"/>
  </r>
  <r>
    <d v="2023-11-21T00:00:00"/>
    <n v="12"/>
    <n v="17"/>
    <n v="17"/>
    <n v="2528"/>
    <n v="19"/>
    <n v="2545"/>
    <n v="2509"/>
    <n v="7.1741729772817854E-3"/>
    <s v="Backlog"/>
    <n v="0.98585461689587428"/>
    <n v="6.9009823182711196"/>
    <x v="204"/>
    <b v="0"/>
    <x v="44"/>
  </r>
  <r>
    <d v="2023-11-23T00:00:00"/>
    <n v="18"/>
    <n v="19"/>
    <n v="11"/>
    <n v="2536"/>
    <n v="9"/>
    <n v="2555"/>
    <n v="2527"/>
    <n v="-3.9572615749901069E-3"/>
    <s v="No Backlog"/>
    <n v="0.989041095890411"/>
    <n v="6.9232876712328775"/>
    <x v="205"/>
    <b v="1"/>
    <x v="44"/>
  </r>
  <r>
    <d v="2023-11-26T00:00:00"/>
    <n v="8"/>
    <n v="17"/>
    <n v="14"/>
    <n v="2532"/>
    <n v="15"/>
    <n v="2549"/>
    <n v="2517"/>
    <n v="4.5292014302741358E-2"/>
    <s v="Backlog"/>
    <n v="0.98744605727736368"/>
    <n v="6.9121224009415458"/>
    <x v="206"/>
    <b v="1"/>
    <x v="45"/>
  </r>
  <r>
    <d v="2023-11-27T00:00:00"/>
    <n v="15"/>
    <n v="10"/>
    <n v="23"/>
    <n v="2703"/>
    <n v="72"/>
    <n v="2713"/>
    <n v="2631"/>
    <n v="2.0904599011782592E-2"/>
    <s v="Backlog"/>
    <n v="0.9697751566531515"/>
    <n v="6.7884260965720609"/>
    <x v="207"/>
    <b v="0"/>
    <x v="45"/>
  </r>
  <r>
    <d v="2023-11-28T00:00:00"/>
    <n v="16"/>
    <n v="20"/>
    <n v="20"/>
    <n v="2752"/>
    <n v="66"/>
    <n v="2772"/>
    <n v="2686"/>
    <n v="2.3454951600893521E-2"/>
    <s v="Backlog"/>
    <n v="0.96897546897546893"/>
    <n v="6.7828282828282829"/>
    <x v="208"/>
    <b v="0"/>
    <x v="45"/>
  </r>
  <r>
    <d v="2023-11-29T00:00:00"/>
    <n v="11"/>
    <n v="22"/>
    <n v="12"/>
    <n v="2799"/>
    <n v="50"/>
    <n v="2821"/>
    <n v="2749"/>
    <n v="8.0029101491451444E-3"/>
    <s v="Backlog"/>
    <n v="0.97447713576745831"/>
    <n v="6.8213399503722085"/>
    <x v="209"/>
    <b v="1"/>
    <x v="45"/>
  </r>
  <r>
    <d v="2023-11-30T00:00:00"/>
    <n v="16"/>
    <n v="18"/>
    <n v="15"/>
    <n v="2834"/>
    <n v="63"/>
    <n v="2852"/>
    <n v="2771"/>
    <n v="2.88704438830747E-3"/>
    <s v="Backlog"/>
    <n v="0.97159887798036471"/>
    <n v="6.8011921458625526"/>
    <x v="210"/>
    <b v="1"/>
    <x v="45"/>
  </r>
  <r>
    <d v="2023-12-03T00:00:00"/>
    <n v="15"/>
    <n v="13"/>
    <n v="23"/>
    <n v="2878"/>
    <n v="99"/>
    <n v="2891"/>
    <n v="2779"/>
    <n v="9.2479309103994239E-2"/>
    <s v="Backlog"/>
    <n v="0.96125907990314774"/>
    <n v="6.7288135593220346"/>
    <x v="211"/>
    <b v="0"/>
    <x v="46"/>
  </r>
  <r>
    <d v="2023-12-04T00:00:00"/>
    <n v="25"/>
    <n v="32"/>
    <n v="27"/>
    <n v="3181"/>
    <n v="145"/>
    <n v="3213"/>
    <n v="3036"/>
    <n v="4.9407114624505928E-2"/>
    <s v="Backlog"/>
    <n v="0.9449112978524743"/>
    <n v="6.6143790849673199"/>
    <x v="212"/>
    <b v="1"/>
    <x v="46"/>
  </r>
  <r>
    <d v="2023-12-05T00:00:00"/>
    <n v="26"/>
    <n v="36"/>
    <n v="36"/>
    <n v="3290"/>
    <n v="104"/>
    <n v="3326"/>
    <n v="3186"/>
    <n v="3.1073446327683617E-2"/>
    <s v="Backlog"/>
    <n v="0.957907396271798"/>
    <n v="6.7053517739025859"/>
    <x v="213"/>
    <b v="0"/>
    <x v="46"/>
  </r>
  <r>
    <d v="2023-12-06T00:00:00"/>
    <n v="34"/>
    <n v="54"/>
    <n v="29"/>
    <n v="3359"/>
    <n v="74"/>
    <n v="3413"/>
    <n v="3285"/>
    <n v="4.8706240487062409E-3"/>
    <s v="Backlog"/>
    <n v="0.96249633753296215"/>
    <n v="6.737474362730735"/>
    <x v="214"/>
    <b v="1"/>
    <x v="46"/>
  </r>
  <r>
    <d v="2023-12-07T00:00:00"/>
    <n v="23"/>
    <n v="45"/>
    <n v="11"/>
    <n v="3403"/>
    <n v="102"/>
    <n v="3448"/>
    <n v="3301"/>
    <n v="4.2411390487730989E-3"/>
    <s v="Backlog"/>
    <n v="0.95736658932714613"/>
    <n v="6.7015661252900234"/>
    <x v="215"/>
    <b v="1"/>
    <x v="46"/>
  </r>
  <r>
    <d v="2023-12-10T00:00:00"/>
    <n v="20"/>
    <n v="22"/>
    <n v="41"/>
    <n v="3483"/>
    <n v="168"/>
    <n v="3505"/>
    <n v="3315"/>
    <n v="0.13544494720965308"/>
    <s v="Backlog"/>
    <n v="0.9457917261055635"/>
    <n v="6.620542082738945"/>
    <x v="216"/>
    <b v="0"/>
    <x v="47"/>
  </r>
  <r>
    <d v="2023-12-11T00:00:00"/>
    <n v="47"/>
    <n v="42"/>
    <n v="47"/>
    <n v="3923"/>
    <n v="159"/>
    <n v="3965"/>
    <n v="3764"/>
    <n v="4.5961742826780019E-2"/>
    <s v="Backlog"/>
    <n v="0.94930643127364434"/>
    <n v="6.6451450189155103"/>
    <x v="217"/>
    <b v="0"/>
    <x v="47"/>
  </r>
  <r>
    <d v="2023-12-12T00:00:00"/>
    <n v="32"/>
    <n v="50"/>
    <n v="39"/>
    <n v="4036"/>
    <n v="99"/>
    <n v="4086"/>
    <n v="3937"/>
    <n v="1.4732029464058927E-2"/>
    <s v="Backlog"/>
    <n v="0.96353401860009791"/>
    <n v="6.7447381302006857"/>
    <x v="218"/>
    <b v="1"/>
    <x v="47"/>
  </r>
  <r>
    <d v="2023-12-13T00:00:00"/>
    <n v="32"/>
    <n v="49"/>
    <n v="39"/>
    <n v="4096"/>
    <n v="101"/>
    <n v="4145"/>
    <n v="3995"/>
    <n v="9.7622027534418031E-3"/>
    <s v="Backlog"/>
    <n v="0.96381182147165256"/>
    <n v="6.7466827503015683"/>
    <x v="219"/>
    <b v="1"/>
    <x v="47"/>
  </r>
  <r>
    <d v="2023-12-14T00:00:00"/>
    <n v="33"/>
    <n v="53"/>
    <n v="34"/>
    <n v="4161"/>
    <n v="127"/>
    <n v="4214"/>
    <n v="4034"/>
    <n v="6.1973227565691623E-3"/>
    <s v="Backlog"/>
    <n v="0.95728523967726631"/>
    <n v="6.7009966777408643"/>
    <x v="220"/>
    <b v="1"/>
    <x v="47"/>
  </r>
  <r>
    <d v="2023-12-17T00:00:00"/>
    <n v="29"/>
    <n v="51"/>
    <n v="11"/>
    <n v="4241"/>
    <n v="182"/>
    <n v="4292"/>
    <n v="4059"/>
    <n v="9.5590046809559001E-2"/>
    <s v="Backlog"/>
    <n v="0.945712954333644"/>
    <n v="6.6199906803355084"/>
    <x v="221"/>
    <b v="1"/>
    <x v="48"/>
  </r>
  <r>
    <d v="2023-12-18T00:00:00"/>
    <n v="91"/>
    <n v="75"/>
    <n v="97"/>
    <n v="4621"/>
    <n v="174"/>
    <n v="4696"/>
    <n v="4447"/>
    <n v="4.2050820778052618E-2"/>
    <s v="Backlog"/>
    <n v="0.94697614991482115"/>
    <n v="6.628833049403748"/>
    <x v="222"/>
    <b v="0"/>
    <x v="48"/>
  </r>
  <r>
    <d v="2023-12-19T00:00:00"/>
    <n v="62"/>
    <n v="97"/>
    <n v="52"/>
    <n v="4717"/>
    <n v="83"/>
    <n v="4814"/>
    <n v="4634"/>
    <n v="8.6318515321536469E-3"/>
    <s v="Backlog"/>
    <n v="0.96260905691732446"/>
    <n v="6.738263398421271"/>
    <x v="223"/>
    <b v="1"/>
    <x v="48"/>
  </r>
  <r>
    <d v="2023-12-20T00:00:00"/>
    <n v="59"/>
    <n v="64"/>
    <n v="117"/>
    <n v="4728"/>
    <n v="54"/>
    <n v="4792"/>
    <n v="4674"/>
    <n v="-3.4873769790329481E-2"/>
    <s v="No Backlog"/>
    <n v="0.97537562604340566"/>
    <n v="6.8276293823038401"/>
    <x v="224"/>
    <b v="0"/>
    <x v="48"/>
  </r>
  <r>
    <d v="2023-12-21T00:00:00"/>
    <n v="84"/>
    <n v="118"/>
    <n v="136"/>
    <n v="4638"/>
    <n v="127"/>
    <n v="4756"/>
    <n v="4511"/>
    <n v="-1.3079139880292618E-2"/>
    <s v="No Backlog"/>
    <n v="0.94848612279226241"/>
    <n v="6.6394028595458368"/>
    <x v="225"/>
    <b v="0"/>
    <x v="48"/>
  </r>
  <r>
    <d v="2023-12-25T00:00:00"/>
    <n v="86"/>
    <n v="152"/>
    <n v="168"/>
    <n v="4628"/>
    <n v="176"/>
    <n v="4780"/>
    <n v="4452"/>
    <n v="6.0646900269541781E-2"/>
    <s v="Backlog"/>
    <n v="0.93138075313807533"/>
    <n v="6.5196652719665273"/>
    <x v="226"/>
    <b v="0"/>
    <x v="49"/>
  </r>
  <r>
    <d v="2023-12-26T00:00:00"/>
    <n v="106"/>
    <n v="196"/>
    <n v="131"/>
    <n v="4881"/>
    <n v="159"/>
    <n v="5077"/>
    <n v="4722"/>
    <n v="3.6001694197373992E-3"/>
    <s v="Backlog"/>
    <n v="0.930076817017924"/>
    <n v="6.5105377191254679"/>
    <x v="227"/>
    <b v="1"/>
    <x v="49"/>
  </r>
  <r>
    <d v="2023-12-27T00:00:00"/>
    <n v="113"/>
    <n v="162"/>
    <n v="107"/>
    <n v="4903"/>
    <n v="164"/>
    <n v="5065"/>
    <n v="4739"/>
    <n v="1.6670183583034397E-2"/>
    <s v="Backlog"/>
    <n v="0.93563672260612041"/>
    <n v="6.5494570582428429"/>
    <x v="228"/>
    <b v="1"/>
    <x v="49"/>
  </r>
  <r>
    <d v="2023-12-28T00:00:00"/>
    <n v="92"/>
    <n v="124"/>
    <n v="93"/>
    <n v="4957"/>
    <n v="139"/>
    <n v="5081"/>
    <n v="4818"/>
    <n v="4.1511000415110008E-3"/>
    <s v="Backlog"/>
    <n v="0.94823853572131467"/>
    <n v="6.637669750049203"/>
    <x v="229"/>
    <b v="1"/>
    <x v="49"/>
  </r>
  <r>
    <d v="2024-01-01T00:00:00"/>
    <n v="68"/>
    <n v="107"/>
    <n v="102"/>
    <n v="5019"/>
    <n v="181"/>
    <n v="5126"/>
    <n v="4838"/>
    <n v="3.9272426622571311E-3"/>
    <s v="Backlog"/>
    <n v="0.94381584081154901"/>
    <n v="6.606710885680843"/>
    <x v="230"/>
    <b v="1"/>
    <x v="50"/>
  </r>
  <r>
    <d v="2024-01-02T00:00:00"/>
    <n v="74"/>
    <n v="103"/>
    <n v="80"/>
    <n v="5092"/>
    <n v="235"/>
    <n v="5195"/>
    <n v="4857"/>
    <n v="0.10006176652254478"/>
    <s v="Backlog"/>
    <n v="0.93493743984600575"/>
    <n v="6.5445620789220404"/>
    <x v="231"/>
    <b v="1"/>
    <x v="50"/>
  </r>
  <r>
    <d v="2024-01-03T00:00:00"/>
    <n v="56"/>
    <n v="82"/>
    <n v="68"/>
    <n v="5507"/>
    <n v="164"/>
    <n v="5589"/>
    <n v="5343"/>
    <n v="1.4598540145985401E-2"/>
    <s v="Backlog"/>
    <n v="0.95598497047772413"/>
    <n v="6.6918947933440691"/>
    <x v="232"/>
    <b v="1"/>
    <x v="50"/>
  </r>
  <r>
    <d v="2024-01-04T00:00:00"/>
    <n v="38"/>
    <n v="80"/>
    <n v="82"/>
    <n v="5605"/>
    <n v="184"/>
    <n v="5685"/>
    <n v="5421"/>
    <n v="2.7485703744696551E-2"/>
    <s v="Backlog"/>
    <n v="0.95356200527704482"/>
    <n v="6.6749340369393142"/>
    <x v="233"/>
    <b v="0"/>
    <x v="50"/>
  </r>
  <r>
    <d v="2024-01-07T00:00:00"/>
    <n v="65"/>
    <n v="83"/>
    <n v="65"/>
    <n v="5703"/>
    <n v="133"/>
    <n v="5786"/>
    <n v="5570"/>
    <n v="1.6157989228007181E-3"/>
    <s v="Backlog"/>
    <n v="0.96266851019702726"/>
    <n v="6.7386795713791905"/>
    <x v="234"/>
    <b v="1"/>
    <x v="0"/>
  </r>
  <r>
    <d v="2024-01-08T00:00:00"/>
    <n v="41"/>
    <n v="60"/>
    <n v="71"/>
    <n v="5769"/>
    <n v="190"/>
    <n v="5829"/>
    <n v="5579"/>
    <n v="2.1150743860906974E-2"/>
    <s v="Backlog"/>
    <n v="0.95711099674043576"/>
    <n v="6.69977697718305"/>
    <x v="235"/>
    <b v="0"/>
    <x v="0"/>
  </r>
  <r>
    <d v="2024-01-09T00:00:00"/>
    <n v="43"/>
    <n v="73"/>
    <n v="64"/>
    <n v="5882"/>
    <n v="185"/>
    <n v="5955"/>
    <n v="5697"/>
    <n v="7.4600667017728634E-2"/>
    <s v="Backlog"/>
    <n v="0.95667506297229221"/>
    <n v="6.6967254408060457"/>
    <x v="236"/>
    <b v="1"/>
    <x v="0"/>
  </r>
  <r>
    <d v="2024-01-10T00:00:00"/>
    <n v="35"/>
    <n v="70"/>
    <n v="53"/>
    <n v="6292"/>
    <n v="170"/>
    <n v="6362"/>
    <n v="6122"/>
    <n v="2.270499836654688E-2"/>
    <s v="Backlog"/>
    <n v="0.96227601383212824"/>
    <n v="6.7359320968248975"/>
    <x v="237"/>
    <b v="1"/>
    <x v="0"/>
  </r>
  <r>
    <d v="2024-01-11T00:00:00"/>
    <n v="25"/>
    <n v="66"/>
    <n v="94"/>
    <n v="6405"/>
    <n v="144"/>
    <n v="6471"/>
    <n v="6261"/>
    <n v="2.5555023159239739E-3"/>
    <s v="Backlog"/>
    <n v="0.96754751970329156"/>
    <n v="6.7728326379230408"/>
    <x v="238"/>
    <b v="0"/>
    <x v="0"/>
  </r>
  <r>
    <d v="2024-01-15T00:00:00"/>
    <n v="99"/>
    <n v="156"/>
    <n v="139"/>
    <n v="6454"/>
    <n v="177"/>
    <n v="6610"/>
    <n v="6277"/>
    <n v="-4.4607296479209817E-3"/>
    <s v="No Backlog"/>
    <n v="0.94962178517397877"/>
    <n v="6.6473524962178514"/>
    <x v="239"/>
    <b v="1"/>
    <x v="51"/>
  </r>
  <r>
    <d v="2024-01-16T00:00:00"/>
    <n v="107"/>
    <n v="170"/>
    <n v="133"/>
    <n v="6465"/>
    <n v="216"/>
    <n v="6635"/>
    <n v="6249"/>
    <n v="5.1688270123219714E-2"/>
    <s v="Backlog"/>
    <n v="0.94182366239638282"/>
    <n v="6.5927656367746801"/>
    <x v="240"/>
    <b v="1"/>
    <x v="51"/>
  </r>
  <r>
    <d v="2024-01-17T00:00:00"/>
    <n v="80"/>
    <n v="122"/>
    <n v="152"/>
    <n v="6707"/>
    <n v="135"/>
    <n v="6829"/>
    <n v="6572"/>
    <n v="1.5216068167985392E-3"/>
    <s v="Backlog"/>
    <n v="0.96236637867916242"/>
    <n v="6.7365646507541372"/>
    <x v="241"/>
    <b v="0"/>
    <x v="51"/>
  </r>
  <r>
    <d v="2024-01-18T00:00:00"/>
    <n v="57"/>
    <n v="162"/>
    <n v="193"/>
    <n v="6689"/>
    <n v="107"/>
    <n v="6851"/>
    <n v="6582"/>
    <n v="-1.7471893041628685E-2"/>
    <s v="No Backlog"/>
    <n v="0.96073565902787916"/>
    <n v="6.7251496131951543"/>
    <x v="242"/>
    <b v="0"/>
    <x v="51"/>
  </r>
  <r>
    <d v="2024-01-21T00:00:00"/>
    <n v="161"/>
    <n v="304"/>
    <n v="211"/>
    <n v="6622"/>
    <n v="155"/>
    <n v="6926"/>
    <n v="6467"/>
    <n v="-2.3194680686562549E-2"/>
    <s v="No Backlog"/>
    <n v="0.93372798151891423"/>
    <n v="6.5360958706323995"/>
    <x v="243"/>
    <b v="1"/>
    <x v="1"/>
  </r>
  <r>
    <d v="2024-01-22T00:00:00"/>
    <n v="205"/>
    <n v="294"/>
    <n v="177"/>
    <n v="6548"/>
    <n v="231"/>
    <n v="6842"/>
    <n v="6317"/>
    <n v="1.5830299192654742E-3"/>
    <s v="Backlog"/>
    <n v="0.92326805027769654"/>
    <n v="6.4628763519438754"/>
    <x v="244"/>
    <b v="1"/>
    <x v="1"/>
  </r>
  <r>
    <d v="2024-01-23T00:00:00"/>
    <n v="100"/>
    <n v="255"/>
    <n v="236"/>
    <n v="6595"/>
    <n v="268"/>
    <n v="6850"/>
    <n v="6327"/>
    <n v="5.531847637110795E-3"/>
    <s v="Backlog"/>
    <n v="0.92364963503649633"/>
    <n v="6.4655474452554742"/>
    <x v="245"/>
    <b v="1"/>
    <x v="1"/>
  </r>
  <r>
    <d v="2024-01-24T00:00:00"/>
    <n v="269"/>
    <n v="412"/>
    <n v="204"/>
    <n v="6600"/>
    <n v="238"/>
    <n v="7012"/>
    <n v="6362"/>
    <n v="1.6032694121345489E-2"/>
    <s v="Backlog"/>
    <n v="0.90730176839703369"/>
    <n v="6.3511123787792361"/>
    <x v="246"/>
    <b v="1"/>
    <x v="1"/>
  </r>
  <r>
    <d v="2024-01-25T00:00:00"/>
    <n v="168"/>
    <n v="285"/>
    <n v="210"/>
    <n v="6598"/>
    <n v="134"/>
    <n v="6883"/>
    <n v="6464"/>
    <n v="-1.6862623762376239E-2"/>
    <s v="No Backlog"/>
    <n v="0.93912538137440071"/>
    <n v="6.5738776696208046"/>
    <x v="247"/>
    <b v="1"/>
    <x v="1"/>
  </r>
  <r>
    <d v="2024-01-28T00:00:00"/>
    <n v="187"/>
    <n v="310"/>
    <n v="247"/>
    <n v="6506"/>
    <n v="151"/>
    <n v="6816"/>
    <n v="6355"/>
    <n v="-7.8678206136900079E-3"/>
    <s v="No Backlog"/>
    <n v="0.93236502347417838"/>
    <n v="6.526555164319249"/>
    <x v="248"/>
    <b v="1"/>
    <x v="2"/>
  </r>
  <r>
    <d v="2024-01-29T00:00:00"/>
    <n v="133"/>
    <n v="287"/>
    <n v="189"/>
    <n v="6454"/>
    <n v="149"/>
    <n v="6741"/>
    <n v="6305"/>
    <n v="-1.9191118160190326E-2"/>
    <s v="No Backlog"/>
    <n v="0.93532116896602879"/>
    <n v="6.5472481827622016"/>
    <x v="249"/>
    <b v="1"/>
    <x v="2"/>
  </r>
  <r>
    <d v="2024-01-30T00:00:00"/>
    <n v="180"/>
    <n v="337"/>
    <n v="219"/>
    <n v="6408"/>
    <n v="224"/>
    <n v="6745"/>
    <n v="6184"/>
    <n v="1.6655886157826649E-2"/>
    <s v="Backlog"/>
    <n v="0.91682727946627129"/>
    <n v="6.4177909562638993"/>
    <x v="250"/>
    <b v="1"/>
    <x v="2"/>
  </r>
  <r>
    <d v="2024-01-31T00:00:00"/>
    <n v="153"/>
    <n v="253"/>
    <n v="286"/>
    <n v="6481"/>
    <n v="194"/>
    <n v="6734"/>
    <n v="6287"/>
    <n v="-5.8851598536662957E-3"/>
    <s v="No Backlog"/>
    <n v="0.93362043362043357"/>
    <n v="6.5353430353430353"/>
    <x v="251"/>
    <b v="0"/>
    <x v="2"/>
  </r>
  <r>
    <d v="2024-02-01T00:00:00"/>
    <n v="209"/>
    <n v="353"/>
    <n v="232"/>
    <n v="6402"/>
    <n v="152"/>
    <n v="6755"/>
    <n v="6250"/>
    <n v="-1.4239999999999999E-2"/>
    <s v="No Backlog"/>
    <n v="0.92524056254626208"/>
    <n v="6.4766839378238341"/>
    <x v="252"/>
    <b v="1"/>
    <x v="2"/>
  </r>
  <r>
    <d v="2024-02-04T00:00:00"/>
    <n v="167"/>
    <n v="326"/>
    <n v="213"/>
    <n v="6310"/>
    <n v="149"/>
    <n v="6636"/>
    <n v="6161"/>
    <n v="-1.0874857977601038E-2"/>
    <s v="No Backlog"/>
    <n v="0.92842073538276071"/>
    <n v="6.4989451476793247"/>
    <x v="253"/>
    <b v="1"/>
    <x v="3"/>
  </r>
  <r>
    <d v="2024-02-05T00:00:00"/>
    <n v="224"/>
    <n v="315"/>
    <n v="152"/>
    <n v="6268"/>
    <n v="174"/>
    <n v="6583"/>
    <n v="6094"/>
    <n v="3.2819166393173614E-3"/>
    <s v="Backlog"/>
    <n v="0.92571775786115751"/>
    <n v="6.4800243050281026"/>
    <x v="254"/>
    <b v="1"/>
    <x v="3"/>
  </r>
  <r>
    <d v="2024-02-06T00:00:00"/>
    <n v="132"/>
    <n v="243"/>
    <n v="183"/>
    <n v="6286"/>
    <n v="172"/>
    <n v="6529"/>
    <n v="6114"/>
    <n v="7.5237160614982012E-3"/>
    <s v="Backlog"/>
    <n v="0.93643743299126969"/>
    <n v="6.5550620309388883"/>
    <x v="255"/>
    <b v="1"/>
    <x v="3"/>
  </r>
  <r>
    <d v="2024-02-07T00:00:00"/>
    <n v="218"/>
    <n v="283"/>
    <n v="208"/>
    <n v="6310"/>
    <n v="150"/>
    <n v="6593"/>
    <n v="6160"/>
    <n v="-9.7402597402597403E-4"/>
    <s v="No Backlog"/>
    <n v="0.93432428333080542"/>
    <n v="6.5402699833156381"/>
    <x v="256"/>
    <b v="1"/>
    <x v="3"/>
  </r>
  <r>
    <d v="2024-02-08T00:00:00"/>
    <n v="118"/>
    <n v="245"/>
    <n v="160"/>
    <n v="6269"/>
    <n v="115"/>
    <n v="6514"/>
    <n v="6154"/>
    <n v="-1.1212219694507638E-2"/>
    <s v="No Backlog"/>
    <n v="0.94473441817623582"/>
    <n v="6.6131409272336512"/>
    <x v="257"/>
    <b v="1"/>
    <x v="3"/>
  </r>
  <r>
    <d v="2024-02-11T00:00:00"/>
    <n v="81"/>
    <n v="230"/>
    <n v="242"/>
    <n v="6192"/>
    <n v="107"/>
    <n v="6422"/>
    <n v="6085"/>
    <n v="-2.28430566967954E-2"/>
    <s v="No Backlog"/>
    <n v="0.94752413578324512"/>
    <n v="6.6326689504827154"/>
    <x v="258"/>
    <b v="0"/>
    <x v="4"/>
  </r>
  <r>
    <d v="2024-02-12T00:00:00"/>
    <n v="236"/>
    <n v="330"/>
    <n v="222"/>
    <n v="6061"/>
    <n v="115"/>
    <n v="6391"/>
    <n v="5946"/>
    <n v="-1.8331651530440633E-2"/>
    <s v="No Backlog"/>
    <n v="0.93037083398529186"/>
    <n v="6.5125958378970434"/>
    <x v="259"/>
    <b v="1"/>
    <x v="4"/>
  </r>
  <r>
    <d v="2024-02-13T00:00:00"/>
    <n v="196"/>
    <n v="306"/>
    <n v="187"/>
    <n v="5986"/>
    <n v="149"/>
    <n v="6292"/>
    <n v="5837"/>
    <n v="-2.9124550282679457E-3"/>
    <s v="No Backlog"/>
    <n v="0.9276859504132231"/>
    <n v="6.4938016528925617"/>
    <x v="260"/>
    <b v="1"/>
    <x v="4"/>
  </r>
  <r>
    <d v="2024-02-14T00:00:00"/>
    <n v="113"/>
    <n v="280"/>
    <n v="237"/>
    <n v="5963"/>
    <n v="143"/>
    <n v="6243"/>
    <n v="5820"/>
    <n v="-2.9037800687285224E-2"/>
    <s v="No Backlog"/>
    <n v="0.93224411340701585"/>
    <n v="6.5257087938491107"/>
    <x v="261"/>
    <b v="1"/>
    <x v="4"/>
  </r>
  <r>
    <d v="2024-02-15T00:00:00"/>
    <n v="239"/>
    <n v="367"/>
    <n v="224"/>
    <n v="5862"/>
    <n v="211"/>
    <n v="6229"/>
    <n v="5651"/>
    <n v="1.1148469297469474E-2"/>
    <s v="Backlog"/>
    <n v="0.9072082196179162"/>
    <n v="6.3504575373254131"/>
    <x v="262"/>
    <b v="1"/>
    <x v="4"/>
  </r>
  <r>
    <d v="2024-02-19T00:00:00"/>
    <n v="152"/>
    <n v="272"/>
    <n v="214"/>
    <n v="5826"/>
    <n v="112"/>
    <n v="6098"/>
    <n v="5714"/>
    <n v="-2.24011200560028E-2"/>
    <s v="No Backlog"/>
    <n v="0.93702853394555596"/>
    <n v="6.5591997376188917"/>
    <x v="263"/>
    <b v="1"/>
    <x v="5"/>
  </r>
  <r>
    <d v="2024-02-20T00:00:00"/>
    <n v="170"/>
    <n v="297"/>
    <n v="196"/>
    <n v="5715"/>
    <n v="129"/>
    <n v="6012"/>
    <n v="5586"/>
    <n v="-2.309344790547798E-2"/>
    <s v="No Backlog"/>
    <n v="0.92914171656686628"/>
    <n v="6.5039920159680644"/>
    <x v="264"/>
    <b v="1"/>
    <x v="5"/>
  </r>
  <r>
    <d v="2024-02-21T00:00:00"/>
    <n v="191"/>
    <n v="283"/>
    <n v="192"/>
    <n v="5664"/>
    <n v="207"/>
    <n v="5947"/>
    <n v="5457"/>
    <n v="3.3534909290819134E-2"/>
    <s v="Backlog"/>
    <n v="0.91760551538590884"/>
    <n v="6.4232386077013617"/>
    <x v="265"/>
    <b v="1"/>
    <x v="5"/>
  </r>
  <r>
    <d v="2024-02-22T00:00:00"/>
    <n v="109"/>
    <n v="214"/>
    <n v="173"/>
    <n v="5850"/>
    <n v="210"/>
    <n v="6064"/>
    <n v="5640"/>
    <n v="1.6134751773049644E-2"/>
    <s v="Backlog"/>
    <n v="0.93007915567282318"/>
    <n v="6.5105540897097622"/>
    <x v="266"/>
    <b v="1"/>
    <x v="5"/>
  </r>
  <r>
    <d v="2024-02-25T00:00:00"/>
    <n v="155"/>
    <n v="212"/>
    <n v="181"/>
    <n v="5879"/>
    <n v="148"/>
    <n v="6091"/>
    <n v="5731"/>
    <n v="-5.7581573896353169E-3"/>
    <s v="No Backlog"/>
    <n v="0.94089640453127565"/>
    <n v="6.5862748317189297"/>
    <x v="267"/>
    <b v="1"/>
    <x v="6"/>
  </r>
  <r>
    <d v="2024-02-26T00:00:00"/>
    <n v="119"/>
    <n v="209"/>
    <n v="152"/>
    <n v="5844"/>
    <n v="146"/>
    <n v="6053"/>
    <n v="5698"/>
    <n v="-2.9835029835029833E-3"/>
    <s v="No Backlog"/>
    <n v="0.94135139600198248"/>
    <n v="6.5894597720138774"/>
    <x v="268"/>
    <b v="1"/>
    <x v="6"/>
  </r>
  <r>
    <d v="2024-02-27T00:00:00"/>
    <n v="143"/>
    <n v="203"/>
    <n v="163"/>
    <n v="5819"/>
    <n v="138"/>
    <n v="6022"/>
    <n v="5681"/>
    <n v="-1.0561520859003696E-2"/>
    <s v="No Backlog"/>
    <n v="0.94337429425440056"/>
    <n v="6.6036200597808037"/>
    <x v="269"/>
    <b v="1"/>
    <x v="6"/>
  </r>
  <r>
    <d v="2024-02-28T00:00:00"/>
    <n v="105"/>
    <n v="210"/>
    <n v="149"/>
    <n v="5816"/>
    <n v="195"/>
    <n v="6026"/>
    <n v="5621"/>
    <n v="4.1273794698452236E-2"/>
    <s v="Backlog"/>
    <n v="0.93279123796880181"/>
    <n v="6.5295386657816126"/>
    <x v="270"/>
    <b v="1"/>
    <x v="6"/>
  </r>
  <r>
    <d v="2024-02-29T00:00:00"/>
    <n v="119"/>
    <n v="219"/>
    <n v="210"/>
    <n v="6025"/>
    <n v="172"/>
    <n v="6244"/>
    <n v="5853"/>
    <n v="-6.4923970613360669E-3"/>
    <s v="No Backlog"/>
    <n v="0.93737988468930178"/>
    <n v="6.5616591928251129"/>
    <x v="271"/>
    <b v="1"/>
    <x v="6"/>
  </r>
  <r>
    <d v="2024-03-03T00:00:00"/>
    <n v="148"/>
    <n v="245"/>
    <n v="175"/>
    <n v="5966"/>
    <n v="151"/>
    <n v="6211"/>
    <n v="5815"/>
    <n v="3.7833190025795358E-3"/>
    <s v="Backlog"/>
    <n v="0.93624215102237962"/>
    <n v="6.5536950571566575"/>
    <x v="272"/>
    <b v="1"/>
    <x v="7"/>
  </r>
  <r>
    <d v="2024-03-04T00:00:00"/>
    <n v="142"/>
    <n v="235"/>
    <n v="139"/>
    <n v="5975"/>
    <n v="138"/>
    <n v="6210"/>
    <n v="5837"/>
    <n v="-3.2550967962994689E-3"/>
    <s v="No Backlog"/>
    <n v="0.93993558776167474"/>
    <n v="6.5795491143317228"/>
    <x v="273"/>
    <b v="1"/>
    <x v="7"/>
  </r>
  <r>
    <d v="2024-03-05T00:00:00"/>
    <n v="118"/>
    <n v="139"/>
    <n v="168"/>
    <n v="5963"/>
    <n v="145"/>
    <n v="6102"/>
    <n v="5818"/>
    <n v="1.5297353042282571E-2"/>
    <s v="Backlog"/>
    <n v="0.95345788266142251"/>
    <n v="6.6742051786299577"/>
    <x v="274"/>
    <b v="0"/>
    <x v="7"/>
  </r>
  <r>
    <d v="2024-03-06T00:00:00"/>
    <n v="125"/>
    <n v="232"/>
    <n v="192"/>
    <n v="6084"/>
    <n v="177"/>
    <n v="6316"/>
    <n v="5907"/>
    <n v="7.1102082275266631E-3"/>
    <s v="Backlog"/>
    <n v="0.9352438252058265"/>
    <n v="6.5467067764407858"/>
    <x v="275"/>
    <b v="1"/>
    <x v="7"/>
  </r>
  <r>
    <d v="2024-03-07T00:00:00"/>
    <n v="156"/>
    <n v="256"/>
    <n v="176"/>
    <n v="6086"/>
    <n v="137"/>
    <n v="6342"/>
    <n v="5949"/>
    <n v="-5.0428643469490669E-3"/>
    <s v="No Backlog"/>
    <n v="0.93803216650898769"/>
    <n v="6.5662251655629138"/>
    <x v="276"/>
    <b v="1"/>
    <x v="7"/>
  </r>
  <r>
    <d v="2024-03-10T00:00:00"/>
    <n v="109"/>
    <n v="245"/>
    <n v="159"/>
    <n v="6045"/>
    <n v="126"/>
    <n v="6290"/>
    <n v="5919"/>
    <n v="-7.4336881229937488E-3"/>
    <s v="No Backlog"/>
    <n v="0.94101748807631158"/>
    <n v="6.5871224165341813"/>
    <x v="277"/>
    <b v="1"/>
    <x v="8"/>
  </r>
  <r>
    <d v="2024-03-11T00:00:00"/>
    <n v="167"/>
    <n v="209"/>
    <n v="157"/>
    <n v="6007"/>
    <n v="132"/>
    <n v="6216"/>
    <n v="5875"/>
    <n v="-1.1744680851063829E-2"/>
    <s v="No Backlog"/>
    <n v="0.94514157014157019"/>
    <n v="6.6159909909909915"/>
    <x v="278"/>
    <b v="1"/>
    <x v="8"/>
  </r>
  <r>
    <d v="2024-03-12T00:00:00"/>
    <n v="84"/>
    <n v="171"/>
    <n v="157"/>
    <n v="5990"/>
    <n v="184"/>
    <n v="6161"/>
    <n v="5806"/>
    <n v="2.8418877023768517E-2"/>
    <s v="Backlog"/>
    <n v="0.94237948385002435"/>
    <n v="6.5966563869501709"/>
    <x v="279"/>
    <b v="1"/>
    <x v="8"/>
  </r>
  <r>
    <d v="2024-03-13T00:00:00"/>
    <n v="87"/>
    <n v="246"/>
    <n v="173"/>
    <n v="6148"/>
    <n v="177"/>
    <n v="6394"/>
    <n v="5971"/>
    <n v="3.0145704237146205E-3"/>
    <s v="Backlog"/>
    <n v="0.93384422896465435"/>
    <n v="6.5369096027525808"/>
    <x v="280"/>
    <b v="1"/>
    <x v="8"/>
  </r>
  <r>
    <d v="2024-03-14T00:00:00"/>
    <n v="136"/>
    <n v="276"/>
    <n v="178"/>
    <n v="6149"/>
    <n v="160"/>
    <n v="6425"/>
    <n v="5989"/>
    <n v="-1.502755050926699E-3"/>
    <s v="No Backlog"/>
    <n v="0.93214007782101171"/>
    <n v="6.5249805447470823"/>
    <x v="281"/>
    <b v="1"/>
    <x v="8"/>
  </r>
  <r>
    <d v="2024-03-17T00:00:00"/>
    <n v="166"/>
    <n v="277"/>
    <n v="229"/>
    <n v="6106"/>
    <n v="126"/>
    <n v="6383"/>
    <n v="5980"/>
    <n v="-2.1404682274247491E-2"/>
    <s v="No Backlog"/>
    <n v="0.93686354378818737"/>
    <n v="6.5580448065173114"/>
    <x v="282"/>
    <b v="1"/>
    <x v="9"/>
  </r>
  <r>
    <d v="2024-03-18T00:00:00"/>
    <n v="110"/>
    <n v="272"/>
    <n v="193"/>
    <n v="6008"/>
    <n v="156"/>
    <n v="6280"/>
    <n v="5852"/>
    <n v="-1.1961722488038277E-2"/>
    <s v="No Backlog"/>
    <n v="0.9318471337579618"/>
    <n v="6.5229299363057329"/>
    <x v="283"/>
    <b v="1"/>
    <x v="9"/>
  </r>
  <r>
    <d v="2024-03-19T00:00:00"/>
    <n v="202"/>
    <n v="313"/>
    <n v="158"/>
    <n v="5974"/>
    <n v="192"/>
    <n v="6287"/>
    <n v="5782"/>
    <n v="2.7153234175025943E-2"/>
    <s v="Backlog"/>
    <n v="0.91967552091617621"/>
    <n v="6.4377286464132339"/>
    <x v="284"/>
    <b v="1"/>
    <x v="9"/>
  </r>
  <r>
    <d v="2024-03-20T00:00:00"/>
    <n v="134"/>
    <n v="294"/>
    <n v="186"/>
    <n v="6077"/>
    <n v="138"/>
    <n v="6371"/>
    <n v="5939"/>
    <n v="-8.418925745074928E-4"/>
    <s v="No Backlog"/>
    <n v="0.93219274839114741"/>
    <n v="6.5253492387380323"/>
    <x v="285"/>
    <b v="1"/>
    <x v="9"/>
  </r>
  <r>
    <d v="2024-03-21T00:00:00"/>
    <n v="180"/>
    <n v="280"/>
    <n v="146"/>
    <n v="6043"/>
    <n v="109"/>
    <n v="6323"/>
    <n v="5934"/>
    <n v="-2.0559487698011459E-2"/>
    <s v="No Backlog"/>
    <n v="0.9384785702989088"/>
    <n v="6.5693499920923619"/>
    <x v="286"/>
    <b v="1"/>
    <x v="9"/>
  </r>
  <r>
    <d v="2024-03-24T00:00:00"/>
    <n v="108"/>
    <n v="220"/>
    <n v="213"/>
    <n v="5966"/>
    <n v="154"/>
    <n v="6186"/>
    <n v="5812"/>
    <n v="-1.5313145216792843E-2"/>
    <s v="No Backlog"/>
    <n v="0.93954089880375036"/>
    <n v="6.5767862916262523"/>
    <x v="287"/>
    <b v="1"/>
    <x v="10"/>
  </r>
  <r>
    <d v="2024-03-25T00:00:00"/>
    <n v="147"/>
    <n v="276"/>
    <n v="214"/>
    <n v="5918"/>
    <n v="195"/>
    <n v="6194"/>
    <n v="5723"/>
    <n v="3.3723571553381092E-2"/>
    <s v="Backlog"/>
    <n v="0.9239586696803358"/>
    <n v="6.4677106877623505"/>
    <x v="288"/>
    <b v="1"/>
    <x v="10"/>
  </r>
  <r>
    <d v="2024-03-26T00:00:00"/>
    <n v="104"/>
    <n v="230"/>
    <n v="206"/>
    <n v="6076"/>
    <n v="160"/>
    <n v="6306"/>
    <n v="5916"/>
    <n v="-1.5212981744421906E-3"/>
    <s v="No Backlog"/>
    <n v="0.93815413891531874"/>
    <n v="6.5670789724072307"/>
    <x v="289"/>
    <b v="1"/>
    <x v="10"/>
  </r>
  <r>
    <d v="2024-03-27T00:00:00"/>
    <n v="174"/>
    <n v="285"/>
    <n v="150"/>
    <n v="6036"/>
    <n v="129"/>
    <n v="6321"/>
    <n v="5907"/>
    <n v="-1.6929067208396818E-4"/>
    <s v="No Backlog"/>
    <n v="0.93450403417180827"/>
    <n v="6.5415282392026581"/>
    <x v="290"/>
    <b v="1"/>
    <x v="10"/>
  </r>
  <r>
    <d v="2024-03-28T00:00:00"/>
    <n v="113"/>
    <n v="208"/>
    <n v="159"/>
    <n v="6013"/>
    <n v="107"/>
    <n v="6221"/>
    <n v="5906"/>
    <n v="-1.303758889265154E-2"/>
    <s v="No Backlog"/>
    <n v="0.94936505384986336"/>
    <n v="6.6455553769490434"/>
    <x v="291"/>
    <b v="1"/>
    <x v="10"/>
  </r>
  <r>
    <d v="2024-03-31T00:00:00"/>
    <n v="88"/>
    <n v="214"/>
    <n v="160"/>
    <n v="5935"/>
    <n v="106"/>
    <n v="6149"/>
    <n v="5829"/>
    <n v="-2.573340195573855E-2"/>
    <s v="No Backlog"/>
    <n v="0.94795901772645963"/>
    <n v="6.6357131240852176"/>
    <x v="292"/>
    <b v="1"/>
    <x v="11"/>
  </r>
  <r>
    <d v="2024-04-01T00:00:00"/>
    <n v="130"/>
    <n v="227"/>
    <n v="192"/>
    <n v="5889"/>
    <n v="210"/>
    <n v="6116"/>
    <n v="5679"/>
    <n v="4.1732699418911778E-2"/>
    <s v="Backlog"/>
    <n v="0.92854807063440159"/>
    <n v="6.4998364944408111"/>
    <x v="293"/>
    <b v="1"/>
    <x v="11"/>
  </r>
  <r>
    <d v="2024-04-02T00:00:00"/>
    <n v="84"/>
    <n v="158"/>
    <n v="193"/>
    <n v="6075"/>
    <n v="159"/>
    <n v="6233"/>
    <n v="5916"/>
    <n v="-1.0141987829614604E-3"/>
    <s v="No Backlog"/>
    <n v="0.94914166532969679"/>
    <n v="6.6439916573078772"/>
    <x v="294"/>
    <b v="0"/>
    <x v="11"/>
  </r>
  <r>
    <d v="2024-04-03T00:00:00"/>
    <n v="115"/>
    <n v="216"/>
    <n v="169"/>
    <n v="6047"/>
    <n v="137"/>
    <n v="6263"/>
    <n v="5910"/>
    <n v="-3.3840947546531302E-3"/>
    <s v="No Backlog"/>
    <n v="0.94363723455213155"/>
    <n v="6.6054606418649211"/>
    <x v="295"/>
    <b v="1"/>
    <x v="11"/>
  </r>
  <r>
    <d v="2024-04-04T00:00:00"/>
    <n v="167"/>
    <n v="239"/>
    <n v="166"/>
    <n v="6013"/>
    <n v="123"/>
    <n v="6252"/>
    <n v="5890"/>
    <n v="-1.2733446519524618E-2"/>
    <s v="No Backlog"/>
    <n v="0.94209852847088926"/>
    <n v="6.5946896992962252"/>
    <x v="296"/>
    <b v="1"/>
    <x v="11"/>
  </r>
  <r>
    <d v="2024-04-07T00:00:00"/>
    <n v="99"/>
    <n v="190"/>
    <n v="176"/>
    <n v="5968"/>
    <n v="153"/>
    <n v="6158"/>
    <n v="5815"/>
    <n v="1.8916595012897677E-2"/>
    <s v="Backlog"/>
    <n v="0.94430009743423193"/>
    <n v="6.610100682039624"/>
    <x v="297"/>
    <b v="1"/>
    <x v="12"/>
  </r>
  <r>
    <d v="2024-04-08T00:00:00"/>
    <n v="101"/>
    <n v="162"/>
    <n v="178"/>
    <n v="6118"/>
    <n v="193"/>
    <n v="6280"/>
    <n v="5925"/>
    <n v="-1.181434599156118E-3"/>
    <s v="No Backlog"/>
    <n v="0.94347133757961787"/>
    <n v="6.6042993630573248"/>
    <x v="298"/>
    <b v="0"/>
    <x v="12"/>
  </r>
  <r>
    <d v="2024-04-09T00:00:00"/>
    <n v="107"/>
    <n v="215"/>
    <n v="230"/>
    <n v="6091"/>
    <n v="173"/>
    <n v="6306"/>
    <n v="5918"/>
    <n v="-2.5346400811084827E-3"/>
    <s v="No Backlog"/>
    <n v="0.9384712971772915"/>
    <n v="6.5692990802410405"/>
    <x v="299"/>
    <b v="0"/>
    <x v="12"/>
  </r>
  <r>
    <d v="2024-04-10T00:00:00"/>
    <n v="184"/>
    <n v="314"/>
    <n v="217"/>
    <n v="6040"/>
    <n v="137"/>
    <n v="6354"/>
    <n v="5903"/>
    <n v="-1.2535998644756904E-2"/>
    <s v="No Backlog"/>
    <n v="0.92902108907774628"/>
    <n v="6.5031476235442236"/>
    <x v="300"/>
    <b v="1"/>
    <x v="12"/>
  </r>
  <r>
    <d v="2024-04-11T00:00:00"/>
    <n v="209"/>
    <n v="285"/>
    <n v="184"/>
    <n v="5967"/>
    <n v="138"/>
    <n v="6252"/>
    <n v="5829"/>
    <n v="-1.3896037056098817E-2"/>
    <s v="No Backlog"/>
    <n v="0.93234165067178498"/>
    <n v="6.5263915547024949"/>
    <x v="301"/>
    <b v="1"/>
    <x v="12"/>
  </r>
  <r>
    <d v="2024-04-14T00:00:00"/>
    <n v="81"/>
    <n v="213"/>
    <n v="153"/>
    <n v="5925"/>
    <n v="177"/>
    <n v="6138"/>
    <n v="5748"/>
    <n v="2.7313848295059152E-2"/>
    <s v="Backlog"/>
    <n v="0.93646138807429125"/>
    <n v="6.5552297165200386"/>
    <x v="302"/>
    <b v="1"/>
    <x v="13"/>
  </r>
  <r>
    <d v="2024-04-15T00:00:00"/>
    <n v="91"/>
    <n v="199"/>
    <n v="172"/>
    <n v="6090"/>
    <n v="185"/>
    <n v="6289"/>
    <n v="5905"/>
    <n v="-4.0643522438611347E-3"/>
    <s v="No Backlog"/>
    <n v="0.9389410081093974"/>
    <n v="6.5725870567657818"/>
    <x v="303"/>
    <b v="1"/>
    <x v="13"/>
  </r>
  <r>
    <d v="2024-04-16T00:00:00"/>
    <n v="154"/>
    <n v="225"/>
    <n v="220"/>
    <n v="6050"/>
    <n v="169"/>
    <n v="6275"/>
    <n v="5881"/>
    <n v="-1.7003910899506886E-4"/>
    <s v="No Backlog"/>
    <n v="0.93721115537848609"/>
    <n v="6.5604780876494022"/>
    <x v="304"/>
    <b v="1"/>
    <x v="13"/>
  </r>
  <r>
    <d v="2024-04-17T00:00:00"/>
    <n v="186"/>
    <n v="259"/>
    <n v="172"/>
    <n v="6023"/>
    <n v="143"/>
    <n v="6282"/>
    <n v="5880"/>
    <n v="-7.312925170068027E-3"/>
    <s v="No Backlog"/>
    <n v="0.93600764087870103"/>
    <n v="6.552053486150907"/>
    <x v="305"/>
    <b v="1"/>
    <x v="13"/>
  </r>
  <r>
    <d v="2024-04-18T00:00:00"/>
    <n v="92"/>
    <n v="203"/>
    <n v="173"/>
    <n v="6002"/>
    <n v="165"/>
    <n v="6205"/>
    <n v="5837"/>
    <n v="-7.7094397807092683E-3"/>
    <s v="No Backlog"/>
    <n v="0.94069298952457692"/>
    <n v="6.5848509266720381"/>
    <x v="306"/>
    <b v="1"/>
    <x v="13"/>
  </r>
  <r>
    <d v="2024-04-21T00:00:00"/>
    <n v="124"/>
    <n v="234"/>
    <n v="161"/>
    <n v="5989"/>
    <n v="197"/>
    <n v="6223"/>
    <n v="5792"/>
    <n v="5.006906077348066E-2"/>
    <s v="Backlog"/>
    <n v="0.9307408002571107"/>
    <n v="6.5151856017997751"/>
    <x v="307"/>
    <b v="1"/>
    <x v="14"/>
  </r>
  <r>
    <d v="2024-04-22T00:00:00"/>
    <n v="93"/>
    <n v="196"/>
    <n v="169"/>
    <n v="6270"/>
    <n v="188"/>
    <n v="6466"/>
    <n v="6082"/>
    <n v="2.3018743834265043E-3"/>
    <s v="Backlog"/>
    <n v="0.94061243427157437"/>
    <n v="6.5842870399010209"/>
    <x v="308"/>
    <b v="1"/>
    <x v="14"/>
  </r>
  <r>
    <d v="2024-04-23T00:00:00"/>
    <n v="116"/>
    <n v="213"/>
    <n v="217"/>
    <n v="6245"/>
    <n v="149"/>
    <n v="6458"/>
    <n v="6096"/>
    <n v="-4.7572178477690288E-3"/>
    <s v="No Backlog"/>
    <n v="0.9439454939609786"/>
    <n v="6.6076184577268506"/>
    <x v="309"/>
    <b v="0"/>
    <x v="14"/>
  </r>
  <r>
    <d v="2024-04-24T00:00:00"/>
    <n v="159"/>
    <n v="304"/>
    <n v="139"/>
    <n v="6227"/>
    <n v="160"/>
    <n v="6531"/>
    <n v="6067"/>
    <n v="-3.2965221691115873E-4"/>
    <s v="No Backlog"/>
    <n v="0.92895421834328584"/>
    <n v="6.502679528403001"/>
    <x v="310"/>
    <b v="1"/>
    <x v="14"/>
  </r>
  <r>
    <d v="2024-04-25T00:00:00"/>
    <n v="113"/>
    <n v="209"/>
    <n v="160"/>
    <n v="6229"/>
    <n v="164"/>
    <n v="6438"/>
    <n v="6065"/>
    <n v="-6.7600989282769995E-3"/>
    <s v="No Backlog"/>
    <n v="0.94206275240757997"/>
    <n v="6.59443926685306"/>
    <x v="311"/>
    <b v="1"/>
    <x v="14"/>
  </r>
  <r>
    <d v="2024-04-28T00:00:00"/>
    <n v="98"/>
    <n v="220"/>
    <n v="167"/>
    <n v="6234"/>
    <n v="210"/>
    <n v="6454"/>
    <n v="6024"/>
    <n v="3.8180610889774237E-3"/>
    <s v="Backlog"/>
    <n v="0.93337465137898978"/>
    <n v="6.5336225596529287"/>
    <x v="312"/>
    <b v="1"/>
    <x v="15"/>
  </r>
  <r>
    <d v="2024-04-29T00:00:00"/>
    <n v="81"/>
    <n v="200"/>
    <n v="212"/>
    <n v="6326"/>
    <n v="279"/>
    <n v="6526"/>
    <n v="6047"/>
    <n v="1.5379527038200761E-2"/>
    <s v="Backlog"/>
    <n v="0.9266012871590561"/>
    <n v="6.4862090101133925"/>
    <x v="313"/>
    <b v="0"/>
    <x v="15"/>
  </r>
  <r>
    <d v="2024-04-30T00:00:00"/>
    <n v="184"/>
    <n v="280"/>
    <n v="210"/>
    <n v="6360"/>
    <n v="220"/>
    <n v="6640"/>
    <n v="6140"/>
    <n v="1.758957654723127E-2"/>
    <s v="Backlog"/>
    <n v="0.92469879518072284"/>
    <n v="6.4728915662650603"/>
    <x v="314"/>
    <b v="1"/>
    <x v="15"/>
  </r>
  <r>
    <d v="2024-05-01T00:00:00"/>
    <n v="93"/>
    <n v="248"/>
    <n v="175"/>
    <n v="6410"/>
    <n v="162"/>
    <n v="6658"/>
    <n v="6248"/>
    <n v="0"/>
    <s v="No Backlog"/>
    <n v="0.93841994592970868"/>
    <n v="6.568939621507961"/>
    <x v="315"/>
    <b v="1"/>
    <x v="15"/>
  </r>
  <r>
    <d v="2024-05-02T00:00:00"/>
    <n v="131"/>
    <n v="251"/>
    <n v="180"/>
    <n v="6396"/>
    <n v="148"/>
    <n v="6647"/>
    <n v="6248"/>
    <n v="-5.7618437900128043E-3"/>
    <s v="No Backlog"/>
    <n v="0.93997292011433731"/>
    <n v="6.5798104408003608"/>
    <x v="316"/>
    <b v="1"/>
    <x v="15"/>
  </r>
  <r>
    <d v="2024-05-05T00:00:00"/>
    <n v="144"/>
    <n v="275"/>
    <n v="190"/>
    <n v="6353"/>
    <n v="141"/>
    <n v="6628"/>
    <n v="6212"/>
    <n v="-1.9478428847392145E-2"/>
    <s v="No Backlog"/>
    <n v="0.93723596861798431"/>
    <n v="6.5606517803258901"/>
    <x v="317"/>
    <b v="1"/>
    <x v="16"/>
  </r>
  <r>
    <d v="2024-05-06T00:00:00"/>
    <n v="123"/>
    <n v="255"/>
    <n v="164"/>
    <n v="6312"/>
    <n v="221"/>
    <n v="6567"/>
    <n v="6091"/>
    <n v="3.8745690362830404E-2"/>
    <s v="Backlog"/>
    <n v="0.92751636972742502"/>
    <n v="6.4926145880919748"/>
    <x v="318"/>
    <b v="1"/>
    <x v="16"/>
  </r>
  <r>
    <d v="2024-05-07T00:00:00"/>
    <n v="126"/>
    <n v="230"/>
    <n v="175"/>
    <n v="6448"/>
    <n v="121"/>
    <n v="6678"/>
    <n v="6327"/>
    <n v="-1.0431484115694643E-2"/>
    <s v="No Backlog"/>
    <n v="0.94743935309973049"/>
    <n v="6.6320754716981138"/>
    <x v="319"/>
    <b v="1"/>
    <x v="16"/>
  </r>
  <r>
    <d v="2024-05-08T00:00:00"/>
    <n v="121"/>
    <n v="231"/>
    <n v="219"/>
    <n v="6375"/>
    <n v="114"/>
    <n v="6606"/>
    <n v="6261"/>
    <n v="-1.6131608369270085E-2"/>
    <s v="No Backlog"/>
    <n v="0.94777475022706625"/>
    <n v="6.6344232515894639"/>
    <x v="320"/>
    <b v="1"/>
    <x v="16"/>
  </r>
  <r>
    <d v="2024-05-09T00:00:00"/>
    <n v="131"/>
    <n v="263"/>
    <n v="177"/>
    <n v="6272"/>
    <n v="112"/>
    <n v="6535"/>
    <n v="6160"/>
    <n v="-1.5746753246753245E-2"/>
    <s v="No Backlog"/>
    <n v="0.94261667941851568"/>
    <n v="6.5983167559296101"/>
    <x v="321"/>
    <b v="1"/>
    <x v="16"/>
  </r>
  <r>
    <d v="2024-05-12T00:00:00"/>
    <n v="133"/>
    <n v="270"/>
    <n v="198"/>
    <n v="6192"/>
    <n v="129"/>
    <n v="6462"/>
    <n v="6063"/>
    <n v="2.9688273132112814E-3"/>
    <s v="Backlog"/>
    <n v="0.93825441039925717"/>
    <n v="6.5677808727947999"/>
    <x v="322"/>
    <b v="1"/>
    <x v="17"/>
  </r>
  <r>
    <d v="2024-05-13T00:00:00"/>
    <n v="145"/>
    <n v="295"/>
    <n v="188"/>
    <n v="6250"/>
    <n v="169"/>
    <n v="6545"/>
    <n v="6081"/>
    <n v="1.9733596447952641E-3"/>
    <s v="Backlog"/>
    <n v="0.92910618792971733"/>
    <n v="6.5037433155080215"/>
    <x v="323"/>
    <b v="1"/>
    <x v="17"/>
  </r>
  <r>
    <d v="2024-05-14T00:00:00"/>
    <n v="170"/>
    <n v="285"/>
    <n v="178"/>
    <n v="6227"/>
    <n v="134"/>
    <n v="6512"/>
    <n v="6093"/>
    <n v="-6.2366650254390282E-3"/>
    <s v="No Backlog"/>
    <n v="0.93565724815724816"/>
    <n v="6.5496007371007368"/>
    <x v="324"/>
    <b v="1"/>
    <x v="17"/>
  </r>
  <r>
    <d v="2024-05-15T00:00:00"/>
    <n v="149"/>
    <n v="285"/>
    <n v="222"/>
    <n v="6152"/>
    <n v="97"/>
    <n v="6437"/>
    <n v="6055"/>
    <n v="-2.8406275805119736E-2"/>
    <s v="No Backlog"/>
    <n v="0.94065558489979806"/>
    <n v="6.5845890942985861"/>
    <x v="325"/>
    <b v="1"/>
    <x v="17"/>
  </r>
  <r>
    <d v="2024-05-16T00:00:00"/>
    <n v="182"/>
    <n v="307"/>
    <n v="205"/>
    <n v="6054"/>
    <n v="171"/>
    <n v="6361"/>
    <n v="5883"/>
    <n v="-1.8697943226245112E-3"/>
    <s v="No Backlog"/>
    <n v="0.92485458261279674"/>
    <n v="6.4739820782895769"/>
    <x v="326"/>
    <b v="1"/>
    <x v="17"/>
  </r>
  <r>
    <d v="2024-05-19T00:00:00"/>
    <n v="134"/>
    <n v="245"/>
    <n v="167"/>
    <n v="6028"/>
    <n v="156"/>
    <n v="6273"/>
    <n v="5872"/>
    <n v="1.8732970027247955E-3"/>
    <s v="Backlog"/>
    <n v="0.93607524310537227"/>
    <n v="6.5525267017376061"/>
    <x v="327"/>
    <b v="1"/>
    <x v="18"/>
  </r>
  <r>
    <d v="2024-05-20T00:00:00"/>
    <n v="136"/>
    <n v="274"/>
    <n v="245"/>
    <n v="5995"/>
    <n v="112"/>
    <n v="6269"/>
    <n v="5883"/>
    <n v="-2.991670916199218E-2"/>
    <s v="No Backlog"/>
    <n v="0.93842718136863934"/>
    <n v="6.5689902695804756"/>
    <x v="328"/>
    <b v="1"/>
    <x v="18"/>
  </r>
  <r>
    <d v="2024-05-21T00:00:00"/>
    <n v="176"/>
    <n v="254"/>
    <n v="162"/>
    <n v="5865"/>
    <n v="158"/>
    <n v="6119"/>
    <n v="5707"/>
    <n v="-1.1214298230243561E-2"/>
    <s v="No Backlog"/>
    <n v="0.9326687367216866"/>
    <n v="6.528681157051806"/>
    <x v="329"/>
    <b v="1"/>
    <x v="18"/>
  </r>
  <r>
    <d v="2024-05-22T00:00:00"/>
    <n v="86"/>
    <n v="244"/>
    <n v="235"/>
    <n v="5821"/>
    <n v="178"/>
    <n v="6065"/>
    <n v="5643"/>
    <n v="5.6707425128477758E-3"/>
    <s v="Backlog"/>
    <n v="0.93042044517724654"/>
    <n v="6.5129431162407254"/>
    <x v="330"/>
    <b v="1"/>
    <x v="18"/>
  </r>
  <r>
    <d v="2024-05-23T00:00:00"/>
    <n v="124"/>
    <n v="241"/>
    <n v="156"/>
    <n v="5895"/>
    <n v="220"/>
    <n v="6136"/>
    <n v="5675"/>
    <n v="2.3612334801762114E-2"/>
    <s v="Backlog"/>
    <n v="0.92486962190352018"/>
    <n v="6.4740873533246415"/>
    <x v="331"/>
    <b v="1"/>
    <x v="18"/>
  </r>
  <r>
    <d v="2024-05-27T00:00:00"/>
    <n v="109"/>
    <n v="226"/>
    <n v="191"/>
    <n v="5987"/>
    <n v="178"/>
    <n v="6213"/>
    <n v="5809"/>
    <n v="8.4351867791358243E-3"/>
    <s v="Backlog"/>
    <n v="0.93497505230967326"/>
    <n v="6.5448253661677125"/>
    <x v="332"/>
    <b v="1"/>
    <x v="19"/>
  </r>
  <r>
    <d v="2024-05-28T00:00:00"/>
    <n v="162"/>
    <n v="239"/>
    <n v="189"/>
    <n v="5981"/>
    <n v="123"/>
    <n v="6220"/>
    <n v="5858"/>
    <n v="-1.7582792762034824E-2"/>
    <s v="No Backlog"/>
    <n v="0.94180064308681677"/>
    <n v="6.5926045016077177"/>
    <x v="333"/>
    <b v="1"/>
    <x v="19"/>
  </r>
  <r>
    <d v="2024-05-29T00:00:00"/>
    <n v="109"/>
    <n v="219"/>
    <n v="155"/>
    <n v="5903"/>
    <n v="148"/>
    <n v="6122"/>
    <n v="5755"/>
    <n v="-1.9113814074717638E-2"/>
    <s v="No Backlog"/>
    <n v="0.94005227049983664"/>
    <n v="6.5803658934988567"/>
    <x v="334"/>
    <b v="1"/>
    <x v="19"/>
  </r>
  <r>
    <d v="2024-05-30T00:00:00"/>
    <n v="95"/>
    <n v="211"/>
    <n v="140"/>
    <n v="5894"/>
    <n v="249"/>
    <n v="6105"/>
    <n v="5645"/>
    <n v="4.6944198405668734E-2"/>
    <s v="Backlog"/>
    <n v="0.92465192465192469"/>
    <n v="6.4725634725634729"/>
    <x v="335"/>
    <b v="1"/>
    <x v="19"/>
  </r>
  <r>
    <d v="2024-06-02T00:00:00"/>
    <n v="119"/>
    <n v="230"/>
    <n v="213"/>
    <n v="6084"/>
    <n v="174"/>
    <n v="6314"/>
    <n v="5910"/>
    <n v="-7.7834179357021997E-3"/>
    <s v="No Backlog"/>
    <n v="0.93601520430788721"/>
    <n v="6.5521064301552103"/>
    <x v="336"/>
    <b v="1"/>
    <x v="20"/>
  </r>
  <r>
    <d v="2024-06-03T00:00:00"/>
    <n v="135"/>
    <n v="273"/>
    <n v="207"/>
    <n v="6038"/>
    <n v="174"/>
    <n v="6311"/>
    <n v="5864"/>
    <n v="-1.5347885402455662E-3"/>
    <s v="No Backlog"/>
    <n v="0.92917128822690542"/>
    <n v="6.5041990175883377"/>
    <x v="337"/>
    <b v="1"/>
    <x v="20"/>
  </r>
  <r>
    <d v="2024-06-04T00:00:00"/>
    <n v="163"/>
    <n v="283"/>
    <n v="200"/>
    <n v="5998"/>
    <n v="143"/>
    <n v="6281"/>
    <n v="5855"/>
    <n v="-9.3936806148590939E-3"/>
    <s v="No Backlog"/>
    <n v="0.93217640503104604"/>
    <n v="6.5252348352173222"/>
    <x v="338"/>
    <b v="1"/>
    <x v="20"/>
  </r>
  <r>
    <d v="2024-06-05T00:00:00"/>
    <n v="172"/>
    <n v="259"/>
    <n v="138"/>
    <n v="5950"/>
    <n v="150"/>
    <n v="6209"/>
    <n v="5800"/>
    <n v="-4.655172413793103E-3"/>
    <s v="No Backlog"/>
    <n v="0.93412787888548876"/>
    <n v="6.5388951521984211"/>
    <x v="339"/>
    <b v="1"/>
    <x v="20"/>
  </r>
  <r>
    <d v="2024-06-06T00:00:00"/>
    <n v="63"/>
    <n v="167"/>
    <n v="143"/>
    <n v="5943"/>
    <n v="170"/>
    <n v="6110"/>
    <n v="5773"/>
    <n v="1.2818292049194525E-2"/>
    <s v="Backlog"/>
    <n v="0.94484451718494267"/>
    <n v="6.6139116202945987"/>
    <x v="340"/>
    <b v="1"/>
    <x v="20"/>
  </r>
  <r>
    <d v="2024-06-09T00:00:00"/>
    <n v="227"/>
    <n v="298"/>
    <n v="212"/>
    <n v="6016"/>
    <n v="169"/>
    <n v="6314"/>
    <n v="5847"/>
    <n v="-6.4990593466735073E-3"/>
    <s v="No Backlog"/>
    <n v="0.9260373772568895"/>
    <n v="6.4822616407982263"/>
    <x v="341"/>
    <b v="1"/>
    <x v="21"/>
  </r>
  <r>
    <d v="2024-06-10T00:00:00"/>
    <n v="140"/>
    <n v="261"/>
    <n v="163"/>
    <n v="5963"/>
    <n v="154"/>
    <n v="6224"/>
    <n v="5809"/>
    <n v="4.9922533998967124E-3"/>
    <s v="Backlog"/>
    <n v="0.93332262210796912"/>
    <n v="6.5332583547557839"/>
    <x v="342"/>
    <b v="1"/>
    <x v="21"/>
  </r>
  <r>
    <d v="2024-06-11T00:00:00"/>
    <n v="125"/>
    <n v="203"/>
    <n v="208"/>
    <n v="5930"/>
    <n v="92"/>
    <n v="6133"/>
    <n v="5838"/>
    <n v="-3.117505995203837E-2"/>
    <s v="No Backlog"/>
    <n v="0.95189955975868257"/>
    <n v="6.6632969183107775"/>
    <x v="343"/>
    <b v="0"/>
    <x v="21"/>
  </r>
  <r>
    <d v="2024-06-12T00:00:00"/>
    <n v="114"/>
    <n v="210"/>
    <n v="219"/>
    <n v="5819"/>
    <n v="163"/>
    <n v="6029"/>
    <n v="5656"/>
    <n v="-2.1216407355021217E-2"/>
    <s v="No Backlog"/>
    <n v="0.93813236025874935"/>
    <n v="6.5669265218112454"/>
    <x v="344"/>
    <b v="0"/>
    <x v="21"/>
  </r>
  <r>
    <d v="2024-06-13T00:00:00"/>
    <n v="152"/>
    <n v="290"/>
    <n v="199"/>
    <n v="5743"/>
    <n v="207"/>
    <n v="6033"/>
    <n v="5536"/>
    <n v="4.046242774566474E-2"/>
    <s v="Backlog"/>
    <n v="0.91761975799767947"/>
    <n v="6.4233383059837568"/>
    <x v="345"/>
    <b v="1"/>
    <x v="21"/>
  </r>
  <r>
    <d v="2024-06-16T00:00:00"/>
    <n v="93"/>
    <n v="198"/>
    <n v="208"/>
    <n v="5954"/>
    <n v="194"/>
    <n v="6152"/>
    <n v="5760"/>
    <n v="-1.736111111111111E-3"/>
    <s v="No Backlog"/>
    <n v="0.93628088426527956"/>
    <n v="6.5539661898569568"/>
    <x v="346"/>
    <b v="0"/>
    <x v="22"/>
  </r>
  <r>
    <d v="2024-06-17T00:00:00"/>
    <n v="137"/>
    <n v="272"/>
    <n v="166"/>
    <n v="5927"/>
    <n v="177"/>
    <n v="6199"/>
    <n v="5750"/>
    <n v="7.8260869565217397E-3"/>
    <s v="Backlog"/>
    <n v="0.92756896273592515"/>
    <n v="6.4929827391514756"/>
    <x v="347"/>
    <b v="1"/>
    <x v="22"/>
  </r>
  <r>
    <d v="2024-06-18T00:00:00"/>
    <n v="120"/>
    <n v="257"/>
    <n v="126"/>
    <n v="5965"/>
    <n v="170"/>
    <n v="6222"/>
    <n v="5795"/>
    <n v="-4.6591889559965492E-3"/>
    <s v="No Backlog"/>
    <n v="0.93137254901960786"/>
    <n v="6.5196078431372548"/>
    <x v="348"/>
    <b v="1"/>
    <x v="22"/>
  </r>
  <r>
    <d v="2024-06-19T00:00:00"/>
    <n v="102"/>
    <n v="189"/>
    <n v="155"/>
    <n v="6002"/>
    <n v="234"/>
    <n v="6191"/>
    <n v="5768"/>
    <n v="4.8543689320388345E-3"/>
    <s v="Backlog"/>
    <n v="0.93167501211435955"/>
    <n v="6.5217250848005168"/>
    <x v="349"/>
    <b v="1"/>
    <x v="22"/>
  </r>
  <r>
    <d v="2024-06-20T00:00:00"/>
    <n v="90"/>
    <n v="196"/>
    <n v="205"/>
    <n v="6058"/>
    <n v="262"/>
    <n v="6254"/>
    <n v="5796"/>
    <n v="4.2270531400966184E-2"/>
    <s v="Backlog"/>
    <n v="0.92676686920370965"/>
    <n v="6.4873680844259676"/>
    <x v="350"/>
    <b v="0"/>
    <x v="22"/>
  </r>
  <r>
    <d v="2024-06-23T00:00:00"/>
    <n v="128"/>
    <n v="228"/>
    <n v="177"/>
    <n v="6228"/>
    <n v="187"/>
    <n v="6456"/>
    <n v="6041"/>
    <n v="4.1383876841582521E-3"/>
    <s v="Backlog"/>
    <n v="0.9357187112763321"/>
    <n v="6.5500309789343252"/>
    <x v="351"/>
    <b v="1"/>
    <x v="23"/>
  </r>
  <r>
    <d v="2024-06-24T00:00:00"/>
    <n v="136"/>
    <n v="246"/>
    <n v="123"/>
    <n v="6239"/>
    <n v="173"/>
    <n v="6485"/>
    <n v="6066"/>
    <n v="7.5832509066930433E-3"/>
    <s v="Backlog"/>
    <n v="0.93538936006168083"/>
    <n v="6.5477255204317659"/>
    <x v="352"/>
    <b v="1"/>
    <x v="23"/>
  </r>
  <r>
    <d v="2024-06-25T00:00:00"/>
    <n v="105"/>
    <n v="185"/>
    <n v="158"/>
    <n v="6283"/>
    <n v="171"/>
    <n v="6468"/>
    <n v="6112"/>
    <n v="-6.7081151832460734E-3"/>
    <s v="No Backlog"/>
    <n v="0.94495980210265929"/>
    <n v="6.6147186147186154"/>
    <x v="353"/>
    <b v="1"/>
    <x v="23"/>
  </r>
  <r>
    <d v="2024-06-26T00:00:00"/>
    <n v="116"/>
    <n v="188"/>
    <n v="164"/>
    <n v="6308"/>
    <n v="237"/>
    <n v="6496"/>
    <n v="6071"/>
    <n v="6.127491352330753E-2"/>
    <s v="Backlog"/>
    <n v="0.93457512315270941"/>
    <n v="6.5420258620689662"/>
    <x v="354"/>
    <b v="1"/>
    <x v="23"/>
  </r>
  <r>
    <d v="2024-06-27T00:00:00"/>
    <n v="80"/>
    <n v="176"/>
    <n v="125"/>
    <n v="6640"/>
    <n v="197"/>
    <n v="6816"/>
    <n v="6443"/>
    <n v="4.5010088468104923E-3"/>
    <s v="Backlog"/>
    <n v="0.94527582159624413"/>
    <n v="6.616930751173709"/>
    <x v="355"/>
    <b v="1"/>
    <x v="23"/>
  </r>
  <r>
    <d v="2024-06-30T00:00:00"/>
    <n v="150"/>
    <n v="157"/>
    <n v="201"/>
    <n v="6649"/>
    <n v="177"/>
    <n v="6806"/>
    <n v="6472"/>
    <n v="7.5710754017305317E-3"/>
    <s v="Backlog"/>
    <n v="0.95092565383485161"/>
    <n v="6.6564795768439611"/>
    <x v="356"/>
    <b v="0"/>
    <x v="24"/>
  </r>
  <r>
    <d v="2024-07-01T00:00:00"/>
    <n v="116"/>
    <n v="181"/>
    <n v="182"/>
    <n v="6651"/>
    <n v="130"/>
    <n v="6832"/>
    <n v="6521"/>
    <n v="-4.1404692531820273E-3"/>
    <s v="No Backlog"/>
    <n v="0.9544789227166276"/>
    <n v="6.6813524590163933"/>
    <x v="357"/>
    <b v="0"/>
    <x v="24"/>
  </r>
  <r>
    <d v="2024-07-02T00:00:00"/>
    <n v="141"/>
    <n v="173"/>
    <n v="129"/>
    <n v="6617"/>
    <n v="123"/>
    <n v="6790"/>
    <n v="6494"/>
    <n v="-1.6630736064059133E-2"/>
    <s v="No Backlog"/>
    <n v="0.95640648011782037"/>
    <n v="6.6948453608247425"/>
    <x v="358"/>
    <b v="1"/>
    <x v="24"/>
  </r>
  <r>
    <d v="2024-07-04T00:00:00"/>
    <n v="96"/>
    <n v="160"/>
    <n v="233"/>
    <n v="6599"/>
    <n v="213"/>
    <n v="6759"/>
    <n v="6386"/>
    <n v="2.8030065768869402E-2"/>
    <s v="Backlog"/>
    <n v="0.94481432164521384"/>
    <n v="6.6137002515164971"/>
    <x v="359"/>
    <b v="0"/>
    <x v="24"/>
  </r>
  <r>
    <d v="2024-07-07T00:00:00"/>
    <n v="158"/>
    <n v="226"/>
    <n v="191"/>
    <n v="6790"/>
    <n v="225"/>
    <n v="7016"/>
    <n v="6565"/>
    <n v="1.1271896420411272E-2"/>
    <s v="Backlog"/>
    <n v="0.93571835803876857"/>
    <n v="6.5500285062713797"/>
    <x v="360"/>
    <b v="1"/>
    <x v="25"/>
  </r>
  <r>
    <d v="2024-07-08T00:00:00"/>
    <n v="141"/>
    <n v="232"/>
    <n v="188"/>
    <n v="6823"/>
    <n v="184"/>
    <n v="7055"/>
    <n v="6639"/>
    <n v="-6.4768790480494052E-3"/>
    <s v="No Backlog"/>
    <n v="0.9410347271438696"/>
    <n v="6.5872430900070871"/>
    <x v="361"/>
    <b v="1"/>
    <x v="25"/>
  </r>
  <r>
    <d v="2024-07-09T00:00:00"/>
    <n v="123"/>
    <n v="233"/>
    <n v="159"/>
    <n v="6825"/>
    <n v="229"/>
    <n v="7058"/>
    <n v="6596"/>
    <n v="7.5803517283201942E-4"/>
    <s v="Backlog"/>
    <n v="0.93454236327571549"/>
    <n v="6.5417965429300082"/>
    <x v="362"/>
    <b v="1"/>
    <x v="25"/>
  </r>
  <r>
    <d v="2024-07-10T00:00:00"/>
    <n v="123"/>
    <n v="230"/>
    <n v="167"/>
    <n v="6874"/>
    <n v="273"/>
    <n v="7104"/>
    <n v="6601"/>
    <n v="5.7415543099530376E-2"/>
    <s v="Backlog"/>
    <n v="0.92919481981981977"/>
    <n v="6.5043637387387383"/>
    <x v="363"/>
    <b v="1"/>
    <x v="25"/>
  </r>
  <r>
    <d v="2024-07-11T00:00:00"/>
    <n v="174"/>
    <n v="208"/>
    <n v="256"/>
    <n v="7248"/>
    <n v="268"/>
    <n v="7456"/>
    <n v="6980"/>
    <n v="1.4469914040114613E-2"/>
    <s v="Backlog"/>
    <n v="0.93615879828326176"/>
    <n v="6.5531115879828326"/>
    <x v="364"/>
    <b v="0"/>
    <x v="25"/>
  </r>
  <r>
    <d v="2024-07-14T00:00:00"/>
    <n v="132"/>
    <n v="235"/>
    <n v="197"/>
    <n v="7268"/>
    <n v="187"/>
    <n v="7503"/>
    <n v="7081"/>
    <n v="-6.2138116085298685E-3"/>
    <s v="No Backlog"/>
    <n v="0.94375583100093297"/>
    <n v="6.6062908170065304"/>
    <x v="365"/>
    <b v="1"/>
    <x v="26"/>
  </r>
  <r>
    <d v="2024-07-15T00:00:00"/>
    <n v="172"/>
    <n v="263"/>
    <n v="191"/>
    <n v="7239"/>
    <n v="202"/>
    <n v="7502"/>
    <n v="7037"/>
    <n v="0"/>
    <s v="No Backlog"/>
    <n v="0.93801652892561982"/>
    <n v="6.5661157024793386"/>
    <x v="366"/>
    <b v="1"/>
    <x v="26"/>
  </r>
  <r>
    <d v="2024-07-16T00:00:00"/>
    <n v="116"/>
    <n v="175"/>
    <n v="172"/>
    <n v="7239"/>
    <n v="202"/>
    <n v="7414"/>
    <n v="7037"/>
    <n v="-1.1936904931078584E-2"/>
    <s v="No Backlog"/>
    <n v="0.94915025627191796"/>
    <n v="6.6440517939034258"/>
    <x v="367"/>
    <b v="1"/>
    <x v="26"/>
  </r>
  <r>
    <d v="2024-07-17T00:00:00"/>
    <n v="102"/>
    <n v="227"/>
    <n v="201"/>
    <n v="7247"/>
    <n v="294"/>
    <n v="7474"/>
    <n v="6953"/>
    <n v="3.4948942902344314E-2"/>
    <s v="Backlog"/>
    <n v="0.9302916778164303"/>
    <n v="6.5120417447150123"/>
    <x v="368"/>
    <b v="1"/>
    <x v="26"/>
  </r>
  <r>
    <d v="2024-07-21T00:00:00"/>
    <n v="145"/>
    <n v="247"/>
    <n v="243"/>
    <n v="7431"/>
    <n v="235"/>
    <n v="7678"/>
    <n v="7196"/>
    <n v="5.4196775986659253E-3"/>
    <s v="Backlog"/>
    <n v="0.93722323521750461"/>
    <n v="6.5605626465225324"/>
    <x v="369"/>
    <b v="1"/>
    <x v="27"/>
  </r>
  <r>
    <d v="2024-07-22T00:00:00"/>
    <n v="204"/>
    <n v="321"/>
    <n v="246"/>
    <n v="7433"/>
    <n v="198"/>
    <n v="7754"/>
    <n v="7235"/>
    <n v="-1.5065653075328266E-2"/>
    <s v="No Backlog"/>
    <n v="0.93306680423007482"/>
    <n v="6.5314676296105239"/>
    <x v="370"/>
    <b v="1"/>
    <x v="27"/>
  </r>
  <r>
    <d v="2024-07-23T00:00:00"/>
    <n v="160"/>
    <n v="297"/>
    <n v="253"/>
    <n v="7340"/>
    <n v="214"/>
    <n v="7637"/>
    <n v="7126"/>
    <n v="-4.4905978108335676E-3"/>
    <s v="No Backlog"/>
    <n v="0.93308890925756183"/>
    <n v="6.5316223648029332"/>
    <x v="371"/>
    <b v="1"/>
    <x v="27"/>
  </r>
  <r>
    <d v="2024-07-24T00:00:00"/>
    <n v="159"/>
    <n v="310"/>
    <n v="272"/>
    <n v="7318"/>
    <n v="224"/>
    <n v="7628"/>
    <n v="7094"/>
    <n v="-1.1418099802650126E-2"/>
    <s v="No Backlog"/>
    <n v="0.92999475616151017"/>
    <n v="6.5099632931305713"/>
    <x v="372"/>
    <b v="1"/>
    <x v="27"/>
  </r>
  <r>
    <d v="2024-07-25T00:00:00"/>
    <n v="204"/>
    <n v="315"/>
    <n v="233"/>
    <n v="7307"/>
    <n v="294"/>
    <n v="7622"/>
    <n v="7013"/>
    <n v="3.8785113360901187E-2"/>
    <s v="Backlog"/>
    <n v="0.92009971136184732"/>
    <n v="6.4406979795329313"/>
    <x v="373"/>
    <b v="1"/>
    <x v="27"/>
  </r>
  <r>
    <d v="2024-07-28T00:00:00"/>
    <n v="167"/>
    <n v="293"/>
    <n v="230"/>
    <n v="7544"/>
    <n v="259"/>
    <n v="7837"/>
    <n v="7285"/>
    <n v="7.0006863417982155E-3"/>
    <s v="Backlog"/>
    <n v="0.92956488452213859"/>
    <n v="6.5069541916549705"/>
    <x v="374"/>
    <b v="1"/>
    <x v="28"/>
  </r>
  <r>
    <d v="2024-07-29T00:00:00"/>
    <n v="152"/>
    <n v="266"/>
    <n v="274"/>
    <n v="7548"/>
    <n v="212"/>
    <n v="7814"/>
    <n v="7336"/>
    <n v="1.3631406761177754E-4"/>
    <s v="Backlog"/>
    <n v="0.93882774507294597"/>
    <n v="6.5717942155106215"/>
    <x v="375"/>
    <b v="0"/>
    <x v="28"/>
  </r>
  <r>
    <d v="2024-07-30T00:00:00"/>
    <n v="186"/>
    <n v="352"/>
    <n v="224"/>
    <n v="7493"/>
    <n v="156"/>
    <n v="7845"/>
    <n v="7337"/>
    <n v="-1.4992503748125937E-2"/>
    <s v="No Backlog"/>
    <n v="0.93524537922243467"/>
    <n v="6.5467176545570425"/>
    <x v="376"/>
    <b v="1"/>
    <x v="28"/>
  </r>
  <r>
    <d v="2024-07-31T00:00:00"/>
    <n v="184"/>
    <n v="334"/>
    <n v="229"/>
    <n v="7439"/>
    <n v="212"/>
    <n v="7773"/>
    <n v="7227"/>
    <n v="-1.2176560121765601E-2"/>
    <s v="No Backlog"/>
    <n v="0.92975685063681979"/>
    <n v="6.5082979544577384"/>
    <x v="377"/>
    <b v="1"/>
    <x v="28"/>
  </r>
  <r>
    <d v="2024-08-01T00:00:00"/>
    <n v="116"/>
    <n v="289"/>
    <n v="166"/>
    <n v="7451"/>
    <n v="312"/>
    <n v="7740"/>
    <n v="7139"/>
    <n v="5.0987533267964701E-2"/>
    <s v="Backlog"/>
    <n v="0.92235142118863045"/>
    <n v="6.456459948320413"/>
    <x v="378"/>
    <b v="1"/>
    <x v="28"/>
  </r>
  <r>
    <d v="2024-08-04T00:00:00"/>
    <n v="179"/>
    <n v="326"/>
    <n v="282"/>
    <n v="7741"/>
    <n v="238"/>
    <n v="8067"/>
    <n v="7503"/>
    <n v="-1.3328002132480341E-3"/>
    <s v="No Backlog"/>
    <n v="0.93008553365563407"/>
    <n v="6.5105987355894381"/>
    <x v="379"/>
    <b v="1"/>
    <x v="29"/>
  </r>
  <r>
    <d v="2024-08-05T00:00:00"/>
    <n v="173"/>
    <n v="345"/>
    <n v="291"/>
    <n v="7691"/>
    <n v="198"/>
    <n v="8036"/>
    <n v="7493"/>
    <n v="-1.7482984118510611E-2"/>
    <s v="No Backlog"/>
    <n v="0.93242906918865109"/>
    <n v="6.5270034843205575"/>
    <x v="380"/>
    <b v="1"/>
    <x v="29"/>
  </r>
  <r>
    <d v="2024-08-06T00:00:00"/>
    <n v="260"/>
    <n v="356"/>
    <n v="176"/>
    <n v="7565"/>
    <n v="203"/>
    <n v="7921"/>
    <n v="7362"/>
    <n v="1.3583265417006249E-3"/>
    <s v="Backlog"/>
    <n v="0.92942810251230901"/>
    <n v="6.5059967175861626"/>
    <x v="381"/>
    <b v="1"/>
    <x v="29"/>
  </r>
  <r>
    <d v="2024-08-07T00:00:00"/>
    <n v="109"/>
    <n v="244"/>
    <n v="257"/>
    <n v="7596"/>
    <n v="224"/>
    <n v="7840"/>
    <n v="7372"/>
    <n v="-1.7905588714053174E-2"/>
    <s v="No Backlog"/>
    <n v="0.9403061224489796"/>
    <n v="6.5821428571428573"/>
    <x v="382"/>
    <b v="0"/>
    <x v="29"/>
  </r>
  <r>
    <d v="2024-08-08T00:00:00"/>
    <n v="159"/>
    <n v="330"/>
    <n v="322"/>
    <n v="7546"/>
    <n v="306"/>
    <n v="7876"/>
    <n v="7240"/>
    <n v="1.8370165745856353E-2"/>
    <s v="Backlog"/>
    <n v="0.91924834941594713"/>
    <n v="6.4347384459116297"/>
    <x v="383"/>
    <b v="1"/>
    <x v="29"/>
  </r>
  <r>
    <d v="2024-08-11T00:00:00"/>
    <n v="167"/>
    <n v="406"/>
    <n v="339"/>
    <n v="7563"/>
    <n v="190"/>
    <n v="7969"/>
    <n v="7373"/>
    <n v="-3.1194900311949003E-3"/>
    <s v="No Backlog"/>
    <n v="0.92521018948425149"/>
    <n v="6.4764713263897606"/>
    <x v="384"/>
    <b v="1"/>
    <x v="30"/>
  </r>
  <r>
    <d v="2024-08-12T00:00:00"/>
    <n v="182"/>
    <n v="462"/>
    <n v="158"/>
    <n v="7491"/>
    <n v="141"/>
    <n v="7953"/>
    <n v="7350"/>
    <n v="-1.1292517006802722E-2"/>
    <s v="No Backlog"/>
    <n v="0.92417955488494907"/>
    <n v="6.4692568841946434"/>
    <x v="385"/>
    <b v="1"/>
    <x v="30"/>
  </r>
  <r>
    <d v="2024-08-13T00:00:00"/>
    <n v="153"/>
    <n v="348"/>
    <n v="239"/>
    <n v="7418"/>
    <n v="151"/>
    <n v="7766"/>
    <n v="7267"/>
    <n v="-9.4949772946195127E-3"/>
    <s v="No Backlog"/>
    <n v="0.93574555755858868"/>
    <n v="6.550218902910121"/>
    <x v="386"/>
    <b v="1"/>
    <x v="30"/>
  </r>
  <r>
    <d v="2024-08-14T00:00:00"/>
    <n v="156"/>
    <n v="344"/>
    <n v="252"/>
    <n v="7365"/>
    <n v="167"/>
    <n v="7709"/>
    <n v="7198"/>
    <n v="9.5859961100305639E-3"/>
    <s v="Backlog"/>
    <n v="0.93371384096510568"/>
    <n v="6.5359968867557399"/>
    <x v="387"/>
    <b v="1"/>
    <x v="30"/>
  </r>
  <r>
    <d v="2024-08-15T00:00:00"/>
    <n v="193"/>
    <n v="272"/>
    <n v="314"/>
    <n v="7494"/>
    <n v="227"/>
    <n v="7766"/>
    <n v="7267"/>
    <n v="-1.3760836658868861E-4"/>
    <s v="No Backlog"/>
    <n v="0.93574555755858868"/>
    <n v="6.550218902910121"/>
    <x v="386"/>
    <b v="0"/>
    <x v="30"/>
  </r>
  <r>
    <d v="2024-08-18T00:00:00"/>
    <n v="168"/>
    <n v="349"/>
    <n v="272"/>
    <n v="7474"/>
    <n v="208"/>
    <n v="7823"/>
    <n v="7266"/>
    <n v="-9.6339113680154141E-4"/>
    <s v="No Backlog"/>
    <n v="0.92879969321232259"/>
    <n v="6.5015978524862579"/>
    <x v="388"/>
    <b v="1"/>
    <x v="31"/>
  </r>
  <r>
    <d v="2024-08-19T00:00:00"/>
    <n v="196"/>
    <n v="348"/>
    <n v="176"/>
    <n v="7404"/>
    <n v="145"/>
    <n v="7752"/>
    <n v="7259"/>
    <n v="-1.1434081829453093E-2"/>
    <s v="No Backlog"/>
    <n v="0.93640350877192979"/>
    <n v="6.5548245614035086"/>
    <x v="389"/>
    <b v="1"/>
    <x v="31"/>
  </r>
  <r>
    <d v="2024-08-20T00:00:00"/>
    <n v="111"/>
    <n v="268"/>
    <n v="217"/>
    <n v="7368"/>
    <n v="192"/>
    <n v="7636"/>
    <n v="7176"/>
    <n v="-1.644370122630992E-2"/>
    <s v="No Backlog"/>
    <n v="0.93975903614457834"/>
    <n v="6.5783132530120483"/>
    <x v="390"/>
    <b v="1"/>
    <x v="31"/>
  </r>
  <r>
    <d v="2024-08-21T00:00:00"/>
    <n v="143"/>
    <n v="295"/>
    <n v="278"/>
    <n v="7356"/>
    <n v="298"/>
    <n v="7651"/>
    <n v="7058"/>
    <n v="3.8679512609804477E-2"/>
    <s v="Backlog"/>
    <n v="0.92249379166122081"/>
    <n v="6.4574565416285452"/>
    <x v="391"/>
    <b v="1"/>
    <x v="31"/>
  </r>
  <r>
    <d v="2024-08-22T00:00:00"/>
    <n v="206"/>
    <n v="340"/>
    <n v="214"/>
    <n v="7565"/>
    <n v="234"/>
    <n v="7905"/>
    <n v="7331"/>
    <n v="-9.5484927022234344E-4"/>
    <s v="No Backlog"/>
    <n v="0.92738772928526247"/>
    <n v="6.491714104996837"/>
    <x v="392"/>
    <b v="1"/>
    <x v="31"/>
  </r>
  <r>
    <d v="2024-08-27T00:00:00"/>
    <n v="115"/>
    <n v="285"/>
    <n v="341"/>
    <n v="7589"/>
    <n v="265"/>
    <n v="7874"/>
    <n v="7324"/>
    <n v="4.9153468050245766E-3"/>
    <s v="Backlog"/>
    <n v="0.93014986029972058"/>
    <n v="6.5110490220980441"/>
    <x v="393"/>
    <b v="0"/>
    <x v="32"/>
  </r>
  <r>
    <d v="2024-08-28T00:00:00"/>
    <n v="246"/>
    <n v="419"/>
    <n v="218"/>
    <n v="7546"/>
    <n v="186"/>
    <n v="7965"/>
    <n v="7360"/>
    <n v="-2.4456521739130437E-3"/>
    <s v="No Backlog"/>
    <n v="0.92404268675455115"/>
    <n v="6.4682988072818581"/>
    <x v="394"/>
    <b v="1"/>
    <x v="32"/>
  </r>
  <r>
    <d v="2024-08-29T00:00:00"/>
    <n v="112"/>
    <n v="331"/>
    <n v="167"/>
    <n v="7499"/>
    <n v="157"/>
    <n v="7830"/>
    <n v="7342"/>
    <n v="-1.6752928357395804E-2"/>
    <s v="No Backlog"/>
    <n v="0.93767560664112393"/>
    <n v="6.5637292464878678"/>
    <x v="395"/>
    <b v="1"/>
    <x v="32"/>
  </r>
  <r>
    <d v="2024-09-02T00:00:00"/>
    <n v="138"/>
    <n v="301"/>
    <n v="263"/>
    <n v="7464"/>
    <n v="245"/>
    <n v="7765"/>
    <n v="7219"/>
    <n v="1.4821997506579858E-2"/>
    <s v="Backlog"/>
    <n v="0.92968448164842243"/>
    <n v="6.507791371538957"/>
    <x v="396"/>
    <b v="1"/>
    <x v="33"/>
  </r>
  <r>
    <d v="2024-09-03T00:00:00"/>
    <n v="138"/>
    <n v="285"/>
    <n v="268"/>
    <n v="7570"/>
    <n v="244"/>
    <n v="7855"/>
    <n v="7326"/>
    <n v="7.5075075075075074E-3"/>
    <s v="Backlog"/>
    <n v="0.93265436028007642"/>
    <n v="6.5285805219605351"/>
    <x v="397"/>
    <b v="1"/>
    <x v="33"/>
  </r>
  <r>
    <d v="2024-09-04T00:00:00"/>
    <n v="167"/>
    <n v="374"/>
    <n v="205"/>
    <n v="7583"/>
    <n v="202"/>
    <n v="7957"/>
    <n v="7381"/>
    <n v="2.9806259314456036E-3"/>
    <s v="Backlog"/>
    <n v="0.92761090863390727"/>
    <n v="6.4932763604373509"/>
    <x v="398"/>
    <b v="1"/>
    <x v="33"/>
  </r>
  <r>
    <d v="2024-09-05T00:00:00"/>
    <n v="176"/>
    <n v="334"/>
    <n v="246"/>
    <n v="7566"/>
    <n v="163"/>
    <n v="7900"/>
    <n v="7403"/>
    <n v="-2.1477779278670808E-2"/>
    <s v="No Backlog"/>
    <n v="0.93708860759493673"/>
    <n v="6.5596202531645567"/>
    <x v="399"/>
    <b v="1"/>
    <x v="33"/>
  </r>
  <r>
    <d v="2024-09-08T00:00:00"/>
    <n v="173"/>
    <n v="337"/>
    <n v="211"/>
    <n v="7449"/>
    <n v="205"/>
    <n v="7786"/>
    <n v="7244"/>
    <n v="-1.7807840971838764E-2"/>
    <s v="No Backlog"/>
    <n v="0.93038787567428716"/>
    <n v="6.5127151297200099"/>
    <x v="400"/>
    <b v="1"/>
    <x v="34"/>
  </r>
  <r>
    <d v="2024-09-09T00:00:00"/>
    <n v="150"/>
    <n v="315"/>
    <n v="228"/>
    <n v="7447"/>
    <n v="332"/>
    <n v="7762"/>
    <n v="7115"/>
    <n v="3.7666900913562895E-2"/>
    <s v="Backlog"/>
    <n v="0.91664519453749038"/>
    <n v="6.416516361762433"/>
    <x v="401"/>
    <b v="1"/>
    <x v="34"/>
  </r>
  <r>
    <d v="2024-09-10T00:00:00"/>
    <n v="206"/>
    <n v="411"/>
    <n v="293"/>
    <n v="7577"/>
    <n v="194"/>
    <n v="7988"/>
    <n v="7383"/>
    <n v="-8.8040092103480964E-3"/>
    <s v="No Backlog"/>
    <n v="0.92426139208813218"/>
    <n v="6.4698297446169253"/>
    <x v="402"/>
    <b v="1"/>
    <x v="34"/>
  </r>
  <r>
    <d v="2024-09-11T00:00:00"/>
    <n v="197"/>
    <n v="437"/>
    <n v="295"/>
    <n v="7508"/>
    <n v="190"/>
    <n v="7945"/>
    <n v="7318"/>
    <n v="-3.0062858704564088E-3"/>
    <s v="No Backlog"/>
    <n v="0.9210824417872876"/>
    <n v="6.447577092511013"/>
    <x v="403"/>
    <b v="1"/>
    <x v="34"/>
  </r>
  <r>
    <d v="2024-09-12T00:00:00"/>
    <n v="220"/>
    <n v="443"/>
    <n v="194"/>
    <n v="7431"/>
    <n v="135"/>
    <n v="7874"/>
    <n v="7296"/>
    <n v="-1.5076754385964912E-2"/>
    <s v="No Backlog"/>
    <n v="0.92659385318770637"/>
    <n v="6.4861569723139443"/>
    <x v="404"/>
    <b v="1"/>
    <x v="34"/>
  </r>
  <r>
    <d v="2024-09-13T00:00:00"/>
    <n v="140"/>
    <n v="292"/>
    <n v="255"/>
    <n v="7373"/>
    <n v="187"/>
    <n v="7665"/>
    <n v="7186"/>
    <n v="-1.9204007792930699E-2"/>
    <s v="No Backlog"/>
    <n v="0.9375081539465101"/>
    <n v="6.5625570776255708"/>
    <x v="405"/>
    <b v="1"/>
    <x v="34"/>
  </r>
  <r>
    <d v="2024-09-15T00:00:00"/>
    <n v="158"/>
    <n v="349"/>
    <n v="365"/>
    <n v="7298"/>
    <n v="250"/>
    <n v="7647"/>
    <n v="7048"/>
    <n v="-7.9455164585698068E-3"/>
    <s v="No Backlog"/>
    <n v="0.92166862822021711"/>
    <n v="6.4516803975415193"/>
    <x v="406"/>
    <b v="0"/>
    <x v="35"/>
  </r>
  <r>
    <d v="2024-09-16T00:00:00"/>
    <n v="145"/>
    <n v="357"/>
    <n v="333"/>
    <n v="7209"/>
    <n v="217"/>
    <n v="7566"/>
    <n v="6992"/>
    <n v="-2.574370709382151E-3"/>
    <s v="No Backlog"/>
    <n v="0.92413428495902727"/>
    <n v="6.4689399947131907"/>
    <x v="407"/>
    <b v="1"/>
    <x v="35"/>
  </r>
  <r>
    <d v="2024-09-17T00:00:00"/>
    <n v="253"/>
    <n v="411"/>
    <n v="307"/>
    <n v="7128"/>
    <n v="154"/>
    <n v="7539"/>
    <n v="6974"/>
    <n v="-2.0217952394608545E-2"/>
    <s v="No Backlog"/>
    <n v="0.92505637352434011"/>
    <n v="6.4753946146703809"/>
    <x v="408"/>
    <b v="1"/>
    <x v="35"/>
  </r>
  <r>
    <d v="2024-09-18T00:00:00"/>
    <n v="252"/>
    <n v="427"/>
    <n v="307"/>
    <n v="6967"/>
    <n v="134"/>
    <n v="7394"/>
    <n v="6833"/>
    <n v="-3.6294453387970146E-2"/>
    <s v="No Backlog"/>
    <n v="0.9241276710846632"/>
    <n v="6.4688936975926428"/>
    <x v="409"/>
    <b v="1"/>
    <x v="35"/>
  </r>
  <r>
    <d v="2024-09-19T00:00:00"/>
    <n v="176"/>
    <n v="424"/>
    <n v="251"/>
    <n v="6799"/>
    <n v="214"/>
    <n v="7223"/>
    <n v="6585"/>
    <n v="-1.2148823082763858E-2"/>
    <s v="No Backlog"/>
    <n v="0.91167105080991273"/>
    <n v="6.381697355669389"/>
    <x v="410"/>
    <b v="1"/>
    <x v="35"/>
  </r>
  <r>
    <d v="2024-09-22T00:00:00"/>
    <n v="208"/>
    <n v="380"/>
    <n v="343"/>
    <n v="6745"/>
    <n v="240"/>
    <n v="7125"/>
    <n v="6505"/>
    <n v="-5.6879323597232899E-3"/>
    <s v="No Backlog"/>
    <n v="0.9129824561403509"/>
    <n v="6.3908771929824564"/>
    <x v="411"/>
    <b v="1"/>
    <x v="36"/>
  </r>
  <r>
    <d v="2024-09-23T00:00:00"/>
    <n v="144"/>
    <n v="322"/>
    <n v="258"/>
    <n v="6728"/>
    <n v="260"/>
    <n v="7050"/>
    <n v="6468"/>
    <n v="4.6382189239332098E-3"/>
    <s v="Backlog"/>
    <n v="0.91744680851063831"/>
    <n v="6.4221276595744685"/>
    <x v="412"/>
    <b v="1"/>
    <x v="36"/>
  </r>
  <r>
    <d v="2024-09-24T00:00:00"/>
    <n v="182"/>
    <n v="371"/>
    <n v="274"/>
    <n v="6725"/>
    <n v="227"/>
    <n v="7096"/>
    <n v="6498"/>
    <n v="3.6934441366574329E-3"/>
    <s v="Backlog"/>
    <n v="0.9157271702367531"/>
    <n v="6.4100901916572717"/>
    <x v="413"/>
    <b v="1"/>
    <x v="36"/>
  </r>
  <r>
    <d v="2024-09-25T00:00:00"/>
    <n v="219"/>
    <n v="392"/>
    <n v="205"/>
    <n v="6685"/>
    <n v="163"/>
    <n v="7077"/>
    <n v="6522"/>
    <n v="-4.9064704078503529E-3"/>
    <s v="No Backlog"/>
    <n v="0.92157693938109364"/>
    <n v="6.4510385756676554"/>
    <x v="414"/>
    <b v="1"/>
    <x v="36"/>
  </r>
  <r>
    <d v="2024-09-26T00:00:00"/>
    <n v="144"/>
    <n v="303"/>
    <n v="176"/>
    <n v="6681"/>
    <n v="191"/>
    <n v="6984"/>
    <n v="6490"/>
    <n v="-2.3112480739599383E-2"/>
    <s v="No Backlog"/>
    <n v="0.92926689576174115"/>
    <n v="6.5048682703321878"/>
    <x v="415"/>
    <b v="1"/>
    <x v="36"/>
  </r>
  <r>
    <d v="2024-09-29T00:00:00"/>
    <n v="128"/>
    <n v="245"/>
    <n v="243"/>
    <n v="6630"/>
    <n v="290"/>
    <n v="6875"/>
    <n v="6340"/>
    <n v="4.5268138801261827E-2"/>
    <s v="Backlog"/>
    <n v="0.92218181818181821"/>
    <n v="6.4552727272727273"/>
    <x v="416"/>
    <b v="1"/>
    <x v="37"/>
  </r>
  <r>
    <d v="2024-09-30T00:00:00"/>
    <n v="183"/>
    <n v="221"/>
    <n v="220"/>
    <n v="6912"/>
    <n v="285"/>
    <n v="7133"/>
    <n v="6627"/>
    <n v="2.1880187113324279E-2"/>
    <s v="Backlog"/>
    <n v="0.92906210570587411"/>
    <n v="6.5034347399411185"/>
    <x v="417"/>
    <b v="1"/>
    <x v="37"/>
  </r>
  <r>
    <d v="2024-10-01T00:00:00"/>
    <n v="117"/>
    <n v="244"/>
    <n v="142"/>
    <n v="6999"/>
    <n v="227"/>
    <n v="7243"/>
    <n v="6772"/>
    <n v="2.0821027761370348E-2"/>
    <s v="Backlog"/>
    <n v="0.93497169681071379"/>
    <n v="6.5448018776749963"/>
    <x v="418"/>
    <b v="1"/>
    <x v="37"/>
  </r>
  <r>
    <d v="2024-10-02T00:00:00"/>
    <n v="118"/>
    <n v="231"/>
    <n v="217"/>
    <n v="7043"/>
    <n v="130"/>
    <n v="7274"/>
    <n v="6913"/>
    <n v="-1.7937219730941704E-2"/>
    <s v="No Backlog"/>
    <n v="0.95037118504261753"/>
    <n v="6.6525982952983229"/>
    <x v="419"/>
    <b v="1"/>
    <x v="37"/>
  </r>
  <r>
    <d v="2024-10-03T00:00:00"/>
    <n v="102"/>
    <n v="230"/>
    <n v="167"/>
    <n v="6988"/>
    <n v="199"/>
    <n v="7218"/>
    <n v="6789"/>
    <n v="-1.2667550449256149E-2"/>
    <s v="No Backlog"/>
    <n v="0.9405652535328346"/>
    <n v="6.5839567747298418"/>
    <x v="420"/>
    <b v="1"/>
    <x v="37"/>
  </r>
  <r>
    <d v="2024-10-07T00:00:00"/>
    <n v="106"/>
    <n v="239"/>
    <n v="233"/>
    <n v="6982"/>
    <n v="279"/>
    <n v="7221"/>
    <n v="6703"/>
    <n v="5.8033716246456812E-2"/>
    <s v="Backlog"/>
    <n v="0.92826478327101514"/>
    <n v="6.4978534828971064"/>
    <x v="421"/>
    <b v="1"/>
    <x v="38"/>
  </r>
  <r>
    <d v="2024-10-08T00:00:00"/>
    <n v="95"/>
    <n v="226"/>
    <n v="152"/>
    <n v="7317"/>
    <n v="225"/>
    <n v="7543"/>
    <n v="7092"/>
    <n v="1.2831359278059786E-2"/>
    <s v="Backlog"/>
    <n v="0.94020946572981567"/>
    <n v="6.5814662601087095"/>
    <x v="422"/>
    <b v="1"/>
    <x v="38"/>
  </r>
  <r>
    <d v="2024-10-09T00:00:00"/>
    <n v="124"/>
    <n v="230"/>
    <n v="190"/>
    <n v="7346"/>
    <n v="163"/>
    <n v="7576"/>
    <n v="7183"/>
    <n v="3.4804399276068495E-3"/>
    <s v="Backlog"/>
    <n v="0.94812565997888065"/>
    <n v="6.6368796198521647"/>
    <x v="423"/>
    <b v="1"/>
    <x v="38"/>
  </r>
  <r>
    <d v="2024-10-10T00:00:00"/>
    <n v="101"/>
    <n v="230"/>
    <n v="175"/>
    <n v="7340"/>
    <n v="132"/>
    <n v="7570"/>
    <n v="7208"/>
    <n v="-1.5122086570477247E-2"/>
    <s v="No Backlog"/>
    <n v="0.95217965653896963"/>
    <n v="6.6652575957727871"/>
    <x v="424"/>
    <b v="1"/>
    <x v="38"/>
  </r>
  <r>
    <d v="2024-10-13T00:00:00"/>
    <n v="109"/>
    <n v="235"/>
    <n v="171"/>
    <n v="7271"/>
    <n v="172"/>
    <n v="7506"/>
    <n v="7099"/>
    <n v="-1.8171573461050854E-2"/>
    <s v="No Backlog"/>
    <n v="0.94577671196376234"/>
    <n v="6.6204369837463366"/>
    <x v="425"/>
    <b v="1"/>
    <x v="39"/>
  </r>
  <r>
    <d v="2024-10-14T00:00:00"/>
    <n v="105"/>
    <n v="254"/>
    <n v="151"/>
    <n v="7257"/>
    <n v="287"/>
    <n v="7511"/>
    <n v="6970"/>
    <n v="6.1979913916786228E-2"/>
    <s v="Backlog"/>
    <n v="0.92797230728265212"/>
    <n v="6.4958061509785647"/>
    <x v="426"/>
    <b v="1"/>
    <x v="39"/>
  </r>
  <r>
    <d v="2024-10-15T00:00:00"/>
    <n v="161"/>
    <n v="288"/>
    <n v="248"/>
    <n v="7762"/>
    <n v="360"/>
    <n v="8050"/>
    <n v="7402"/>
    <n v="3.7287219670359362E-2"/>
    <s v="Backlog"/>
    <n v="0.9195031055900621"/>
    <n v="6.436521739130435"/>
    <x v="427"/>
    <b v="1"/>
    <x v="39"/>
  </r>
  <r>
    <d v="2024-10-16T00:00:00"/>
    <n v="129"/>
    <n v="287"/>
    <n v="185"/>
    <n v="7893"/>
    <n v="215"/>
    <n v="8180"/>
    <n v="7678"/>
    <n v="4.2979942693409743E-3"/>
    <s v="Backlog"/>
    <n v="0.93863080684596578"/>
    <n v="6.5704156479217604"/>
    <x v="428"/>
    <b v="1"/>
    <x v="39"/>
  </r>
  <r>
    <d v="2024-10-17T00:00:00"/>
    <n v="187"/>
    <n v="276"/>
    <n v="200"/>
    <n v="7919"/>
    <n v="208"/>
    <n v="8195"/>
    <n v="7711"/>
    <n v="-5.3170794968227207E-3"/>
    <s v="No Backlog"/>
    <n v="0.94093959731543619"/>
    <n v="6.5865771812080531"/>
    <x v="429"/>
    <b v="1"/>
    <x v="39"/>
  </r>
  <r>
    <d v="2024-10-20T00:00:00"/>
    <n v="128"/>
    <n v="242"/>
    <n v="224"/>
    <n v="7899"/>
    <n v="229"/>
    <n v="8141"/>
    <n v="7670"/>
    <n v="-1.877444589308996E-2"/>
    <s v="No Backlog"/>
    <n v="0.94214469966834546"/>
    <n v="6.5950128976784184"/>
    <x v="430"/>
    <b v="1"/>
    <x v="40"/>
  </r>
  <r>
    <d v="2024-10-21T00:00:00"/>
    <n v="124"/>
    <n v="264"/>
    <n v="221"/>
    <n v="7899"/>
    <n v="373"/>
    <n v="8163"/>
    <n v="7526"/>
    <n v="7.05554079192134E-2"/>
    <s v="Backlog"/>
    <n v="0.92196496386132554"/>
    <n v="6.4537547470292784"/>
    <x v="431"/>
    <b v="1"/>
    <x v="40"/>
  </r>
  <r>
    <d v="2024-10-22T00:00:00"/>
    <n v="132"/>
    <n v="261"/>
    <n v="141"/>
    <n v="8292"/>
    <n v="235"/>
    <n v="8553"/>
    <n v="8057"/>
    <n v="1.0053369740598237E-2"/>
    <s v="Backlog"/>
    <n v="0.94200865193499361"/>
    <n v="6.5940605635449554"/>
    <x v="432"/>
    <b v="1"/>
    <x v="40"/>
  </r>
  <r>
    <d v="2024-10-23T00:00:00"/>
    <n v="91"/>
    <n v="181"/>
    <n v="174"/>
    <n v="8365"/>
    <n v="227"/>
    <n v="8546"/>
    <n v="8138"/>
    <n v="6.7584173015482916E-3"/>
    <s v="Backlog"/>
    <n v="0.95225836648724549"/>
    <n v="6.6658085654107184"/>
    <x v="433"/>
    <b v="1"/>
    <x v="40"/>
  </r>
  <r>
    <d v="2024-10-27T00:00:00"/>
    <n v="99"/>
    <n v="202"/>
    <n v="256"/>
    <n v="8390"/>
    <n v="197"/>
    <n v="8592"/>
    <n v="8193"/>
    <n v="-1.7453924081533016E-2"/>
    <s v="No Backlog"/>
    <n v="0.95356145251396651"/>
    <n v="6.6749301675977657"/>
    <x v="434"/>
    <b v="0"/>
    <x v="41"/>
  </r>
  <r>
    <d v="2024-10-28T00:00:00"/>
    <n v="123"/>
    <n v="243"/>
    <n v="188"/>
    <n v="8333"/>
    <n v="283"/>
    <n v="8576"/>
    <n v="8050"/>
    <n v="-2.3602484472049689E-3"/>
    <s v="No Backlog"/>
    <n v="0.93866604477611937"/>
    <n v="6.5706623134328357"/>
    <x v="435"/>
    <b v="1"/>
    <x v="41"/>
  </r>
  <r>
    <d v="2024-10-29T00:00:00"/>
    <n v="127"/>
    <n v="260"/>
    <n v="259"/>
    <n v="8373"/>
    <n v="342"/>
    <n v="8633"/>
    <n v="8031"/>
    <n v="4.4079193126634289E-2"/>
    <s v="Backlog"/>
    <n v="0.93026757789876058"/>
    <n v="6.511873045291324"/>
    <x v="436"/>
    <b v="1"/>
    <x v="41"/>
  </r>
  <r>
    <d v="2024-10-30T00:00:00"/>
    <n v="166"/>
    <n v="301"/>
    <n v="252"/>
    <n v="8695"/>
    <n v="310"/>
    <n v="8996"/>
    <n v="8385"/>
    <n v="2.3255813953488372E-2"/>
    <s v="Backlog"/>
    <n v="0.93208092485549132"/>
    <n v="6.5245664739884397"/>
    <x v="437"/>
    <b v="1"/>
    <x v="41"/>
  </r>
  <r>
    <d v="2024-10-31T00:00:00"/>
    <n v="165"/>
    <n v="358"/>
    <n v="167"/>
    <n v="8819"/>
    <n v="239"/>
    <n v="9177"/>
    <n v="8580"/>
    <n v="5.8275058275058279E-3"/>
    <s v="Backlog"/>
    <n v="0.93494606080418441"/>
    <n v="6.5446224256292904"/>
    <x v="438"/>
    <b v="1"/>
    <x v="41"/>
  </r>
  <r>
    <d v="2024-11-03T00:00:00"/>
    <n v="154"/>
    <n v="294"/>
    <n v="290"/>
    <n v="8843"/>
    <n v="213"/>
    <n v="9137"/>
    <n v="8630"/>
    <n v="-1.4600231749710313E-2"/>
    <s v="No Backlog"/>
    <n v="0.94451132756922407"/>
    <n v="6.6115792929845689"/>
    <x v="439"/>
    <b v="1"/>
    <x v="42"/>
  </r>
  <r>
    <d v="2024-11-04T00:00:00"/>
    <n v="178"/>
    <n v="336"/>
    <n v="290"/>
    <n v="8757"/>
    <n v="253"/>
    <n v="9093"/>
    <n v="8504"/>
    <n v="-1.9167450611476951E-2"/>
    <s v="No Backlog"/>
    <n v="0.93522489827339716"/>
    <n v="6.5465742879137805"/>
    <x v="440"/>
    <b v="1"/>
    <x v="42"/>
  </r>
  <r>
    <d v="2024-11-05T00:00:00"/>
    <n v="190"/>
    <n v="368"/>
    <n v="326"/>
    <n v="8714"/>
    <n v="373"/>
    <n v="9082"/>
    <n v="8341"/>
    <n v="3.0691763577508691E-2"/>
    <s v="Backlog"/>
    <n v="0.91841004184100417"/>
    <n v="6.4288702928870292"/>
    <x v="441"/>
    <b v="1"/>
    <x v="42"/>
  </r>
  <r>
    <d v="2024-11-06T00:00:00"/>
    <n v="181"/>
    <n v="424"/>
    <n v="328"/>
    <n v="8902"/>
    <n v="305"/>
    <n v="9326"/>
    <n v="8597"/>
    <n v="4.7691055019192744E-3"/>
    <s v="Backlog"/>
    <n v="0.92183143898777609"/>
    <n v="6.4528200729144327"/>
    <x v="442"/>
    <b v="1"/>
    <x v="42"/>
  </r>
  <r>
    <d v="2024-11-07T00:00:00"/>
    <n v="230"/>
    <n v="457"/>
    <n v="277"/>
    <n v="8870"/>
    <n v="232"/>
    <n v="9327"/>
    <n v="8638"/>
    <n v="-6.0199120166705257E-3"/>
    <s v="No Backlog"/>
    <n v="0.92612844430149033"/>
    <n v="6.4828991101104325"/>
    <x v="443"/>
    <b v="1"/>
    <x v="42"/>
  </r>
  <r>
    <d v="2024-11-11T00:00:00"/>
    <n v="246"/>
    <n v="472"/>
    <n v="345"/>
    <n v="8800"/>
    <n v="214"/>
    <n v="9272"/>
    <n v="8586"/>
    <n v="-1.8052643838807361E-2"/>
    <s v="No Backlog"/>
    <n v="0.92601380500431407"/>
    <n v="6.4820966350301985"/>
    <x v="444"/>
    <b v="1"/>
    <x v="43"/>
  </r>
  <r>
    <d v="2024-11-12T00:00:00"/>
    <n v="225"/>
    <n v="509"/>
    <n v="340"/>
    <n v="8660"/>
    <n v="229"/>
    <n v="9169"/>
    <n v="8431"/>
    <n v="-2.265448938441466E-2"/>
    <s v="No Backlog"/>
    <n v="0.91951139709892027"/>
    <n v="6.4365797796924422"/>
    <x v="445"/>
    <b v="1"/>
    <x v="43"/>
  </r>
  <r>
    <d v="2024-11-13T00:00:00"/>
    <n v="236"/>
    <n v="468"/>
    <n v="347"/>
    <n v="8594"/>
    <n v="354"/>
    <n v="9062"/>
    <n v="8240"/>
    <n v="2.2451456310679612E-2"/>
    <s v="Backlog"/>
    <n v="0.90929154711984106"/>
    <n v="6.3650408298388879"/>
    <x v="446"/>
    <b v="1"/>
    <x v="43"/>
  </r>
  <r>
    <d v="2024-11-14T00:00:00"/>
    <n v="262"/>
    <n v="444"/>
    <n v="354"/>
    <n v="8724"/>
    <n v="299"/>
    <n v="9168"/>
    <n v="8425"/>
    <n v="2.0178041543026707E-3"/>
    <s v="Backlog"/>
    <n v="0.91895724258289702"/>
    <n v="6.4327006980802794"/>
    <x v="447"/>
    <b v="1"/>
    <x v="43"/>
  </r>
  <r>
    <d v="2024-11-17T00:00:00"/>
    <n v="209"/>
    <n v="447"/>
    <n v="274"/>
    <n v="8699"/>
    <n v="257"/>
    <n v="9146"/>
    <n v="8442"/>
    <n v="2.3691068467187872E-4"/>
    <s v="Backlog"/>
    <n v="0.92302645965449381"/>
    <n v="6.4611852175814564"/>
    <x v="448"/>
    <b v="1"/>
    <x v="44"/>
  </r>
  <r>
    <d v="2024-11-18T00:00:00"/>
    <n v="197"/>
    <n v="369"/>
    <n v="306"/>
    <n v="8650"/>
    <n v="206"/>
    <n v="9019"/>
    <n v="8444"/>
    <n v="-4.3699668403600192E-2"/>
    <s v="No Backlog"/>
    <n v="0.93624570351480207"/>
    <n v="6.5537199246036142"/>
    <x v="449"/>
    <b v="1"/>
    <x v="44"/>
  </r>
  <r>
    <d v="2024-11-19T00:00:00"/>
    <n v="199"/>
    <n v="438"/>
    <n v="326"/>
    <n v="8404"/>
    <n v="329"/>
    <n v="8842"/>
    <n v="8075"/>
    <n v="0"/>
    <s v="No Backlog"/>
    <n v="0.91325491970142503"/>
    <n v="6.3927844379099756"/>
    <x v="450"/>
    <b v="1"/>
    <x v="44"/>
  </r>
  <r>
    <d v="2024-11-20T00:00:00"/>
    <n v="244"/>
    <n v="482"/>
    <n v="366"/>
    <n v="8404"/>
    <n v="329"/>
    <n v="8886"/>
    <n v="8075"/>
    <n v="2.959752321981424E-2"/>
    <s v="Backlog"/>
    <n v="0.90873283817240602"/>
    <n v="6.3611298672068424"/>
    <x v="451"/>
    <b v="1"/>
    <x v="44"/>
  </r>
  <r>
    <d v="2024-11-21T00:00:00"/>
    <n v="165"/>
    <n v="400"/>
    <n v="292"/>
    <n v="8607"/>
    <n v="293"/>
    <n v="9007"/>
    <n v="8314"/>
    <n v="3.367813326918451E-3"/>
    <s v="Backlog"/>
    <n v="0.92305984234484295"/>
    <n v="6.4614188964139005"/>
    <x v="452"/>
    <b v="1"/>
    <x v="44"/>
  </r>
  <r>
    <d v="2024-11-24T00:00:00"/>
    <n v="232"/>
    <n v="430"/>
    <n v="318"/>
    <n v="8573"/>
    <n v="231"/>
    <n v="9003"/>
    <n v="8342"/>
    <n v="-5.5142651642292014E-3"/>
    <s v="No Backlog"/>
    <n v="0.9265800288792625"/>
    <n v="6.486060202154837"/>
    <x v="453"/>
    <b v="1"/>
    <x v="45"/>
  </r>
  <r>
    <d v="2024-11-25T00:00:00"/>
    <n v="149"/>
    <n v="395"/>
    <n v="273"/>
    <n v="8488"/>
    <n v="192"/>
    <n v="8883"/>
    <n v="8296"/>
    <n v="-1.6152362584378015E-2"/>
    <s v="No Backlog"/>
    <n v="0.93391872115276375"/>
    <n v="6.5374310480693465"/>
    <x v="454"/>
    <b v="1"/>
    <x v="45"/>
  </r>
  <r>
    <d v="2024-11-26T00:00:00"/>
    <n v="249"/>
    <n v="420"/>
    <n v="371"/>
    <n v="8380"/>
    <n v="218"/>
    <n v="8800"/>
    <n v="8162"/>
    <n v="-1.3477088948787063E-3"/>
    <s v="No Backlog"/>
    <n v="0.92749999999999999"/>
    <n v="6.4924999999999997"/>
    <x v="455"/>
    <b v="1"/>
    <x v="45"/>
  </r>
  <r>
    <d v="2024-11-27T00:00:00"/>
    <n v="333"/>
    <n v="508"/>
    <n v="272"/>
    <n v="8463"/>
    <n v="312"/>
    <n v="8971"/>
    <n v="8151"/>
    <n v="1.607164765059502E-2"/>
    <s v="Backlog"/>
    <n v="0.9085943596031657"/>
    <n v="6.3601605172221598"/>
    <x v="456"/>
    <b v="1"/>
    <x v="45"/>
  </r>
  <r>
    <d v="2024-11-28T00:00:00"/>
    <n v="185"/>
    <n v="322"/>
    <n v="272"/>
    <n v="8512"/>
    <n v="230"/>
    <n v="8834"/>
    <n v="8282"/>
    <n v="-1.1349915479352813E-2"/>
    <s v="No Backlog"/>
    <n v="0.9375141498754811"/>
    <n v="6.5625990491283677"/>
    <x v="457"/>
    <b v="1"/>
    <x v="45"/>
  </r>
  <r>
    <d v="2024-12-01T00:00:00"/>
    <n v="227"/>
    <n v="369"/>
    <n v="349"/>
    <n v="8348"/>
    <n v="160"/>
    <n v="8717"/>
    <n v="8188"/>
    <n v="-4.0302882266731802E-2"/>
    <s v="No Backlog"/>
    <n v="0.93931398416886547"/>
    <n v="6.5751978891820579"/>
    <x v="458"/>
    <b v="1"/>
    <x v="46"/>
  </r>
  <r>
    <d v="2024-12-02T00:00:00"/>
    <n v="213"/>
    <n v="430"/>
    <n v="440"/>
    <n v="8092"/>
    <n v="234"/>
    <n v="8522"/>
    <n v="7858"/>
    <n v="-1.8961567828964115E-2"/>
    <s v="No Backlog"/>
    <n v="0.92208401783618865"/>
    <n v="6.4545881248533208"/>
    <x v="459"/>
    <b v="0"/>
    <x v="46"/>
  </r>
  <r>
    <d v="2024-12-03T00:00:00"/>
    <n v="205"/>
    <n v="515"/>
    <n v="226"/>
    <n v="8056"/>
    <n v="347"/>
    <n v="8571"/>
    <n v="7709"/>
    <n v="2.1273835776365286E-2"/>
    <s v="Backlog"/>
    <n v="0.89942830474857072"/>
    <n v="6.295998133239995"/>
    <x v="460"/>
    <b v="1"/>
    <x v="46"/>
  </r>
  <r>
    <d v="2024-12-04T00:00:00"/>
    <n v="298"/>
    <n v="499"/>
    <n v="358"/>
    <n v="8188"/>
    <n v="315"/>
    <n v="8687"/>
    <n v="7873"/>
    <n v="8.2560650323891781E-3"/>
    <s v="Backlog"/>
    <n v="0.90629676528145509"/>
    <n v="6.3440773569701854"/>
    <x v="461"/>
    <b v="1"/>
    <x v="46"/>
  </r>
  <r>
    <d v="2024-12-05T00:00:00"/>
    <n v="227"/>
    <n v="453"/>
    <n v="330"/>
    <n v="8160"/>
    <n v="222"/>
    <n v="8613"/>
    <n v="7938"/>
    <n v="-8.9443184681279927E-3"/>
    <s v="No Backlog"/>
    <n v="0.92163009404388718"/>
    <n v="6.4514106583072106"/>
    <x v="462"/>
    <b v="1"/>
    <x v="46"/>
  </r>
  <r>
    <d v="2024-12-08T00:00:00"/>
    <n v="291"/>
    <n v="455"/>
    <n v="323"/>
    <n v="8045"/>
    <n v="178"/>
    <n v="8500"/>
    <n v="7867"/>
    <n v="-3.0125842125333674E-2"/>
    <s v="No Backlog"/>
    <n v="0.92552941176470593"/>
    <n v="6.4787058823529415"/>
    <x v="463"/>
    <b v="1"/>
    <x v="47"/>
  </r>
  <r>
    <d v="2024-12-09T00:00:00"/>
    <n v="157"/>
    <n v="466"/>
    <n v="345"/>
    <n v="7872"/>
    <n v="242"/>
    <n v="8338"/>
    <n v="7630"/>
    <n v="-2.0838794233289645E-2"/>
    <s v="No Backlog"/>
    <n v="0.915087550971456"/>
    <n v="6.4056128568001922"/>
    <x v="464"/>
    <b v="1"/>
    <x v="47"/>
  </r>
  <r>
    <d v="2024-12-10T00:00:00"/>
    <n v="253"/>
    <n v="531"/>
    <n v="248"/>
    <n v="7813"/>
    <n v="342"/>
    <n v="8344"/>
    <n v="7471"/>
    <n v="2.9179494043635391E-2"/>
    <s v="Backlog"/>
    <n v="0.89537392138063276"/>
    <n v="6.2676174496644297"/>
    <x v="465"/>
    <b v="1"/>
    <x v="47"/>
  </r>
  <r>
    <d v="2024-12-11T00:00:00"/>
    <n v="222"/>
    <n v="459"/>
    <n v="289"/>
    <n v="8026"/>
    <n v="337"/>
    <n v="8485"/>
    <n v="7689"/>
    <n v="2.575107296137339E-2"/>
    <s v="Backlog"/>
    <n v="0.90618738951090161"/>
    <n v="6.343311726576311"/>
    <x v="466"/>
    <b v="1"/>
    <x v="47"/>
  </r>
  <r>
    <d v="2024-12-12T00:00:00"/>
    <n v="203"/>
    <n v="477"/>
    <n v="258"/>
    <n v="8153"/>
    <n v="266"/>
    <n v="8630"/>
    <n v="7887"/>
    <n v="1.3693419551160137E-2"/>
    <s v="Backlog"/>
    <n v="0.91390498261877173"/>
    <n v="6.3973348783314021"/>
    <x v="467"/>
    <b v="1"/>
    <x v="47"/>
  </r>
  <r>
    <d v="2024-12-15T00:00:00"/>
    <n v="93"/>
    <n v="198"/>
    <n v="208"/>
    <n v="8182"/>
    <n v="187"/>
    <n v="8380"/>
    <n v="7995"/>
    <n v="-1.6635397123202E-2"/>
    <s v="No Backlog"/>
    <n v="0.95405727923627681"/>
    <n v="6.678400954653938"/>
    <x v="468"/>
    <b v="0"/>
    <x v="48"/>
  </r>
  <r>
    <d v="2024-12-16T00:00:00"/>
    <n v="137"/>
    <n v="272"/>
    <n v="166"/>
    <n v="8057"/>
    <n v="195"/>
    <n v="8329"/>
    <n v="7862"/>
    <n v="-2.0987026201984227E-2"/>
    <s v="No Backlog"/>
    <n v="0.94393084403890026"/>
    <n v="6.6075159082723021"/>
    <x v="469"/>
    <b v="1"/>
    <x v="48"/>
  </r>
  <r>
    <d v="2024-12-17T00:00:00"/>
    <n v="120"/>
    <n v="257"/>
    <n v="126"/>
    <n v="8004"/>
    <n v="307"/>
    <n v="8261"/>
    <n v="7697"/>
    <n v="2.4684942185266987E-2"/>
    <s v="Backlog"/>
    <n v="0.93172739377799296"/>
    <n v="6.5220917564459508"/>
    <x v="470"/>
    <b v="1"/>
    <x v="48"/>
  </r>
  <r>
    <d v="2024-12-18T00:00:00"/>
    <n v="102"/>
    <n v="189"/>
    <n v="155"/>
    <n v="8180"/>
    <n v="293"/>
    <n v="8369"/>
    <n v="7887"/>
    <n v="1.0396855585140105E-2"/>
    <s v="Backlog"/>
    <n v="0.94240650017923289"/>
    <n v="6.5968455012546299"/>
    <x v="471"/>
    <b v="1"/>
    <x v="48"/>
  </r>
  <r>
    <d v="2024-12-19T00:00:00"/>
    <n v="90"/>
    <n v="196"/>
    <n v="205"/>
    <n v="8212"/>
    <n v="243"/>
    <n v="8408"/>
    <n v="7969"/>
    <n v="-4.7684778516752417E-3"/>
    <s v="No Backlog"/>
    <n v="0.94778782112274029"/>
    <n v="6.6345147478591819"/>
    <x v="472"/>
    <b v="0"/>
    <x v="48"/>
  </r>
  <r>
    <d v="2024-12-22T00:00:00"/>
    <n v="128"/>
    <n v="228"/>
    <n v="177"/>
    <n v="8133"/>
    <n v="202"/>
    <n v="8361"/>
    <n v="7931"/>
    <n v="-1.8282688185600807E-2"/>
    <s v="No Backlog"/>
    <n v="0.94857074512618111"/>
    <n v="6.6399952158832676"/>
    <x v="473"/>
    <b v="1"/>
    <x v="49"/>
  </r>
  <r>
    <d v="2024-12-23T00:00:00"/>
    <n v="136"/>
    <n v="246"/>
    <n v="123"/>
    <n v="8008"/>
    <n v="222"/>
    <n v="8254"/>
    <n v="7786"/>
    <n v="-2.3503724633958386E-2"/>
    <s v="No Backlog"/>
    <n v="0.94330021807608433"/>
    <n v="6.6031015265325905"/>
    <x v="474"/>
    <b v="1"/>
    <x v="49"/>
  </r>
  <r>
    <d v="2024-12-24T00:00:00"/>
    <n v="105"/>
    <n v="185"/>
    <n v="158"/>
    <n v="7974"/>
    <n v="371"/>
    <n v="8159"/>
    <n v="7603"/>
    <n v="1.0522162304353544E-2"/>
    <s v="Backlog"/>
    <n v="0.93185439392082359"/>
    <n v="6.5229807574457652"/>
    <x v="475"/>
    <b v="1"/>
    <x v="49"/>
  </r>
  <r>
    <d v="2024-12-25T00:00:00"/>
    <n v="116"/>
    <n v="188"/>
    <n v="164"/>
    <n v="8042"/>
    <n v="359"/>
    <n v="8230"/>
    <n v="7683"/>
    <n v="4.6856696602889493E-3"/>
    <s v="Backlog"/>
    <n v="0.93353584447144589"/>
    <n v="6.5347509113001214"/>
    <x v="476"/>
    <b v="1"/>
    <x v="49"/>
  </r>
  <r>
    <d v="2024-12-26T00:00:00"/>
    <n v="80"/>
    <n v="176"/>
    <n v="125"/>
    <n v="8072"/>
    <n v="353"/>
    <n v="8248"/>
    <n v="7719"/>
    <n v="2.9278403938333981E-2"/>
    <s v="Backlog"/>
    <n v="0.93586323957322992"/>
    <n v="6.5510426770126093"/>
    <x v="477"/>
    <b v="1"/>
    <x v="49"/>
  </r>
  <r>
    <d v="2024-12-29T00:00:00"/>
    <n v="32"/>
    <n v="49"/>
    <n v="39"/>
    <n v="8133"/>
    <n v="188"/>
    <n v="8182"/>
    <n v="7945"/>
    <n v="-1.8376337319068597E-2"/>
    <s v="No Backlog"/>
    <n v="0.97103397702273286"/>
    <n v="6.7972378391591297"/>
    <x v="478"/>
    <b v="1"/>
    <x v="52"/>
  </r>
  <r>
    <d v="2024-12-30T00:00:00"/>
    <n v="33"/>
    <n v="53"/>
    <n v="34"/>
    <n v="8033"/>
    <n v="234"/>
    <n v="8086"/>
    <n v="7799"/>
    <n v="7.1034748044621107E-2"/>
    <s v="Backlog"/>
    <n v="0.96450655453870893"/>
    <n v="6.7515458817709622"/>
    <x v="479"/>
    <b v="1"/>
    <x v="52"/>
  </r>
  <r>
    <d v="2025-01-01T00:00:00"/>
    <n v="29"/>
    <n v="51"/>
    <n v="11"/>
    <n v="8829"/>
    <n v="476"/>
    <n v="8880"/>
    <n v="8353"/>
    <n v="5.2915120316054109E-2"/>
    <s v="Backlog"/>
    <n v="0.94065315315315312"/>
    <n v="6.5845720720720715"/>
    <x v="480"/>
    <b v="1"/>
    <x v="50"/>
  </r>
  <r>
    <d v="2025-01-02T00:00:00"/>
    <n v="91"/>
    <n v="75"/>
    <n v="97"/>
    <n v="9144"/>
    <n v="349"/>
    <n v="9219"/>
    <n v="8795"/>
    <n v="2.6151222285389426E-2"/>
    <s v="Backlog"/>
    <n v="0.95400802690096542"/>
    <n v="6.6780561883067584"/>
    <x v="481"/>
    <b v="0"/>
    <x v="50"/>
  </r>
  <r>
    <d v="2025-01-05T00:00:00"/>
    <n v="62"/>
    <n v="97"/>
    <n v="52"/>
    <n v="9311"/>
    <n v="286"/>
    <n v="9408"/>
    <n v="9025"/>
    <n v="3.080332409972299E-2"/>
    <s v="Backlog"/>
    <n v="0.9592899659863946"/>
    <n v="6.7150297619047619"/>
    <x v="482"/>
    <b v="1"/>
    <x v="0"/>
  </r>
  <r>
    <d v="2025-01-06T00:00:00"/>
    <n v="59"/>
    <n v="64"/>
    <n v="117"/>
    <n v="9670"/>
    <n v="367"/>
    <n v="9734"/>
    <n v="9303"/>
    <n v="0"/>
    <s v="No Backlog"/>
    <n v="0.95572221080747899"/>
    <n v="6.6900554756523531"/>
    <x v="483"/>
    <b v="0"/>
    <x v="0"/>
  </r>
  <r>
    <d v="2025-01-07T00:00:00"/>
    <n v="84"/>
    <n v="118"/>
    <n v="136"/>
    <n v="9670"/>
    <n v="367"/>
    <n v="9788"/>
    <n v="9303"/>
    <n v="9.5990540685800277E-2"/>
    <s v="Backlog"/>
    <n v="0.95044953003677968"/>
    <n v="6.6531467102574577"/>
    <x v="484"/>
    <b v="0"/>
    <x v="0"/>
  </r>
  <r>
    <d v="2025-01-08T00:00:00"/>
    <n v="86"/>
    <n v="152"/>
    <n v="168"/>
    <n v="10558"/>
    <n v="362"/>
    <n v="10710"/>
    <n v="10196"/>
    <n v="2.5402118477834443E-2"/>
    <s v="Backlog"/>
    <n v="0.95200746965452843"/>
    <n v="6.6640522875816988"/>
    <x v="485"/>
    <b v="0"/>
    <x v="0"/>
  </r>
  <r>
    <d v="2025-01-09T00:00:00"/>
    <n v="106"/>
    <n v="196"/>
    <n v="131"/>
    <n v="10718"/>
    <n v="263"/>
    <n v="10914"/>
    <n v="10455"/>
    <n v="-9.5648015303682451E-5"/>
    <s v="No Backlog"/>
    <n v="0.95794392523364491"/>
    <n v="6.7056074766355147"/>
    <x v="486"/>
    <b v="1"/>
    <x v="0"/>
  </r>
  <r>
    <d v="2025-01-12T00:00:00"/>
    <n v="113"/>
    <n v="162"/>
    <n v="107"/>
    <n v="10770"/>
    <n v="316"/>
    <n v="10932"/>
    <n v="10454"/>
    <n v="1.2052802754926343E-2"/>
    <s v="Backlog"/>
    <n v="0.95627515550676911"/>
    <n v="6.6939260885473839"/>
    <x v="487"/>
    <b v="1"/>
    <x v="51"/>
  </r>
  <r>
    <d v="2025-01-13T00:00:00"/>
    <n v="92"/>
    <n v="124"/>
    <n v="93"/>
    <n v="10870"/>
    <n v="290"/>
    <n v="10994"/>
    <n v="10580"/>
    <n v="2.76937618147448E-2"/>
    <s v="Backlog"/>
    <n v="0.96234309623430958"/>
    <n v="6.7364016736401666"/>
    <x v="488"/>
    <b v="1"/>
    <x v="51"/>
  </r>
  <r>
    <d v="2025-01-14T00:00:00"/>
    <n v="68"/>
    <n v="107"/>
    <n v="102"/>
    <n v="11230"/>
    <n v="357"/>
    <n v="11337"/>
    <n v="10873"/>
    <n v="-1.8394187436769982E-4"/>
    <s v="No Backlog"/>
    <n v="0.95907206492017294"/>
    <n v="6.7135044544412104"/>
    <x v="489"/>
    <b v="1"/>
    <x v="51"/>
  </r>
  <r>
    <d v="2025-01-15T00:00:00"/>
    <n v="74"/>
    <n v="103"/>
    <n v="80"/>
    <n v="11206"/>
    <n v="335"/>
    <n v="11309"/>
    <n v="10871"/>
    <n v="5.335295740962193E-3"/>
    <s v="Backlog"/>
    <n v="0.9612697851268901"/>
    <n v="6.7288884958882305"/>
    <x v="490"/>
    <b v="1"/>
    <x v="51"/>
  </r>
  <r>
    <d v="2025-01-16T00:00:00"/>
    <n v="56"/>
    <n v="82"/>
    <n v="68"/>
    <n v="11217"/>
    <n v="288"/>
    <n v="11299"/>
    <n v="10929"/>
    <n v="-1.2077957727147955E-2"/>
    <s v="No Backlog"/>
    <n v="0.96725373926896185"/>
    <n v="6.7707761748827329"/>
    <x v="491"/>
    <b v="1"/>
    <x v="51"/>
  </r>
  <r>
    <d v="2025-01-19T00:00:00"/>
    <n v="90"/>
    <n v="196"/>
    <n v="205"/>
    <n v="11144"/>
    <n v="347"/>
    <n v="11340"/>
    <n v="10797"/>
    <n v="7.5020839121978326E-3"/>
    <s v="Backlog"/>
    <n v="0.95211640211640214"/>
    <n v="6.6648148148148145"/>
    <x v="492"/>
    <b v="0"/>
    <x v="1"/>
  </r>
  <r>
    <d v="2025-01-20T00:00:00"/>
    <n v="128"/>
    <n v="228"/>
    <n v="177"/>
    <n v="11375"/>
    <n v="497"/>
    <n v="11603"/>
    <n v="10878"/>
    <n v="2.2798308512594227E-2"/>
    <s v="Backlog"/>
    <n v="0.93751615961389301"/>
    <n v="6.5626131172972508"/>
    <x v="493"/>
    <b v="1"/>
    <x v="1"/>
  </r>
  <r>
    <d v="2025-01-21T00:00:00"/>
    <n v="136"/>
    <n v="246"/>
    <n v="123"/>
    <n v="11516"/>
    <n v="390"/>
    <n v="11762"/>
    <n v="11126"/>
    <n v="-9.6171130684882256E-3"/>
    <s v="No Backlog"/>
    <n v="0.94592756333956807"/>
    <n v="6.6214929433769765"/>
    <x v="494"/>
    <b v="1"/>
    <x v="1"/>
  </r>
  <r>
    <d v="2025-01-22T00:00:00"/>
    <n v="105"/>
    <n v="185"/>
    <n v="158"/>
    <n v="11291"/>
    <n v="272"/>
    <n v="11476"/>
    <n v="11019"/>
    <n v="-2.1236046828205825E-2"/>
    <s v="No Backlog"/>
    <n v="0.96017776228651097"/>
    <n v="6.7212443360055767"/>
    <x v="495"/>
    <b v="1"/>
    <x v="1"/>
  </r>
  <r>
    <d v="2025-01-23T00:00:00"/>
    <n v="116"/>
    <n v="188"/>
    <n v="164"/>
    <n v="11149"/>
    <n v="364"/>
    <n v="11337"/>
    <n v="10785"/>
    <n v="-1.3815484469170143E-2"/>
    <s v="No Backlog"/>
    <n v="0.95130987033606773"/>
    <n v="6.6591690923524745"/>
    <x v="496"/>
    <b v="1"/>
    <x v="1"/>
  </r>
  <r>
    <d v="2025-01-26T00:00:00"/>
    <n v="80"/>
    <n v="176"/>
    <n v="125"/>
    <n v="11092"/>
    <n v="456"/>
    <n v="11268"/>
    <n v="10636"/>
    <n v="1.9744264761188415E-2"/>
    <s v="Backlog"/>
    <n v="0.9439119630812921"/>
    <n v="6.6073837415690448"/>
    <x v="497"/>
    <b v="1"/>
    <x v="2"/>
  </r>
  <r>
    <d v="2025-01-27T00:00:00"/>
    <n v="150"/>
    <n v="157"/>
    <n v="201"/>
    <n v="11242"/>
    <n v="396"/>
    <n v="11399"/>
    <n v="10846"/>
    <n v="1.0141987829614604E-3"/>
    <s v="Backlog"/>
    <n v="0.95148697254145098"/>
    <n v="6.6604088077901569"/>
    <x v="498"/>
    <b v="0"/>
    <x v="2"/>
  </r>
  <r>
    <d v="2025-01-28T00:00:00"/>
    <n v="116"/>
    <n v="181"/>
    <n v="182"/>
    <n v="11192"/>
    <n v="335"/>
    <n v="11373"/>
    <n v="10857"/>
    <n v="-3.592152528322741E-3"/>
    <s v="No Backlog"/>
    <n v="0.9546293853864416"/>
    <n v="6.6824056977050912"/>
    <x v="499"/>
    <b v="0"/>
    <x v="2"/>
  </r>
  <r>
    <d v="2025-01-29T00:00:00"/>
    <n v="141"/>
    <n v="173"/>
    <n v="129"/>
    <n v="11077"/>
    <n v="259"/>
    <n v="11250"/>
    <n v="10818"/>
    <n v="-1.1462377518949898E-2"/>
    <s v="No Backlog"/>
    <n v="0.96160000000000001"/>
    <n v="6.7312000000000003"/>
    <x v="500"/>
    <b v="1"/>
    <x v="2"/>
  </r>
  <r>
    <d v="2025-01-30T00:00:00"/>
    <n v="96"/>
    <n v="160"/>
    <n v="233"/>
    <n v="10998"/>
    <n v="304"/>
    <n v="11158"/>
    <n v="10694"/>
    <n v="-2.1881428838601086E-2"/>
    <s v="No Backlog"/>
    <n v="0.95841548664635234"/>
    <n v="6.7089084065244666"/>
    <x v="501"/>
    <b v="0"/>
    <x v="2"/>
  </r>
  <r>
    <d v="2025-02-02T00:00:00"/>
    <n v="158"/>
    <n v="226"/>
    <n v="191"/>
    <n v="10871"/>
    <n v="411"/>
    <n v="11097"/>
    <n v="10460"/>
    <n v="-2.7724665391969409E-3"/>
    <s v="No Backlog"/>
    <n v="0.94259709831485983"/>
    <n v="6.5981796882040191"/>
    <x v="502"/>
    <b v="1"/>
    <x v="3"/>
  </r>
  <r>
    <d v="2025-02-03T00:00:00"/>
    <n v="141"/>
    <n v="232"/>
    <n v="188"/>
    <n v="10897"/>
    <n v="466"/>
    <n v="11129"/>
    <n v="10431"/>
    <n v="2.3967021378583069E-3"/>
    <s v="Backlog"/>
    <n v="0.93728097762602214"/>
    <n v="6.5609668433821549"/>
    <x v="503"/>
    <b v="1"/>
    <x v="3"/>
  </r>
  <r>
    <d v="2025-02-04T00:00:00"/>
    <n v="123"/>
    <n v="233"/>
    <n v="159"/>
    <n v="10832"/>
    <n v="376"/>
    <n v="11065"/>
    <n v="10456"/>
    <n v="4.2081101759755164E-3"/>
    <s v="Backlog"/>
    <n v="0.94496159060099416"/>
    <n v="6.6147311342069592"/>
    <x v="504"/>
    <b v="1"/>
    <x v="3"/>
  </r>
  <r>
    <d v="2025-02-05T00:00:00"/>
    <n v="123"/>
    <n v="230"/>
    <n v="167"/>
    <n v="10761"/>
    <n v="261"/>
    <n v="10991"/>
    <n v="10500"/>
    <n v="-1.3142857142857144E-2"/>
    <s v="No Backlog"/>
    <n v="0.95532708579747061"/>
    <n v="6.6872896005822939"/>
    <x v="505"/>
    <b v="1"/>
    <x v="3"/>
  </r>
  <r>
    <d v="2025-02-06T00:00:00"/>
    <n v="174"/>
    <n v="208"/>
    <n v="256"/>
    <n v="10635"/>
    <n v="273"/>
    <n v="10843"/>
    <n v="10362"/>
    <n v="-1.9301293186643507E-2"/>
    <s v="No Backlog"/>
    <n v="0.95563958314119712"/>
    <n v="6.6894770819883798"/>
    <x v="506"/>
    <b v="0"/>
    <x v="3"/>
  </r>
  <r>
    <d v="2025-02-09T00:00:00"/>
    <n v="132"/>
    <n v="235"/>
    <n v="197"/>
    <n v="10579"/>
    <n v="417"/>
    <n v="10814"/>
    <n v="10162"/>
    <n v="5.3139145837433578E-3"/>
    <s v="Backlog"/>
    <n v="0.93970778620307005"/>
    <n v="6.5779545034214904"/>
    <x v="507"/>
    <b v="1"/>
    <x v="4"/>
  </r>
  <r>
    <d v="2025-02-10T00:00:00"/>
    <n v="92"/>
    <n v="124"/>
    <n v="93"/>
    <n v="10536"/>
    <n v="320"/>
    <n v="10660"/>
    <n v="10216"/>
    <n v="-9.9843382928739236E-3"/>
    <s v="No Backlog"/>
    <n v="0.95834896810506565"/>
    <n v="6.7084427767354597"/>
    <x v="508"/>
    <b v="1"/>
    <x v="4"/>
  </r>
  <r>
    <d v="2025-02-11T00:00:00"/>
    <n v="68"/>
    <n v="107"/>
    <n v="102"/>
    <n v="10398"/>
    <n v="284"/>
    <n v="10505"/>
    <n v="10114"/>
    <n v="-1.1271504844769626E-2"/>
    <s v="No Backlog"/>
    <n v="0.9627796287482151"/>
    <n v="6.7394574012375053"/>
    <x v="509"/>
    <b v="1"/>
    <x v="4"/>
  </r>
  <r>
    <d v="2025-02-12T00:00:00"/>
    <n v="74"/>
    <n v="103"/>
    <n v="80"/>
    <n v="10223"/>
    <n v="223"/>
    <n v="10326"/>
    <n v="10000"/>
    <n v="-9.1000000000000004E-3"/>
    <s v="No Backlog"/>
    <n v="0.96842920782490804"/>
    <n v="6.7790044547743564"/>
    <x v="510"/>
    <b v="1"/>
    <x v="4"/>
  </r>
  <r>
    <d v="2025-02-13T00:00:00"/>
    <n v="56"/>
    <n v="82"/>
    <n v="68"/>
    <n v="10123"/>
    <n v="214"/>
    <n v="10205"/>
    <n v="9909"/>
    <n v="-3.794530225047936E-2"/>
    <s v="No Backlog"/>
    <n v="0.97099461048505631"/>
    <n v="6.796962273395394"/>
    <x v="511"/>
    <b v="1"/>
    <x v="4"/>
  </r>
  <r>
    <d v="2025-02-17T00:00:00"/>
    <n v="90"/>
    <n v="196"/>
    <n v="205"/>
    <n v="9845"/>
    <n v="312"/>
    <n v="10041"/>
    <n v="9533"/>
    <n v="2.307772999055911E-3"/>
    <s v="Backlog"/>
    <n v="0.94940742953889057"/>
    <n v="6.645852006772234"/>
    <x v="512"/>
    <b v="0"/>
    <x v="5"/>
  </r>
  <r>
    <d v="2025-02-18T00:00:00"/>
    <n v="128"/>
    <n v="228"/>
    <n v="177"/>
    <n v="9838"/>
    <n v="283"/>
    <n v="10066"/>
    <n v="9555"/>
    <n v="-1.0465724751439037E-4"/>
    <s v="No Backlog"/>
    <n v="0.94923504867872044"/>
    <n v="6.6446453407510431"/>
    <x v="513"/>
    <b v="1"/>
    <x v="5"/>
  </r>
  <r>
    <d v="2025-02-19T00:00:00"/>
    <n v="136"/>
    <n v="246"/>
    <n v="123"/>
    <n v="9804"/>
    <n v="250"/>
    <n v="10050"/>
    <n v="9554"/>
    <n v="-2.2398995185262716E-2"/>
    <s v="No Backlog"/>
    <n v="0.95064676616915422"/>
    <n v="6.65452736318408"/>
    <x v="514"/>
    <b v="1"/>
    <x v="5"/>
  </r>
  <r>
    <d v="2025-02-20T00:00:00"/>
    <n v="105"/>
    <n v="185"/>
    <n v="158"/>
    <n v="9638"/>
    <n v="298"/>
    <n v="9823"/>
    <n v="9340"/>
    <n v="-2.1627408993576017E-2"/>
    <s v="No Backlog"/>
    <n v="0.95082968543214907"/>
    <n v="6.6558077980250436"/>
    <x v="515"/>
    <b v="1"/>
    <x v="5"/>
  </r>
  <r>
    <d v="2025-02-23T00:00:00"/>
    <n v="116"/>
    <n v="188"/>
    <n v="164"/>
    <n v="9573"/>
    <n v="435"/>
    <n v="9761"/>
    <n v="9138"/>
    <n v="2.7358284088421975E-2"/>
    <s v="Backlog"/>
    <n v="0.93617457227743062"/>
    <n v="6.5532220059420148"/>
    <x v="516"/>
    <b v="1"/>
    <x v="6"/>
  </r>
  <r>
    <d v="2025-02-24T00:00:00"/>
    <n v="80"/>
    <n v="176"/>
    <n v="125"/>
    <n v="9762"/>
    <n v="374"/>
    <n v="9938"/>
    <n v="9388"/>
    <n v="6.1780997017469108E-3"/>
    <s v="Backlog"/>
    <n v="0.94465687261018316"/>
    <n v="6.6125981082712819"/>
    <x v="517"/>
    <b v="1"/>
    <x v="6"/>
  </r>
  <r>
    <d v="2025-02-25T00:00:00"/>
    <n v="150"/>
    <n v="157"/>
    <n v="201"/>
    <n v="9762"/>
    <n v="316"/>
    <n v="9919"/>
    <n v="9446"/>
    <n v="-2.9642176582680498E-3"/>
    <s v="No Backlog"/>
    <n v="0.95231374130456703"/>
    <n v="6.666196189131969"/>
    <x v="518"/>
    <b v="0"/>
    <x v="6"/>
  </r>
  <r>
    <d v="2025-02-26T00:00:00"/>
    <n v="116"/>
    <n v="181"/>
    <n v="182"/>
    <n v="9665"/>
    <n v="247"/>
    <n v="9846"/>
    <n v="9418"/>
    <n v="-2.0705032915693353E-2"/>
    <s v="No Backlog"/>
    <n v="0.95653057079016857"/>
    <n v="6.6957139955311797"/>
    <x v="519"/>
    <b v="0"/>
    <x v="6"/>
  </r>
  <r>
    <d v="2025-02-27T00:00:00"/>
    <n v="141"/>
    <n v="173"/>
    <n v="129"/>
    <n v="9510"/>
    <n v="287"/>
    <n v="9683"/>
    <n v="9223"/>
    <n v="-6.3970508511330369E-3"/>
    <s v="No Backlog"/>
    <n v="0.95249406175771967"/>
    <n v="6.6674584323040378"/>
    <x v="520"/>
    <b v="1"/>
    <x v="6"/>
  </r>
  <r>
    <d v="2025-03-02T00:00:00"/>
    <n v="96"/>
    <n v="160"/>
    <n v="233"/>
    <n v="9477"/>
    <n v="313"/>
    <n v="9637"/>
    <n v="9164"/>
    <n v="1.7459624618070713E-2"/>
    <s v="Backlog"/>
    <n v="0.95091833558161254"/>
    <n v="6.6564283490712874"/>
    <x v="521"/>
    <b v="0"/>
    <x v="7"/>
  </r>
  <r>
    <d v="2025-03-03T00:00:00"/>
    <n v="158"/>
    <n v="226"/>
    <n v="191"/>
    <n v="9634"/>
    <n v="310"/>
    <n v="9860"/>
    <n v="9324"/>
    <n v="-7.7220077220077222E-3"/>
    <s v="No Backlog"/>
    <n v="0.94563894523326575"/>
    <n v="6.6194726166328604"/>
    <x v="522"/>
    <b v="1"/>
    <x v="7"/>
  </r>
  <r>
    <d v="2025-03-04T00:00:00"/>
    <n v="141"/>
    <n v="232"/>
    <n v="188"/>
    <n v="9483"/>
    <n v="231"/>
    <n v="9715"/>
    <n v="9252"/>
    <n v="-3.0479896238651102E-2"/>
    <s v="No Backlog"/>
    <n v="0.95234173957797219"/>
    <n v="6.6663921770458057"/>
    <x v="523"/>
    <b v="1"/>
    <x v="7"/>
  </r>
  <r>
    <d v="2025-03-05T00:00:00"/>
    <n v="123"/>
    <n v="233"/>
    <n v="159"/>
    <n v="9286"/>
    <n v="316"/>
    <n v="9519"/>
    <n v="8970"/>
    <n v="-7.4693422519509474E-3"/>
    <s v="No Backlog"/>
    <n v="0.94232587456665617"/>
    <n v="6.5962811219665936"/>
    <x v="524"/>
    <b v="1"/>
    <x v="7"/>
  </r>
  <r>
    <d v="2025-03-06T00:00:00"/>
    <n v="123"/>
    <n v="230"/>
    <n v="167"/>
    <n v="9273"/>
    <n v="370"/>
    <n v="9503"/>
    <n v="8903"/>
    <n v="2.3475233067505336E-2"/>
    <s v="Backlog"/>
    <n v="0.93686204356518998"/>
    <n v="6.5580343049563297"/>
    <x v="525"/>
    <b v="1"/>
    <x v="7"/>
  </r>
  <r>
    <d v="2025-03-09T00:00:00"/>
    <n v="174"/>
    <n v="208"/>
    <n v="256"/>
    <n v="9442"/>
    <n v="330"/>
    <n v="9650"/>
    <n v="9112"/>
    <n v="-1.5474100087796313E-2"/>
    <s v="No Backlog"/>
    <n v="0.94424870466321242"/>
    <n v="6.6097409326424872"/>
    <x v="526"/>
    <b v="0"/>
    <x v="8"/>
  </r>
  <r>
    <d v="2025-03-10T00:00:00"/>
    <n v="132"/>
    <n v="235"/>
    <n v="197"/>
    <n v="9250"/>
    <n v="279"/>
    <n v="9485"/>
    <n v="8971"/>
    <n v="-2.1625236874372979E-2"/>
    <s v="No Backlog"/>
    <n v="0.94580917237743811"/>
    <n v="6.6206642066420667"/>
    <x v="527"/>
    <b v="1"/>
    <x v="8"/>
  </r>
  <r>
    <d v="2025-03-11T00:00:00"/>
    <n v="33"/>
    <n v="53"/>
    <n v="34"/>
    <n v="9072"/>
    <n v="295"/>
    <n v="9125"/>
    <n v="8777"/>
    <n v="-3.3040902358436822E-3"/>
    <s v="No Backlog"/>
    <n v="0.96186301369863014"/>
    <n v="6.7330410958904112"/>
    <x v="528"/>
    <b v="1"/>
    <x v="8"/>
  </r>
  <r>
    <d v="2025-03-12T00:00:00"/>
    <n v="29"/>
    <n v="51"/>
    <n v="11"/>
    <n v="9026"/>
    <n v="278"/>
    <n v="9077"/>
    <n v="8748"/>
    <n v="-2.754915409236397E-2"/>
    <s v="No Backlog"/>
    <n v="0.96375454445301312"/>
    <n v="6.7462818111710918"/>
    <x v="529"/>
    <b v="1"/>
    <x v="8"/>
  </r>
  <r>
    <d v="2025-03-13T00:00:00"/>
    <n v="91"/>
    <n v="75"/>
    <n v="97"/>
    <n v="8925"/>
    <n v="418"/>
    <n v="9000"/>
    <n v="8507"/>
    <n v="3.9731985423768663E-2"/>
    <s v="Backlog"/>
    <n v="0.94522222222222219"/>
    <n v="6.6165555555555553"/>
    <x v="530"/>
    <b v="0"/>
    <x v="8"/>
  </r>
  <r>
    <d v="2025-03-16T00:00:00"/>
    <n v="62"/>
    <n v="97"/>
    <n v="52"/>
    <n v="9235"/>
    <n v="390"/>
    <n v="9332"/>
    <n v="8845"/>
    <n v="2.4081401921989824E-2"/>
    <s v="Backlog"/>
    <n v="0.94781397342477491"/>
    <n v="6.6346978139734247"/>
    <x v="531"/>
    <b v="1"/>
    <x v="9"/>
  </r>
  <r>
    <d v="2025-03-17T00:00:00"/>
    <n v="59"/>
    <n v="64"/>
    <n v="117"/>
    <n v="9351"/>
    <n v="293"/>
    <n v="9415"/>
    <n v="9058"/>
    <n v="4.1951865754029588E-3"/>
    <s v="Backlog"/>
    <n v="0.96208178438661707"/>
    <n v="6.7345724907063191"/>
    <x v="532"/>
    <b v="0"/>
    <x v="9"/>
  </r>
  <r>
    <d v="2025-03-18T00:00:00"/>
    <n v="84"/>
    <n v="118"/>
    <n v="136"/>
    <n v="9396"/>
    <n v="300"/>
    <n v="9514"/>
    <n v="9096"/>
    <n v="1.4291996481970097E-3"/>
    <s v="Backlog"/>
    <n v="0.95606474668908981"/>
    <n v="6.6924532268236288"/>
    <x v="533"/>
    <b v="0"/>
    <x v="9"/>
  </r>
  <r>
    <d v="2025-03-19T00:00:00"/>
    <n v="86"/>
    <n v="152"/>
    <n v="168"/>
    <n v="9436"/>
    <n v="327"/>
    <n v="9588"/>
    <n v="9109"/>
    <n v="-6.2575474805137777E-3"/>
    <s v="No Backlog"/>
    <n v="0.95004171881518562"/>
    <n v="6.6502920317062992"/>
    <x v="534"/>
    <b v="0"/>
    <x v="9"/>
  </r>
  <r>
    <d v="2025-03-20T00:00:00"/>
    <n v="106"/>
    <n v="196"/>
    <n v="131"/>
    <n v="9506"/>
    <n v="454"/>
    <n v="9702"/>
    <n v="9052"/>
    <n v="9.5117101193106499E-2"/>
    <s v="Backlog"/>
    <n v="0.93300350443207591"/>
    <n v="6.5310245310245314"/>
    <x v="535"/>
    <b v="1"/>
    <x v="9"/>
  </r>
  <r>
    <d v="2025-03-23T00:00:00"/>
    <n v="113"/>
    <n v="162"/>
    <n v="107"/>
    <n v="10319"/>
    <n v="406"/>
    <n v="10481"/>
    <n v="9913"/>
    <n v="2.0679915262786241E-2"/>
    <s v="Backlog"/>
    <n v="0.94580669783417615"/>
    <n v="6.6206468848392328"/>
    <x v="536"/>
    <b v="1"/>
    <x v="10"/>
  </r>
  <r>
    <d v="2025-03-24T00:00:00"/>
    <n v="92"/>
    <n v="124"/>
    <n v="93"/>
    <n v="10511"/>
    <n v="393"/>
    <n v="10635"/>
    <n v="10118"/>
    <n v="1.9470251037754498E-2"/>
    <s v="Backlog"/>
    <n v="0.951386929948284"/>
    <n v="6.659708509637988"/>
    <x v="537"/>
    <b v="1"/>
    <x v="10"/>
  </r>
  <r>
    <d v="2025-03-25T00:00:00"/>
    <n v="68"/>
    <n v="107"/>
    <n v="102"/>
    <n v="10630"/>
    <n v="315"/>
    <n v="10737"/>
    <n v="10315"/>
    <n v="-1.6480853126514784E-3"/>
    <s v="No Backlog"/>
    <n v="0.96069665642171931"/>
    <n v="6.7248765949520353"/>
    <x v="538"/>
    <b v="1"/>
    <x v="10"/>
  </r>
  <r>
    <d v="2025-03-26T00:00:00"/>
    <n v="74"/>
    <n v="103"/>
    <n v="80"/>
    <n v="10629"/>
    <n v="331"/>
    <n v="10732"/>
    <n v="10298"/>
    <n v="-1.5634103709458148E-2"/>
    <s v="No Backlog"/>
    <n v="0.95956019381289603"/>
    <n v="6.7169213566902721"/>
    <x v="539"/>
    <b v="1"/>
    <x v="10"/>
  </r>
  <r>
    <d v="2025-03-27T00:00:00"/>
    <n v="56"/>
    <n v="82"/>
    <n v="68"/>
    <n v="10571"/>
    <n v="434"/>
    <n v="10653"/>
    <n v="10137"/>
    <n v="4.508237151030877E-2"/>
    <s v="Backlog"/>
    <n v="0.95156294001689667"/>
    <n v="6.6609405801182771"/>
    <x v="540"/>
    <b v="1"/>
    <x v="10"/>
  </r>
  <r>
    <d v="2025-03-30T00:00:00"/>
    <n v="38"/>
    <n v="80"/>
    <n v="82"/>
    <n v="10992"/>
    <n v="398"/>
    <n v="11072"/>
    <n v="10594"/>
    <n v="9.4393052671323391E-3"/>
    <s v="Backlog"/>
    <n v="0.95682803468208089"/>
    <n v="6.6977962427745661"/>
    <x v="541"/>
    <b v="0"/>
    <x v="11"/>
  </r>
  <r>
    <d v="2025-03-31T00:00:00"/>
    <n v="65"/>
    <n v="83"/>
    <n v="65"/>
    <n v="10960"/>
    <n v="266"/>
    <n v="11043"/>
    <n v="10694"/>
    <n v="-3.8339255657377971E-3"/>
    <s v="No Backlog"/>
    <n v="0.96839626912976551"/>
    <n v="6.7787738839083582"/>
    <x v="542"/>
    <b v="1"/>
    <x v="11"/>
  </r>
  <r>
    <d v="2025-04-01T00:00:00"/>
    <n v="41"/>
    <n v="60"/>
    <n v="71"/>
    <n v="10910"/>
    <n v="257"/>
    <n v="10970"/>
    <n v="10653"/>
    <n v="-1.1264432554210082E-2"/>
    <s v="No Backlog"/>
    <n v="0.97110300820419326"/>
    <n v="6.797721057429353"/>
    <x v="543"/>
    <b v="0"/>
    <x v="11"/>
  </r>
  <r>
    <d v="2025-04-02T00:00:00"/>
    <n v="43"/>
    <n v="73"/>
    <n v="64"/>
    <n v="10815"/>
    <n v="282"/>
    <n v="10888"/>
    <n v="10533"/>
    <n v="1.6139751257951199E-2"/>
    <s v="Backlog"/>
    <n v="0.96739529757531229"/>
    <n v="6.7717670830271857"/>
    <x v="544"/>
    <b v="1"/>
    <x v="11"/>
  </r>
  <r>
    <d v="2025-04-03T00:00:00"/>
    <n v="35"/>
    <n v="70"/>
    <n v="53"/>
    <n v="11130"/>
    <n v="427"/>
    <n v="11200"/>
    <n v="10703"/>
    <n v="-6.5402223675604968E-3"/>
    <s v="No Backlog"/>
    <n v="0.95562499999999995"/>
    <n v="6.6893750000000001"/>
    <x v="545"/>
    <b v="1"/>
    <x v="11"/>
  </r>
  <r>
    <d v="2025-04-06T00:00:00"/>
    <n v="25"/>
    <n v="66"/>
    <n v="94"/>
    <n v="10963"/>
    <n v="330"/>
    <n v="11029"/>
    <n v="10633"/>
    <n v="-9.5927772030471176E-3"/>
    <s v="No Backlog"/>
    <n v="0.9640946595339559"/>
    <n v="6.7486626167376915"/>
    <x v="546"/>
    <b v="0"/>
    <x v="12"/>
  </r>
  <r>
    <d v="2025-04-07T00:00:00"/>
    <n v="99"/>
    <n v="156"/>
    <n v="139"/>
    <n v="10818"/>
    <n v="287"/>
    <n v="10974"/>
    <n v="10531"/>
    <n v="-8.6411546861646562E-3"/>
    <s v="No Backlog"/>
    <n v="0.95963185711682153"/>
    <n v="6.7174229998177504"/>
    <x v="547"/>
    <b v="1"/>
    <x v="12"/>
  </r>
  <r>
    <d v="2025-04-08T00:00:00"/>
    <n v="107"/>
    <n v="170"/>
    <n v="133"/>
    <n v="10724"/>
    <n v="284"/>
    <n v="10894"/>
    <n v="10440"/>
    <n v="-3.2088122605363985E-2"/>
    <s v="No Backlog"/>
    <n v="0.95832568386267669"/>
    <n v="6.7082797870387365"/>
    <x v="548"/>
    <b v="1"/>
    <x v="12"/>
  </r>
  <r>
    <d v="2025-04-09T00:00:00"/>
    <n v="80"/>
    <n v="122"/>
    <n v="152"/>
    <n v="10598"/>
    <n v="493"/>
    <n v="10720"/>
    <n v="10105"/>
    <n v="4.2751113310242457E-2"/>
    <s v="Backlog"/>
    <n v="0.94263059701492535"/>
    <n v="6.598414179104477"/>
    <x v="549"/>
    <b v="0"/>
    <x v="12"/>
  </r>
  <r>
    <d v="2025-04-10T00:00:00"/>
    <n v="57"/>
    <n v="162"/>
    <n v="193"/>
    <n v="10984"/>
    <n v="447"/>
    <n v="11146"/>
    <n v="10537"/>
    <n v="1.4140647243048306E-2"/>
    <s v="Backlog"/>
    <n v="0.94536156468688315"/>
    <n v="6.617530952808182"/>
    <x v="550"/>
    <b v="0"/>
    <x v="12"/>
  </r>
  <r>
    <d v="2025-04-11T00:00:00"/>
    <n v="161"/>
    <n v="304"/>
    <n v="211"/>
    <n v="11017"/>
    <n v="331"/>
    <n v="11321"/>
    <n v="10686"/>
    <n v="-3.7432154220475387E-3"/>
    <s v="No Backlog"/>
    <n v="0.94390954862644638"/>
    <n v="6.6073668403851249"/>
    <x v="551"/>
    <b v="1"/>
    <x v="12"/>
  </r>
  <r>
    <d v="2025-04-13T00:00:00"/>
    <n v="205"/>
    <n v="294"/>
    <n v="177"/>
    <n v="10978"/>
    <n v="332"/>
    <n v="11272"/>
    <n v="10646"/>
    <n v="-8.2660154048468902E-3"/>
    <s v="No Backlog"/>
    <n v="0.94446415897799862"/>
    <n v="6.6112491128459903"/>
    <x v="552"/>
    <b v="1"/>
    <x v="13"/>
  </r>
  <r>
    <d v="2025-04-14T00:00:00"/>
    <n v="100"/>
    <n v="255"/>
    <n v="236"/>
    <n v="10842"/>
    <n v="284"/>
    <n v="11097"/>
    <n v="10558"/>
    <n v="-2.0553135063458988E-2"/>
    <s v="No Backlog"/>
    <n v="0.95142831395872762"/>
    <n v="6.6599981977110936"/>
    <x v="553"/>
    <b v="1"/>
    <x v="13"/>
  </r>
  <r>
    <d v="2025-04-15T00:00:00"/>
    <n v="269"/>
    <n v="412"/>
    <n v="204"/>
    <n v="10744"/>
    <n v="403"/>
    <n v="11156"/>
    <n v="10341"/>
    <n v="2.8817329078425685E-2"/>
    <s v="Backlog"/>
    <n v="0.9269451416278236"/>
    <n v="6.4886159913947647"/>
    <x v="554"/>
    <b v="1"/>
    <x v="13"/>
  </r>
  <r>
    <d v="2025-04-16T00:00:00"/>
    <n v="168"/>
    <n v="285"/>
    <n v="210"/>
    <n v="11067"/>
    <n v="428"/>
    <n v="11352"/>
    <n v="10639"/>
    <n v="5.733621580975656E-3"/>
    <s v="Backlog"/>
    <n v="0.93719168428470756"/>
    <n v="6.560341789992953"/>
    <x v="555"/>
    <b v="1"/>
    <x v="13"/>
  </r>
  <r>
    <d v="2025-04-17T00:00:00"/>
    <n v="187"/>
    <n v="310"/>
    <n v="247"/>
    <n v="11064"/>
    <n v="364"/>
    <n v="11374"/>
    <n v="10700"/>
    <n v="1.2616822429906542E-2"/>
    <s v="Backlog"/>
    <n v="0.94074204325654998"/>
    <n v="6.5851943027958502"/>
    <x v="556"/>
    <b v="1"/>
    <x v="13"/>
  </r>
  <r>
    <d v="2025-04-20T00:00:00"/>
    <n v="133"/>
    <n v="287"/>
    <n v="189"/>
    <n v="11095"/>
    <n v="260"/>
    <n v="11382"/>
    <n v="10835"/>
    <n v="-2.3627134287032763E-2"/>
    <s v="No Backlog"/>
    <n v="0.95194166227376564"/>
    <n v="6.6635916359163598"/>
    <x v="557"/>
    <b v="1"/>
    <x v="14"/>
  </r>
  <r>
    <d v="2025-04-21T00:00:00"/>
    <n v="180"/>
    <n v="337"/>
    <n v="219"/>
    <n v="10892"/>
    <n v="313"/>
    <n v="11229"/>
    <n v="10579"/>
    <n v="-1.9567066830513281E-2"/>
    <s v="No Backlog"/>
    <n v="0.94211416867040698"/>
    <n v="6.5947991806928492"/>
    <x v="558"/>
    <b v="1"/>
    <x v="14"/>
  </r>
  <r>
    <d v="2025-04-22T00:00:00"/>
    <n v="153"/>
    <n v="253"/>
    <n v="286"/>
    <n v="10799"/>
    <n v="427"/>
    <n v="11052"/>
    <n v="10372"/>
    <n v="4.9170844581565756E-3"/>
    <s v="Backlog"/>
    <n v="0.93847267462902639"/>
    <n v="6.5693087224031848"/>
    <x v="559"/>
    <b v="0"/>
    <x v="14"/>
  </r>
  <r>
    <d v="2025-04-23T00:00:00"/>
    <n v="209"/>
    <n v="353"/>
    <n v="232"/>
    <n v="10837"/>
    <n v="414"/>
    <n v="11190"/>
    <n v="10423"/>
    <n v="-8.4428667370238901E-3"/>
    <s v="No Backlog"/>
    <n v="0.93145665773011621"/>
    <n v="6.5201966041108133"/>
    <x v="560"/>
    <b v="1"/>
    <x v="14"/>
  </r>
  <r>
    <d v="2025-04-24T00:00:00"/>
    <n v="167"/>
    <n v="326"/>
    <n v="213"/>
    <n v="10678"/>
    <n v="343"/>
    <n v="11004"/>
    <n v="10335"/>
    <n v="-1.9351717464925012E-4"/>
    <s v="No Backlog"/>
    <n v="0.93920392584514723"/>
    <n v="6.5744274809160306"/>
    <x v="561"/>
    <b v="1"/>
    <x v="14"/>
  </r>
  <r>
    <d v="2025-04-27T00:00:00"/>
    <n v="224"/>
    <n v="315"/>
    <n v="152"/>
    <n v="10649"/>
    <n v="316"/>
    <n v="10964"/>
    <n v="10333"/>
    <n v="-1.1419723216877963E-2"/>
    <s v="No Backlog"/>
    <n v="0.94244801167457137"/>
    <n v="6.5971360817219997"/>
    <x v="562"/>
    <b v="1"/>
    <x v="15"/>
  </r>
  <r>
    <d v="2025-04-28T00:00:00"/>
    <n v="132"/>
    <n v="243"/>
    <n v="183"/>
    <n v="10492"/>
    <n v="277"/>
    <n v="10735"/>
    <n v="10215"/>
    <n v="-3.0837004405286344E-2"/>
    <s v="No Backlog"/>
    <n v="0.95156031672100605"/>
    <n v="6.6609222170470428"/>
    <x v="563"/>
    <b v="1"/>
    <x v="15"/>
  </r>
  <r>
    <d v="2025-04-29T00:00:00"/>
    <n v="218"/>
    <n v="283"/>
    <n v="208"/>
    <n v="10282"/>
    <n v="382"/>
    <n v="10565"/>
    <n v="9900"/>
    <n v="1.2222222222222223E-2"/>
    <s v="Backlog"/>
    <n v="0.93705631803123524"/>
    <n v="6.5593942262186467"/>
    <x v="564"/>
    <b v="1"/>
    <x v="15"/>
  </r>
  <r>
    <d v="2025-04-30T00:00:00"/>
    <n v="118"/>
    <n v="245"/>
    <n v="160"/>
    <n v="10419"/>
    <n v="398"/>
    <n v="10664"/>
    <n v="10021"/>
    <n v="4.3907793633369925E-3"/>
    <s v="Backlog"/>
    <n v="0.93970367591897974"/>
    <n v="6.5779257314328579"/>
    <x v="565"/>
    <b v="1"/>
    <x v="15"/>
  </r>
  <r>
    <d v="2025-05-01T00:00:00"/>
    <n v="81"/>
    <n v="230"/>
    <n v="242"/>
    <n v="10356"/>
    <n v="291"/>
    <n v="10586"/>
    <n v="10065"/>
    <n v="-1.6492796820665675E-2"/>
    <s v="No Backlog"/>
    <n v="0.95078405441148683"/>
    <n v="6.6554883808804082"/>
    <x v="566"/>
    <b v="0"/>
    <x v="15"/>
  </r>
  <r>
    <d v="2025-05-04T00:00:00"/>
    <n v="236"/>
    <n v="330"/>
    <n v="222"/>
    <n v="10142"/>
    <n v="243"/>
    <n v="10472"/>
    <n v="9899"/>
    <n v="-2.0608142236589553E-2"/>
    <s v="No Backlog"/>
    <n v="0.94528265851795268"/>
    <n v="6.6169786096256686"/>
    <x v="567"/>
    <b v="1"/>
    <x v="16"/>
  </r>
  <r>
    <d v="2025-05-05T00:00:00"/>
    <n v="196"/>
    <n v="306"/>
    <n v="187"/>
    <n v="9988"/>
    <n v="293"/>
    <n v="10294"/>
    <n v="9695"/>
    <n v="-6.1887570912841673E-3"/>
    <s v="No Backlog"/>
    <n v="0.94181076355158344"/>
    <n v="6.5926753448610844"/>
    <x v="568"/>
    <b v="1"/>
    <x v="16"/>
  </r>
  <r>
    <d v="2025-05-06T00:00:00"/>
    <n v="113"/>
    <n v="280"/>
    <n v="237"/>
    <n v="10140"/>
    <n v="505"/>
    <n v="10420"/>
    <n v="9635"/>
    <n v="2.8956927867151011E-2"/>
    <s v="Backlog"/>
    <n v="0.92466410748560457"/>
    <n v="6.4726487523992322"/>
    <x v="569"/>
    <b v="1"/>
    <x v="16"/>
  </r>
  <r>
    <d v="2025-05-07T00:00:00"/>
    <n v="239"/>
    <n v="367"/>
    <n v="224"/>
    <n v="10280"/>
    <n v="366"/>
    <n v="10647"/>
    <n v="9914"/>
    <n v="-2.0173492031470646E-3"/>
    <s v="No Backlog"/>
    <n v="0.93115431576970042"/>
    <n v="6.518080210387903"/>
    <x v="570"/>
    <b v="1"/>
    <x v="16"/>
  </r>
  <r>
    <d v="2025-05-08T00:00:00"/>
    <n v="152"/>
    <n v="272"/>
    <n v="214"/>
    <n v="10180"/>
    <n v="286"/>
    <n v="10452"/>
    <n v="9894"/>
    <n v="-2.7289266221952699E-2"/>
    <s v="No Backlog"/>
    <n v="0.94661308840413316"/>
    <n v="6.6262916188289323"/>
    <x v="571"/>
    <b v="1"/>
    <x v="16"/>
  </r>
  <r>
    <d v="2025-05-11T00:00:00"/>
    <n v="170"/>
    <n v="297"/>
    <n v="196"/>
    <n v="10012"/>
    <n v="388"/>
    <n v="10309"/>
    <n v="9624"/>
    <n v="-2.4833748960931004E-2"/>
    <s v="No Backlog"/>
    <n v="0.93355320593656033"/>
    <n v="6.5348724415559225"/>
    <x v="572"/>
    <b v="1"/>
    <x v="17"/>
  </r>
  <r>
    <d v="2025-05-12T00:00:00"/>
    <n v="191"/>
    <n v="283"/>
    <n v="192"/>
    <n v="9873"/>
    <n v="488"/>
    <n v="10156"/>
    <n v="9385"/>
    <n v="2.1097496004262119E-2"/>
    <s v="Backlog"/>
    <n v="0.92408428515163454"/>
    <n v="6.4685899960614419"/>
    <x v="573"/>
    <b v="1"/>
    <x v="17"/>
  </r>
  <r>
    <d v="2025-05-13T00:00:00"/>
    <n v="109"/>
    <n v="214"/>
    <n v="173"/>
    <n v="10026"/>
    <n v="443"/>
    <n v="10240"/>
    <n v="9583"/>
    <n v="2.1183345507669833E-2"/>
    <s v="Backlog"/>
    <n v="0.93583984374999996"/>
    <n v="6.5508789062499995"/>
    <x v="574"/>
    <b v="1"/>
    <x v="17"/>
  </r>
  <r>
    <d v="2025-05-14T00:00:00"/>
    <n v="155"/>
    <n v="212"/>
    <n v="181"/>
    <n v="10071"/>
    <n v="285"/>
    <n v="10283"/>
    <n v="9786"/>
    <n v="-9.7077457592479044E-3"/>
    <s v="No Backlog"/>
    <n v="0.95166780122532335"/>
    <n v="6.6616746085772638"/>
    <x v="575"/>
    <b v="1"/>
    <x v="17"/>
  </r>
  <r>
    <d v="2025-05-15T00:00:00"/>
    <n v="119"/>
    <n v="209"/>
    <n v="152"/>
    <n v="9921"/>
    <n v="230"/>
    <n v="10130"/>
    <n v="9691"/>
    <n v="-3.1369311732535342E-2"/>
    <s v="No Backlog"/>
    <n v="0.95666337611056274"/>
    <n v="6.6966436327739389"/>
    <x v="576"/>
    <b v="1"/>
    <x v="17"/>
  </r>
  <r>
    <d v="2025-05-18T00:00:00"/>
    <n v="143"/>
    <n v="203"/>
    <n v="163"/>
    <n v="9668"/>
    <n v="281"/>
    <n v="9871"/>
    <n v="9387"/>
    <n v="-3.1319910514541388E-2"/>
    <s v="No Backlog"/>
    <n v="0.95096748049842972"/>
    <n v="6.6567723634890079"/>
    <x v="577"/>
    <b v="1"/>
    <x v="18"/>
  </r>
  <r>
    <d v="2025-05-19T00:00:00"/>
    <n v="105"/>
    <n v="210"/>
    <n v="149"/>
    <n v="9483"/>
    <n v="390"/>
    <n v="9693"/>
    <n v="9093"/>
    <n v="2.1335092928626415E-2"/>
    <s v="Backlog"/>
    <n v="0.93809965954812746"/>
    <n v="6.5666976168368922"/>
    <x v="578"/>
    <b v="1"/>
    <x v="18"/>
  </r>
  <r>
    <d v="2025-05-21T00:00:00"/>
    <n v="119"/>
    <n v="219"/>
    <n v="210"/>
    <n v="9694"/>
    <n v="407"/>
    <n v="9913"/>
    <n v="9287"/>
    <n v="6.3529665123290618E-3"/>
    <s v="Backlog"/>
    <n v="0.93685060022193078"/>
    <n v="6.5579542015535157"/>
    <x v="579"/>
    <b v="1"/>
    <x v="18"/>
  </r>
  <r>
    <d v="2025-05-22T00:00:00"/>
    <n v="148"/>
    <n v="245"/>
    <n v="175"/>
    <n v="9634"/>
    <n v="288"/>
    <n v="9879"/>
    <n v="9346"/>
    <n v="-8.3993152150652686E-2"/>
    <s v="No Backlog"/>
    <n v="0.94604717076627187"/>
    <n v="6.6223301953639027"/>
    <x v="580"/>
    <b v="1"/>
    <x v="18"/>
  </r>
  <r>
    <d v="2025-05-27T00:00:00"/>
    <n v="142"/>
    <n v="235"/>
    <n v="139"/>
    <n v="8914"/>
    <n v="353"/>
    <n v="9149"/>
    <n v="8561"/>
    <n v="8.8774675855624336E-3"/>
    <s v="Backlog"/>
    <n v="0.93573068094873757"/>
    <n v="6.5501147666411628"/>
    <x v="581"/>
    <b v="1"/>
    <x v="19"/>
  </r>
  <r>
    <d v="2025-05-28T00:00:00"/>
    <n v="118"/>
    <n v="139"/>
    <n v="168"/>
    <n v="8888"/>
    <n v="251"/>
    <n v="9027"/>
    <n v="8637"/>
    <n v="-1.3777932152367721E-2"/>
    <s v="No Backlog"/>
    <n v="0.95679627783316712"/>
    <n v="6.6975739448321701"/>
    <x v="582"/>
    <b v="0"/>
    <x v="19"/>
  </r>
  <r>
    <d v="2025-05-29T00:00:00"/>
    <n v="125"/>
    <n v="232"/>
    <n v="192"/>
    <n v="8725"/>
    <n v="207"/>
    <n v="8957"/>
    <n v="8518"/>
    <n v="-2.66494482272834E-2"/>
    <s v="No Backlog"/>
    <n v="0.95098805403594955"/>
    <n v="6.6569163782516467"/>
    <x v="583"/>
    <b v="1"/>
    <x v="19"/>
  </r>
  <r>
    <d v="2025-06-01T00:00:00"/>
    <n v="156"/>
    <n v="256"/>
    <n v="176"/>
    <n v="8493"/>
    <n v="202"/>
    <n v="8749"/>
    <n v="8291"/>
    <n v="-3.7993004462670364E-2"/>
    <s v="No Backlog"/>
    <n v="0.94765116013258655"/>
    <n v="6.6335581209281056"/>
    <x v="584"/>
    <b v="1"/>
    <x v="20"/>
  </r>
  <r>
    <d v="2025-06-02T00:00:00"/>
    <n v="109"/>
    <n v="245"/>
    <n v="159"/>
    <n v="8298"/>
    <n v="322"/>
    <n v="8543"/>
    <n v="7976"/>
    <n v="-2.632898696088265E-3"/>
    <s v="No Backlog"/>
    <n v="0.93362987241016038"/>
    <n v="6.5354091068711231"/>
    <x v="585"/>
    <b v="1"/>
    <x v="20"/>
  </r>
  <r>
    <d v="2025-06-03T00:00:00"/>
    <n v="167"/>
    <n v="209"/>
    <n v="157"/>
    <n v="8294"/>
    <n v="339"/>
    <n v="8503"/>
    <n v="7955"/>
    <n v="4.3997485857950975E-3"/>
    <s v="Backlog"/>
    <n v="0.93555215806186054"/>
    <n v="6.5488651064330234"/>
    <x v="586"/>
    <b v="1"/>
    <x v="20"/>
  </r>
  <r>
    <d v="2025-06-04T00:00:00"/>
    <n v="84"/>
    <n v="171"/>
    <n v="157"/>
    <n v="8261"/>
    <n v="271"/>
    <n v="8432"/>
    <n v="7990"/>
    <n v="-6.8836045056320403E-3"/>
    <s v="No Backlog"/>
    <n v="0.94758064516129037"/>
    <n v="6.6330645161290329"/>
    <x v="587"/>
    <b v="1"/>
    <x v="20"/>
  </r>
  <r>
    <d v="2025-06-05T00:00:00"/>
    <n v="87"/>
    <n v="246"/>
    <n v="173"/>
    <n v="8103"/>
    <n v="168"/>
    <n v="8349"/>
    <n v="7935"/>
    <n v="-4.4738500315059861E-2"/>
    <s v="No Backlog"/>
    <n v="0.95041322314049592"/>
    <n v="6.6528925619834718"/>
    <x v="588"/>
    <b v="1"/>
    <x v="20"/>
  </r>
  <r>
    <d v="2025-06-08T00:00:00"/>
    <n v="136"/>
    <n v="276"/>
    <n v="178"/>
    <n v="7800"/>
    <n v="220"/>
    <n v="8076"/>
    <n v="7580"/>
    <n v="-2.8232189973614777E-2"/>
    <s v="No Backlog"/>
    <n v="0.93858345715700842"/>
    <n v="6.5700842000990587"/>
    <x v="589"/>
    <b v="1"/>
    <x v="21"/>
  </r>
  <r>
    <d v="2025-06-09T00:00:00"/>
    <n v="166"/>
    <n v="277"/>
    <n v="229"/>
    <n v="7671"/>
    <n v="305"/>
    <n v="7948"/>
    <n v="7366"/>
    <n v="1.7512897094759707E-2"/>
    <s v="Backlog"/>
    <n v="0.92677403120281832"/>
    <n v="6.4874182184197284"/>
    <x v="590"/>
    <b v="1"/>
    <x v="21"/>
  </r>
  <r>
    <d v="2025-06-10T00:00:00"/>
    <n v="110"/>
    <n v="272"/>
    <n v="193"/>
    <n v="7754"/>
    <n v="259"/>
    <n v="8026"/>
    <n v="7495"/>
    <n v="-8.4056037358238821E-3"/>
    <s v="No Backlog"/>
    <n v="0.9338400199352106"/>
    <n v="6.536880139546474"/>
    <x v="591"/>
    <b v="1"/>
    <x v="21"/>
  </r>
  <r>
    <d v="2025-06-17T00:00:00"/>
    <n v="202"/>
    <n v="313"/>
    <n v="158"/>
    <n v="7647"/>
    <n v="215"/>
    <n v="7960"/>
    <n v="7432"/>
    <n v="-7.8040904198062432E-3"/>
    <s v="No Backlog"/>
    <n v="0.93366834170854274"/>
    <n v="6.5356783919597987"/>
    <x v="592"/>
    <b v="1"/>
    <x v="22"/>
  </r>
  <r>
    <d v="2025-06-19T00:00:00"/>
    <n v="134"/>
    <n v="294"/>
    <n v="186"/>
    <n v="7510"/>
    <n v="136"/>
    <n v="7804"/>
    <n v="7374"/>
    <n v="-4.62435584486032E-2"/>
    <s v="No Backlog"/>
    <n v="0.94490005125576626"/>
    <n v="6.6143003587903637"/>
    <x v="593"/>
    <b v="1"/>
    <x v="22"/>
  </r>
  <r>
    <d v="2025-06-22T00:00:00"/>
    <n v="180"/>
    <n v="280"/>
    <n v="146"/>
    <n v="7220"/>
    <n v="187"/>
    <n v="7500"/>
    <n v="7033"/>
    <n v="-3.6542016209299019E-2"/>
    <s v="No Backlog"/>
    <n v="0.93773333333333331"/>
    <n v="6.5641333333333334"/>
    <x v="594"/>
    <b v="1"/>
    <x v="23"/>
  </r>
  <r>
    <d v="2025-06-23T00:00:00"/>
    <n v="108"/>
    <n v="220"/>
    <n v="213"/>
    <n v="7052"/>
    <n v="276"/>
    <n v="7272"/>
    <n v="6776"/>
    <n v="8.7072018890200706E-3"/>
    <s v="Backlog"/>
    <n v="0.93179317931793182"/>
    <n v="6.5225522552255226"/>
    <x v="595"/>
    <b v="1"/>
    <x v="23"/>
  </r>
  <r>
    <d v="2025-06-24T00:00:00"/>
    <n v="147"/>
    <n v="276"/>
    <n v="214"/>
    <n v="7116"/>
    <n v="281"/>
    <n v="7392"/>
    <n v="6835"/>
    <n v="-8.778346744696415E-3"/>
    <s v="No Backlog"/>
    <n v="0.92464826839826841"/>
    <n v="6.4725378787878789"/>
    <x v="596"/>
    <b v="1"/>
    <x v="23"/>
  </r>
  <r>
    <d v="2025-06-25T00:00:00"/>
    <n v="104"/>
    <n v="230"/>
    <n v="206"/>
    <n v="7001"/>
    <n v="226"/>
    <n v="7231"/>
    <n v="6775"/>
    <n v="-1.2103321033210332E-2"/>
    <s v="No Backlog"/>
    <n v="0.93693818282395247"/>
    <n v="6.5585672797676668"/>
    <x v="597"/>
    <b v="1"/>
    <x v="23"/>
  </r>
  <r>
    <d v="2025-06-26T00:00:00"/>
    <n v="174"/>
    <n v="285"/>
    <n v="150"/>
    <n v="6874"/>
    <n v="181"/>
    <n v="7159"/>
    <n v="6693"/>
    <n v="-3.3019572687882866E-2"/>
    <s v="No Backlog"/>
    <n v="0.93490710993155468"/>
    <n v="6.544349769520883"/>
    <x v="598"/>
    <b v="1"/>
    <x v="23"/>
  </r>
  <r>
    <d v="2025-06-29T00:00:00"/>
    <n v="113"/>
    <n v="208"/>
    <n v="159"/>
    <n v="6632"/>
    <n v="160"/>
    <n v="6840"/>
    <n v="6472"/>
    <n v="-3.4301606922126082E-2"/>
    <s v="No Backlog"/>
    <n v="0.94619883040935671"/>
    <n v="6.6233918128654974"/>
    <x v="599"/>
    <b v="1"/>
    <x v="24"/>
  </r>
  <r>
    <d v="2025-06-30T00:00:00"/>
    <n v="88"/>
    <n v="214"/>
    <n v="160"/>
    <n v="6468"/>
    <n v="218"/>
    <n v="6682"/>
    <n v="6250"/>
    <n v="2.0480000000000002E-2"/>
    <s v="Backlog"/>
    <n v="0.9353486979946124"/>
    <n v="6.5474408859622866"/>
    <x v="600"/>
    <b v="1"/>
    <x v="24"/>
  </r>
  <r>
    <d v="2025-07-01T00:00:00"/>
    <n v="130"/>
    <n v="227"/>
    <n v="192"/>
    <n v="6604"/>
    <n v="226"/>
    <n v="6831"/>
    <n v="6378"/>
    <n v="-1.050486045782377E-2"/>
    <s v="No Backlog"/>
    <n v="0.93368467281510759"/>
    <n v="6.5357927097057527"/>
    <x v="601"/>
    <b v="1"/>
    <x v="24"/>
  </r>
  <r>
    <d v="2025-07-02T00:00:00"/>
    <n v="84"/>
    <n v="158"/>
    <n v="193"/>
    <n v="6521"/>
    <n v="210"/>
    <n v="6679"/>
    <n v="6311"/>
    <n v="6.9719537315797815E-3"/>
    <s v="Backlog"/>
    <n v="0.9449019314268603"/>
    <n v="6.6143135199880216"/>
    <x v="602"/>
    <b v="0"/>
    <x v="24"/>
  </r>
  <r>
    <d v="2025-07-06T00:00:00"/>
    <n v="115"/>
    <n v="216"/>
    <n v="169"/>
    <n v="6498"/>
    <n v="143"/>
    <n v="6714"/>
    <n v="6355"/>
    <n v="-2.7065302911093627E-2"/>
    <s v="No Backlog"/>
    <n v="0.94652963955913016"/>
    <n v="6.6257074769139113"/>
    <x v="603"/>
    <b v="1"/>
    <x v="25"/>
  </r>
  <r>
    <d v="2025-07-07T00:00:00"/>
    <n v="167"/>
    <n v="239"/>
    <n v="166"/>
    <n v="6346"/>
    <n v="163"/>
    <n v="6585"/>
    <n v="6183"/>
    <n v="-2.6686074721009218E-2"/>
    <s v="No Backlog"/>
    <n v="0.93895216400911163"/>
    <n v="6.5726651480637814"/>
    <x v="604"/>
    <b v="1"/>
    <x v="25"/>
  </r>
  <r>
    <d v="2025-07-08T00:00:00"/>
    <n v="99"/>
    <n v="190"/>
    <n v="176"/>
    <n v="6214"/>
    <n v="196"/>
    <n v="6404"/>
    <n v="6018"/>
    <n v="2.6586905948820204E-3"/>
    <s v="Backlog"/>
    <n v="0.93972517176764525"/>
    <n v="6.5780762023735164"/>
    <x v="605"/>
    <b v="1"/>
    <x v="25"/>
  </r>
  <r>
    <d v="2025-07-09T00:00:00"/>
    <n v="101"/>
    <n v="162"/>
    <n v="178"/>
    <n v="6239"/>
    <n v="205"/>
    <n v="6401"/>
    <n v="6034"/>
    <n v="-1.325820351342393E-3"/>
    <s v="No Backlog"/>
    <n v="0.94266520856116232"/>
    <n v="6.5986564599281365"/>
    <x v="606"/>
    <b v="0"/>
    <x v="25"/>
  </r>
  <r>
    <d v="2025-07-10T00:00:00"/>
    <n v="107"/>
    <n v="215"/>
    <n v="230"/>
    <n v="6193"/>
    <n v="167"/>
    <n v="6408"/>
    <n v="6026"/>
    <n v="-3.8167938931297708E-3"/>
    <s v="No Backlog"/>
    <n v="0.94038701622971288"/>
    <n v="6.58270911360799"/>
    <x v="607"/>
    <b v="0"/>
    <x v="25"/>
  </r>
  <r>
    <d v="2025-07-13T00:00:00"/>
    <n v="184"/>
    <n v="314"/>
    <n v="217"/>
    <n v="6127"/>
    <n v="124"/>
    <n v="6441"/>
    <n v="6003"/>
    <n v="-6.8132600366483428E-2"/>
    <s v="No Backlog"/>
    <n v="0.93199813693525846"/>
    <n v="6.5239869585468089"/>
    <x v="608"/>
    <b v="1"/>
    <x v="26"/>
  </r>
  <r>
    <d v="2025-07-14T00:00:00"/>
    <n v="209"/>
    <n v="285"/>
    <n v="184"/>
    <n v="5903"/>
    <n v="309"/>
    <n v="6188"/>
    <n v="5594"/>
    <n v="4.4869503038970325E-2"/>
    <s v="Backlog"/>
    <n v="0.90400775694893343"/>
    <n v="6.3280542986425337"/>
    <x v="609"/>
    <b v="1"/>
    <x v="26"/>
  </r>
  <r>
    <d v="2025-07-15T00:00:00"/>
    <n v="81"/>
    <n v="213"/>
    <n v="153"/>
    <n v="6058"/>
    <n v="213"/>
    <n v="6271"/>
    <n v="5845"/>
    <n v="-3.4217279726261761E-3"/>
    <s v="No Backlog"/>
    <n v="0.93206825067772281"/>
    <n v="6.5244777547440593"/>
    <x v="610"/>
    <b v="1"/>
    <x v="26"/>
  </r>
  <r>
    <d v="2025-07-16T00:00:00"/>
    <n v="91"/>
    <n v="199"/>
    <n v="172"/>
    <n v="5999"/>
    <n v="174"/>
    <n v="6198"/>
    <n v="5825"/>
    <n v="-1.0815450643776824E-2"/>
    <s v="No Backlog"/>
    <n v="0.93981929654727336"/>
    <n v="6.5787350758309131"/>
    <x v="611"/>
    <b v="1"/>
    <x v="26"/>
  </r>
  <r>
    <d v="2025-07-17T00:00:00"/>
    <n v="154"/>
    <n v="225"/>
    <n v="220"/>
    <n v="5917"/>
    <n v="155"/>
    <n v="6142"/>
    <n v="5762"/>
    <n v="-2.0305449496702533E-2"/>
    <s v="No Backlog"/>
    <n v="0.93813090198632365"/>
    <n v="6.5669163139042652"/>
    <x v="612"/>
    <b v="1"/>
    <x v="26"/>
  </r>
  <r>
    <d v="2025-07-21T00:00:00"/>
    <n v="186"/>
    <n v="259"/>
    <n v="172"/>
    <n v="5819"/>
    <n v="174"/>
    <n v="6078"/>
    <n v="5645"/>
    <n v="-2.5155004428697964E-2"/>
    <s v="No Backlog"/>
    <n v="0.92875946034879897"/>
    <n v="6.5013162224415932"/>
    <x v="613"/>
    <b v="1"/>
    <x v="27"/>
  </r>
  <r>
    <d v="2025-07-22T00:00:00"/>
    <n v="92"/>
    <n v="203"/>
    <n v="173"/>
    <n v="5766"/>
    <n v="263"/>
    <n v="5969"/>
    <n v="5503"/>
    <n v="4.4702889333091043E-2"/>
    <s v="Backlog"/>
    <n v="0.9219299715195175"/>
    <n v="6.4535098006366223"/>
    <x v="614"/>
    <b v="1"/>
    <x v="27"/>
  </r>
  <r>
    <d v="2025-07-23T00:00:00"/>
    <n v="124"/>
    <n v="234"/>
    <n v="161"/>
    <n v="5956"/>
    <n v="207"/>
    <n v="6190"/>
    <n v="5749"/>
    <n v="4.1746390676639412E-3"/>
    <s v="Backlog"/>
    <n v="0.92875605815831985"/>
    <n v="6.501292407108239"/>
    <x v="615"/>
    <b v="1"/>
    <x v="27"/>
  </r>
  <r>
    <d v="2025-07-24T00:00:00"/>
    <n v="93"/>
    <n v="196"/>
    <n v="169"/>
    <n v="5922"/>
    <n v="149"/>
    <n v="6118"/>
    <n v="5773"/>
    <n v="-5.1966048848085919E-4"/>
    <s v="No Backlog"/>
    <n v="0.94360902255639101"/>
    <n v="6.6052631578947372"/>
    <x v="616"/>
    <b v="1"/>
    <x v="27"/>
  </r>
  <r>
    <d v="2025-07-27T00:00:00"/>
    <n v="33"/>
    <n v="53"/>
    <n v="34"/>
    <n v="5904"/>
    <n v="134"/>
    <n v="5957"/>
    <n v="5770"/>
    <n v="-4.0381282495667248E-2"/>
    <s v="No Backlog"/>
    <n v="0.96860835991270777"/>
    <n v="6.7802585193889549"/>
    <x v="617"/>
    <b v="1"/>
    <x v="28"/>
  </r>
  <r>
    <d v="2025-07-28T00:00:00"/>
    <n v="29"/>
    <n v="51"/>
    <n v="11"/>
    <n v="5679"/>
    <n v="142"/>
    <n v="5730"/>
    <n v="5537"/>
    <n v="4.1358136174823909E-2"/>
    <s v="Backlog"/>
    <n v="0.96631762652705067"/>
    <n v="6.7642233856893546"/>
    <x v="618"/>
    <b v="1"/>
    <x v="28"/>
  </r>
  <r>
    <d v="2025-07-29T00:00:00"/>
    <n v="91"/>
    <n v="75"/>
    <n v="97"/>
    <n v="6038"/>
    <n v="272"/>
    <n v="6113"/>
    <n v="5766"/>
    <n v="2.2892819979188347E-2"/>
    <s v="Backlog"/>
    <n v="0.94323572713888437"/>
    <n v="6.6026500899721903"/>
    <x v="619"/>
    <b v="0"/>
    <x v="28"/>
  </r>
  <r>
    <d v="2025-07-30T00:00:00"/>
    <n v="62"/>
    <n v="97"/>
    <n v="52"/>
    <n v="6065"/>
    <n v="167"/>
    <n v="6162"/>
    <n v="5898"/>
    <n v="2.8823329942353339E-3"/>
    <s v="Backlog"/>
    <n v="0.95715676728334953"/>
    <n v="6.700097370983447"/>
    <x v="620"/>
    <b v="1"/>
    <x v="28"/>
  </r>
  <r>
    <d v="2025-07-31T00:00:00"/>
    <n v="59"/>
    <n v="64"/>
    <n v="117"/>
    <n v="6061"/>
    <n v="146"/>
    <n v="6125"/>
    <n v="5915"/>
    <n v="-1.2003381234150465E-2"/>
    <s v="No Backlog"/>
    <n v="0.96571428571428575"/>
    <n v="6.76"/>
    <x v="621"/>
    <b v="0"/>
    <x v="28"/>
  </r>
  <r>
    <d v="2025-08-03T00:00:00"/>
    <n v="84"/>
    <n v="118"/>
    <n v="136"/>
    <n v="6021"/>
    <n v="177"/>
    <n v="6139"/>
    <n v="5844"/>
    <n v="-1.2833675564681724E-2"/>
    <s v="No Backlog"/>
    <n v="0.95194657110278547"/>
    <n v="6.6636259977194978"/>
    <x v="622"/>
    <b v="0"/>
    <x v="29"/>
  </r>
  <r>
    <d v="2025-08-04T00:00:00"/>
    <n v="86"/>
    <n v="152"/>
    <n v="168"/>
    <n v="6007"/>
    <n v="238"/>
    <n v="6159"/>
    <n v="5769"/>
    <n v="7.3149592650372686E-2"/>
    <s v="Backlog"/>
    <n v="0.93667803214807599"/>
    <n v="6.556746225036532"/>
    <x v="623"/>
    <b v="0"/>
    <x v="29"/>
  </r>
  <r>
    <d v="2025-08-05T00:00:00"/>
    <n v="106"/>
    <n v="196"/>
    <n v="131"/>
    <n v="6446"/>
    <n v="255"/>
    <n v="6642"/>
    <n v="6191"/>
    <n v="1.3568082700694557E-2"/>
    <s v="Backlog"/>
    <n v="0.9320987654320988"/>
    <n v="6.5246913580246915"/>
    <x v="624"/>
    <b v="1"/>
    <x v="29"/>
  </r>
  <r>
    <d v="2025-08-06T00:00:00"/>
    <n v="113"/>
    <n v="162"/>
    <n v="107"/>
    <n v="6483"/>
    <n v="208"/>
    <n v="6645"/>
    <n v="6275"/>
    <n v="7.3306772908366532E-3"/>
    <s v="Backlog"/>
    <n v="0.94431903686982699"/>
    <n v="6.6102332580887886"/>
    <x v="625"/>
    <b v="1"/>
    <x v="29"/>
  </r>
  <r>
    <d v="2025-08-07T00:00:00"/>
    <n v="92"/>
    <n v="124"/>
    <n v="93"/>
    <n v="6508"/>
    <n v="187"/>
    <n v="6632"/>
    <n v="6321"/>
    <n v="2.0566366081316246E-3"/>
    <s v="Backlog"/>
    <n v="0.95310615199034987"/>
    <n v="6.6717430639324489"/>
    <x v="626"/>
    <b v="1"/>
    <x v="29"/>
  </r>
  <r>
    <d v="2025-08-10T00:00:00"/>
    <n v="68"/>
    <n v="107"/>
    <n v="102"/>
    <n v="6523"/>
    <n v="189"/>
    <n v="6630"/>
    <n v="6334"/>
    <n v="-1.1209346384591095E-2"/>
    <s v="No Backlog"/>
    <n v="0.95535444947209658"/>
    <n v="6.6874811463046759"/>
    <x v="627"/>
    <b v="1"/>
    <x v="30"/>
  </r>
  <r>
    <d v="2025-08-11T00:00:00"/>
    <n v="74"/>
    <n v="103"/>
    <n v="80"/>
    <n v="6555"/>
    <n v="292"/>
    <n v="6658"/>
    <n v="6263"/>
    <n v="7.2169886635797542E-2"/>
    <s v="Backlog"/>
    <n v="0.94067287473715833"/>
    <n v="6.5847101231601082"/>
    <x v="628"/>
    <b v="1"/>
    <x v="30"/>
  </r>
  <r>
    <d v="2025-08-12T00:00:00"/>
    <n v="56"/>
    <n v="82"/>
    <n v="68"/>
    <n v="7002"/>
    <n v="287"/>
    <n v="7084"/>
    <n v="6715"/>
    <n v="1.9061801935964261E-2"/>
    <s v="Backlog"/>
    <n v="0.94791078486730662"/>
    <n v="6.6353754940711465"/>
    <x v="629"/>
    <b v="1"/>
    <x v="30"/>
  </r>
  <r>
    <d v="2025-08-13T00:00:00"/>
    <n v="38"/>
    <n v="80"/>
    <n v="82"/>
    <n v="7053"/>
    <n v="210"/>
    <n v="7133"/>
    <n v="6843"/>
    <n v="5.1147157679380393E-3"/>
    <s v="Backlog"/>
    <n v="0.95934389457451286"/>
    <n v="6.7154072620215901"/>
    <x v="630"/>
    <b v="0"/>
    <x v="30"/>
  </r>
  <r>
    <d v="2025-08-14T00:00:00"/>
    <n v="65"/>
    <n v="83"/>
    <n v="65"/>
    <n v="7046"/>
    <n v="168"/>
    <n v="7129"/>
    <n v="6878"/>
    <n v="-1.2939808083745275E-2"/>
    <s v="No Backlog"/>
    <n v="0.96479169589002667"/>
    <n v="6.7535418712301869"/>
    <x v="631"/>
    <b v="1"/>
    <x v="30"/>
  </r>
  <r>
    <d v="2025-08-17T00:00:00"/>
    <n v="41"/>
    <n v="60"/>
    <n v="71"/>
    <n v="6996"/>
    <n v="207"/>
    <n v="7056"/>
    <n v="6789"/>
    <n v="5.1406687288260422E-2"/>
    <s v="Backlog"/>
    <n v="0.96215986394557829"/>
    <n v="6.7351190476190483"/>
    <x v="632"/>
    <b v="0"/>
    <x v="31"/>
  </r>
  <r>
    <d v="2025-08-18T00:00:00"/>
    <n v="43"/>
    <n v="73"/>
    <n v="64"/>
    <n v="7546"/>
    <n v="408"/>
    <n v="7619"/>
    <n v="7138"/>
    <n v="4.132810311011488E-2"/>
    <s v="Backlog"/>
    <n v="0.93686835542722147"/>
    <n v="6.5580784879905503"/>
    <x v="633"/>
    <b v="1"/>
    <x v="31"/>
  </r>
  <r>
    <d v="2025-08-19T00:00:00"/>
    <n v="35"/>
    <n v="70"/>
    <n v="53"/>
    <n v="7709"/>
    <n v="276"/>
    <n v="7779"/>
    <n v="7433"/>
    <n v="1.4664334723530204E-2"/>
    <s v="Backlog"/>
    <n v="0.95552127522817842"/>
    <n v="6.6886489265972493"/>
    <x v="634"/>
    <b v="1"/>
    <x v="31"/>
  </r>
  <r>
    <d v="2025-08-20T00:00:00"/>
    <n v="25"/>
    <n v="66"/>
    <n v="94"/>
    <n v="7788"/>
    <n v="246"/>
    <n v="7854"/>
    <n v="7542"/>
    <n v="8.7509944311853615E-3"/>
    <s v="Backlog"/>
    <n v="0.96027501909854851"/>
    <n v="6.7219251336898393"/>
    <x v="635"/>
    <b v="0"/>
    <x v="31"/>
  </r>
  <r>
    <d v="2025-08-21T00:00:00"/>
    <n v="99"/>
    <n v="156"/>
    <n v="139"/>
    <n v="7848"/>
    <n v="240"/>
    <n v="8004"/>
    <n v="7608"/>
    <n v="-1.6430073606729757E-2"/>
    <s v="No Backlog"/>
    <n v="0.95052473763118439"/>
    <n v="6.6536731634182908"/>
    <x v="636"/>
    <b v="1"/>
    <x v="31"/>
  </r>
  <r>
    <d v="2025-08-24T00:00:00"/>
    <n v="107"/>
    <n v="170"/>
    <n v="133"/>
    <n v="7826"/>
    <n v="343"/>
    <n v="7996"/>
    <n v="7483"/>
    <n v="8.552719497527729E-2"/>
    <s v="Backlog"/>
    <n v="0.93584292146073034"/>
    <n v="6.5509004502251127"/>
    <x v="637"/>
    <b v="1"/>
    <x v="32"/>
  </r>
  <r>
    <d v="2025-08-25T00:00:00"/>
    <n v="80"/>
    <n v="122"/>
    <n v="152"/>
    <n v="8474"/>
    <n v="351"/>
    <n v="8596"/>
    <n v="8123"/>
    <n v="1.7111904468792318E-2"/>
    <s v="Backlog"/>
    <n v="0.94497440670079103"/>
    <n v="6.6148208469055376"/>
    <x v="638"/>
    <b v="0"/>
    <x v="32"/>
  </r>
  <r>
    <d v="2025-08-26T00:00:00"/>
    <n v="57"/>
    <n v="162"/>
    <n v="193"/>
    <n v="8569"/>
    <n v="307"/>
    <n v="8731"/>
    <n v="8262"/>
    <n v="4.5993706124425075E-3"/>
    <s v="Backlog"/>
    <n v="0.94628335814912379"/>
    <n v="6.6239835070438664"/>
    <x v="639"/>
    <b v="0"/>
    <x v="32"/>
  </r>
  <r>
    <d v="2025-08-27T00:00:00"/>
    <n v="161"/>
    <n v="304"/>
    <n v="211"/>
    <n v="8572"/>
    <n v="272"/>
    <n v="8876"/>
    <n v="8300"/>
    <n v="-7.2289156626506026E-4"/>
    <s v="No Backlog"/>
    <n v="0.93510590356016221"/>
    <n v="6.5457413249211358"/>
    <x v="640"/>
    <b v="1"/>
    <x v="32"/>
  </r>
  <r>
    <d v="2025-08-28T00:00:00"/>
    <n v="205"/>
    <n v="294"/>
    <n v="177"/>
    <n v="8571"/>
    <n v="277"/>
    <n v="8865"/>
    <n v="8294"/>
    <n v="-1.6517964793826861E-2"/>
    <s v="No Backlog"/>
    <n v="0.93558939650310213"/>
    <n v="6.5491257755217145"/>
    <x v="641"/>
    <b v="1"/>
    <x v="32"/>
  </r>
  <r>
    <d v="2025-09-01T00:00:00"/>
    <n v="100"/>
    <n v="255"/>
    <n v="236"/>
    <n v="8445"/>
    <n v="288"/>
    <n v="8700"/>
    <n v="8157"/>
    <n v="1.5079073188672305E-2"/>
    <s v="Backlog"/>
    <n v="0.9375862068965517"/>
    <n v="6.5631034482758617"/>
    <x v="642"/>
    <b v="1"/>
    <x v="33"/>
  </r>
  <r>
    <d v="2025-09-02T00:00:00"/>
    <n v="269"/>
    <n v="412"/>
    <n v="204"/>
    <n v="8672"/>
    <n v="392"/>
    <n v="9084"/>
    <n v="8280"/>
    <n v="1.1714975845410628E-2"/>
    <s v="Backlog"/>
    <n v="0.91149273447820345"/>
    <n v="6.380449141347424"/>
    <x v="643"/>
    <b v="1"/>
    <x v="33"/>
  </r>
  <r>
    <d v="2025-09-03T00:00:00"/>
    <n v="168"/>
    <n v="285"/>
    <n v="210"/>
    <n v="8681"/>
    <n v="304"/>
    <n v="8966"/>
    <n v="8377"/>
    <n v="-2.5068640324698581E-3"/>
    <s v="No Backlog"/>
    <n v="0.93430738344858355"/>
    <n v="6.5401516841400849"/>
    <x v="644"/>
    <b v="1"/>
    <x v="33"/>
  </r>
  <r>
    <d v="2025-09-04T00:00:00"/>
    <n v="187"/>
    <n v="310"/>
    <n v="247"/>
    <n v="8606"/>
    <n v="250"/>
    <n v="8916"/>
    <n v="8356"/>
    <n v="-3.2312111057922451E-3"/>
    <s v="No Backlog"/>
    <n v="0.9371915657245401"/>
    <n v="6.5603409600717804"/>
    <x v="645"/>
    <b v="1"/>
    <x v="33"/>
  </r>
  <r>
    <d v="2025-09-07T00:00:00"/>
    <n v="133"/>
    <n v="287"/>
    <n v="189"/>
    <n v="8590"/>
    <n v="261"/>
    <n v="8877"/>
    <n v="8329"/>
    <n v="-2.6293672709809101E-2"/>
    <s v="No Backlog"/>
    <n v="0.93826743269122448"/>
    <n v="6.567872028838571"/>
    <x v="646"/>
    <b v="1"/>
    <x v="34"/>
  </r>
  <r>
    <d v="2025-09-08T00:00:00"/>
    <n v="180"/>
    <n v="337"/>
    <n v="219"/>
    <n v="8485"/>
    <n v="375"/>
    <n v="8822"/>
    <n v="8110"/>
    <n v="4.2909987669543771E-2"/>
    <s v="Backlog"/>
    <n v="0.9192926773974156"/>
    <n v="6.4350487417819089"/>
    <x v="647"/>
    <b v="1"/>
    <x v="34"/>
  </r>
  <r>
    <d v="2025-09-09T00:00:00"/>
    <n v="153"/>
    <n v="253"/>
    <n v="286"/>
    <n v="8790"/>
    <n v="332"/>
    <n v="9043"/>
    <n v="8458"/>
    <n v="-2.4828564672499409E-3"/>
    <s v="No Backlog"/>
    <n v="0.93530907884551584"/>
    <n v="6.5471635519186107"/>
    <x v="648"/>
    <b v="0"/>
    <x v="34"/>
  </r>
  <r>
    <d v="2025-09-10T00:00:00"/>
    <n v="209"/>
    <n v="353"/>
    <n v="232"/>
    <n v="8704"/>
    <n v="267"/>
    <n v="9057"/>
    <n v="8437"/>
    <n v="-3.3187151831219628E-3"/>
    <s v="No Backlog"/>
    <n v="0.9315446615877222"/>
    <n v="6.5208126311140555"/>
    <x v="649"/>
    <b v="1"/>
    <x v="34"/>
  </r>
  <r>
    <d v="2025-09-11T00:00:00"/>
    <n v="167"/>
    <n v="326"/>
    <n v="213"/>
    <n v="8654"/>
    <n v="245"/>
    <n v="8980"/>
    <n v="8409"/>
    <n v="-1.831371149958378E-2"/>
    <s v="No Backlog"/>
    <n v="0.93641425389755006"/>
    <n v="6.5548997772828503"/>
    <x v="650"/>
    <b v="1"/>
    <x v="34"/>
  </r>
  <r>
    <d v="2025-09-14T00:00:00"/>
    <n v="224"/>
    <n v="315"/>
    <n v="152"/>
    <n v="8492"/>
    <n v="237"/>
    <n v="8807"/>
    <n v="8255"/>
    <n v="-2.3743185947910358E-2"/>
    <s v="No Backlog"/>
    <n v="0.93732258430793691"/>
    <n v="6.5612580901555582"/>
    <x v="651"/>
    <b v="1"/>
    <x v="35"/>
  </r>
  <r>
    <d v="2025-09-15T00:00:00"/>
    <n v="132"/>
    <n v="243"/>
    <n v="183"/>
    <n v="8352"/>
    <n v="293"/>
    <n v="8595"/>
    <n v="8059"/>
    <n v="-2.6057823551309096E-2"/>
    <s v="No Backlog"/>
    <n v="0.93763816172193137"/>
    <n v="6.5634671320535194"/>
    <x v="652"/>
    <b v="1"/>
    <x v="35"/>
  </r>
  <r>
    <d v="2025-09-16T00:00:00"/>
    <n v="218"/>
    <n v="283"/>
    <n v="208"/>
    <n v="8159"/>
    <n v="310"/>
    <n v="8442"/>
    <n v="7849"/>
    <n v="1.5288571792585043E-3"/>
    <s v="Backlog"/>
    <n v="0.92975598199478793"/>
    <n v="6.5082918739635156"/>
    <x v="653"/>
    <b v="1"/>
    <x v="35"/>
  </r>
  <r>
    <d v="2025-09-17T00:00:00"/>
    <n v="118"/>
    <n v="245"/>
    <n v="160"/>
    <n v="8117"/>
    <n v="256"/>
    <n v="8362"/>
    <n v="7861"/>
    <n v="-5.851672815163465E-3"/>
    <s v="No Backlog"/>
    <n v="0.94008610380291802"/>
    <n v="6.5806027266204259"/>
    <x v="654"/>
    <b v="1"/>
    <x v="35"/>
  </r>
  <r>
    <d v="2025-09-18T00:00:00"/>
    <n v="81"/>
    <n v="230"/>
    <n v="242"/>
    <n v="8017"/>
    <n v="202"/>
    <n v="8247"/>
    <n v="7815"/>
    <n v="-2.9686500319897634E-2"/>
    <s v="No Backlog"/>
    <n v="0.94761731538741356"/>
    <n v="6.6333212077118953"/>
    <x v="655"/>
    <b v="0"/>
    <x v="35"/>
  </r>
  <r>
    <d v="2025-09-21T00:00:00"/>
    <n v="236"/>
    <n v="330"/>
    <n v="222"/>
    <n v="7796"/>
    <n v="213"/>
    <n v="8126"/>
    <n v="7583"/>
    <n v="-4.1540287485164182E-2"/>
    <s v="No Backlog"/>
    <n v="0.93317745508245142"/>
    <n v="6.53224218557716"/>
    <x v="656"/>
    <b v="1"/>
    <x v="36"/>
  </r>
  <r>
    <d v="2025-09-22T00:00:00"/>
    <n v="196"/>
    <n v="306"/>
    <n v="187"/>
    <n v="7534"/>
    <n v="266"/>
    <n v="7840"/>
    <n v="7268"/>
    <n v="-1.3483764446890478E-2"/>
    <s v="No Backlog"/>
    <n v="0.92704081632653057"/>
    <n v="6.4892857142857139"/>
    <x v="657"/>
    <b v="1"/>
    <x v="36"/>
  </r>
  <r>
    <d v="2025-09-23T00:00:00"/>
    <n v="113"/>
    <n v="280"/>
    <n v="237"/>
    <n v="7490"/>
    <n v="320"/>
    <n v="7770"/>
    <n v="7170"/>
    <n v="-5.9972105997210604E-3"/>
    <s v="No Backlog"/>
    <n v="0.92277992277992282"/>
    <n v="6.4594594594594597"/>
    <x v="658"/>
    <b v="1"/>
    <x v="36"/>
  </r>
  <r>
    <d v="2025-09-24T00:00:00"/>
    <n v="239"/>
    <n v="367"/>
    <n v="224"/>
    <n v="7356"/>
    <n v="229"/>
    <n v="7723"/>
    <n v="7127"/>
    <n v="2.1046723726673216E-3"/>
    <s v="Backlog"/>
    <n v="0.92282791661271524"/>
    <n v="6.4597954162890066"/>
    <x v="659"/>
    <b v="1"/>
    <x v="36"/>
  </r>
  <r>
    <d v="2025-09-25T00:00:00"/>
    <n v="152"/>
    <n v="272"/>
    <n v="214"/>
    <n v="7376"/>
    <n v="234"/>
    <n v="7648"/>
    <n v="7142"/>
    <n v="-6.4407728927471297E-3"/>
    <s v="No Backlog"/>
    <n v="0.93383891213389125"/>
    <n v="6.5368723849372383"/>
    <x v="660"/>
    <b v="1"/>
    <x v="36"/>
  </r>
  <r>
    <d v="2025-09-28T00:00:00"/>
    <n v="170"/>
    <n v="297"/>
    <n v="196"/>
    <n v="7344"/>
    <n v="248"/>
    <n v="7641"/>
    <n v="7096"/>
    <n v="1.6910935738444193E-3"/>
    <s v="Backlog"/>
    <n v="0.92867425729616537"/>
    <n v="6.5007198010731573"/>
    <x v="661"/>
    <b v="1"/>
    <x v="37"/>
  </r>
  <r>
    <d v="2025-09-29T00:00:00"/>
    <n v="191"/>
    <n v="283"/>
    <n v="192"/>
    <n v="7380"/>
    <n v="272"/>
    <n v="7663"/>
    <n v="7108"/>
    <n v="4.4597636465953855E-2"/>
    <s v="Backlog"/>
    <n v="0.92757405715777108"/>
    <n v="6.4930184001043978"/>
    <x v="662"/>
    <b v="1"/>
    <x v="37"/>
  </r>
  <r>
    <d v="2025-09-30T00:00:00"/>
    <n v="109"/>
    <n v="214"/>
    <n v="173"/>
    <n v="7795"/>
    <n v="370"/>
    <n v="8009"/>
    <n v="7425"/>
    <n v="2.2626262626262626E-2"/>
    <s v="Backlog"/>
    <n v="0.92708203271319767"/>
    <n v="6.4895742289923835"/>
    <x v="663"/>
    <b v="1"/>
    <x v="37"/>
  </r>
  <r>
    <d v="2025-10-01T00:00:00"/>
    <n v="155"/>
    <n v="212"/>
    <n v="181"/>
    <n v="7876"/>
    <n v="283"/>
    <n v="8088"/>
    <n v="7593"/>
    <n v="1.8701435532727514E-2"/>
    <s v="Backlog"/>
    <n v="0.93879821958456977"/>
    <n v="6.5715875370919887"/>
    <x v="664"/>
    <b v="1"/>
    <x v="37"/>
  </r>
  <r>
    <d v="2025-10-02T00:00:00"/>
    <n v="119"/>
    <n v="209"/>
    <n v="152"/>
    <n v="7922"/>
    <n v="187"/>
    <n v="8131"/>
    <n v="7735"/>
    <n v="-2.2495151906916613E-2"/>
    <s v="No Backlog"/>
    <n v="0.95129750338211783"/>
    <n v="6.659082523674825"/>
    <x v="665"/>
    <b v="1"/>
    <x v="37"/>
  </r>
  <r>
    <d v="2025-10-05T00:00:00"/>
    <n v="143"/>
    <n v="203"/>
    <n v="163"/>
    <n v="7826"/>
    <n v="265"/>
    <n v="8029"/>
    <n v="7561"/>
    <n v="1.3225763787858748E-3"/>
    <s v="Backlog"/>
    <n v="0.94171129655000618"/>
    <n v="6.5919790758500429"/>
    <x v="666"/>
    <b v="1"/>
    <x v="38"/>
  </r>
  <r>
    <d v="2025-10-06T00:00:00"/>
    <n v="105"/>
    <n v="210"/>
    <n v="149"/>
    <n v="7900"/>
    <n v="329"/>
    <n v="8110"/>
    <n v="7571"/>
    <n v="4.2662792233522651E-2"/>
    <s v="Backlog"/>
    <n v="0.9335388409371147"/>
    <n v="6.5347718865598026"/>
    <x v="667"/>
    <b v="1"/>
    <x v="38"/>
  </r>
  <r>
    <d v="2025-10-07T00:00:00"/>
    <n v="119"/>
    <n v="219"/>
    <n v="210"/>
    <n v="8178"/>
    <n v="284"/>
    <n v="8397"/>
    <n v="7894"/>
    <n v="2.6602482898403852E-3"/>
    <s v="Backlog"/>
    <n v="0.94009765392402045"/>
    <n v="6.5806835774681431"/>
    <x v="668"/>
    <b v="1"/>
    <x v="38"/>
  </r>
  <r>
    <d v="2025-10-08T00:00:00"/>
    <n v="148"/>
    <n v="245"/>
    <n v="175"/>
    <n v="8175"/>
    <n v="260"/>
    <n v="8420"/>
    <n v="7915"/>
    <n v="-1.3392293114339862E-2"/>
    <s v="No Backlog"/>
    <n v="0.94002375296912111"/>
    <n v="6.580166270783848"/>
    <x v="669"/>
    <b v="1"/>
    <x v="38"/>
  </r>
  <r>
    <d v="2025-10-09T00:00:00"/>
    <n v="142"/>
    <n v="235"/>
    <n v="139"/>
    <n v="8068"/>
    <n v="259"/>
    <n v="8303"/>
    <n v="7809"/>
    <n v="-4.9942374183634267E-3"/>
    <s v="No Backlog"/>
    <n v="0.94050343249427915"/>
    <n v="6.583524027459954"/>
    <x v="670"/>
    <b v="1"/>
    <x v="38"/>
  </r>
  <r>
    <d v="2025-10-13T00:00:00"/>
    <n v="118"/>
    <n v="139"/>
    <n v="168"/>
    <n v="8054"/>
    <n v="284"/>
    <n v="8193"/>
    <n v="7770"/>
    <n v="-1.1969111969111969E-2"/>
    <s v="No Backlog"/>
    <n v="0.9483705602343464"/>
    <n v="6.6385939216404246"/>
    <x v="671"/>
    <b v="0"/>
    <x v="39"/>
  </r>
  <r>
    <d v="2025-10-14T00:00:00"/>
    <n v="125"/>
    <n v="232"/>
    <n v="192"/>
    <n v="7981"/>
    <n v="304"/>
    <n v="8213"/>
    <n v="7677"/>
    <n v="1.5891624332421517E-2"/>
    <s v="Backlog"/>
    <n v="0.93473761110434672"/>
    <n v="6.5431632777304269"/>
    <x v="672"/>
    <b v="1"/>
    <x v="39"/>
  </r>
  <r>
    <d v="2025-10-15T00:00:00"/>
    <n v="156"/>
    <n v="256"/>
    <n v="176"/>
    <n v="8158"/>
    <n v="359"/>
    <n v="8414"/>
    <n v="7799"/>
    <n v="1.820746249519169E-2"/>
    <s v="Backlog"/>
    <n v="0.9269075350606133"/>
    <n v="6.4883527454242929"/>
    <x v="673"/>
    <b v="1"/>
    <x v="39"/>
  </r>
  <r>
    <d v="2025-10-16T00:00:00"/>
    <n v="109"/>
    <n v="245"/>
    <n v="159"/>
    <n v="8208"/>
    <n v="267"/>
    <n v="8453"/>
    <n v="7941"/>
    <n v="-1.0703941569071906E-2"/>
    <s v="No Backlog"/>
    <n v="0.93942978824086121"/>
    <n v="6.5760085176860281"/>
    <x v="674"/>
    <b v="1"/>
    <x v="39"/>
  </r>
  <r>
    <d v="2025-10-19T00:00:00"/>
    <n v="167"/>
    <n v="209"/>
    <n v="157"/>
    <n v="8079"/>
    <n v="223"/>
    <n v="8288"/>
    <n v="7856"/>
    <n v="-1.2347250509164969E-2"/>
    <s v="No Backlog"/>
    <n v="0.94787644787644787"/>
    <n v="6.6351351351351351"/>
    <x v="675"/>
    <b v="1"/>
    <x v="40"/>
  </r>
  <r>
    <d v="2025-10-20T00:00:00"/>
    <n v="84"/>
    <n v="171"/>
    <n v="157"/>
    <n v="7994"/>
    <n v="235"/>
    <n v="8165"/>
    <n v="7759"/>
    <n v="-3.4025003222064698E-2"/>
    <s v="No Backlog"/>
    <n v="0.95027556644213107"/>
    <n v="6.6519289650949176"/>
    <x v="676"/>
    <b v="1"/>
    <x v="40"/>
  </r>
  <r>
    <d v="2025-10-21T00:00:00"/>
    <n v="87"/>
    <n v="246"/>
    <n v="173"/>
    <n v="7847"/>
    <n v="352"/>
    <n v="8093"/>
    <n v="7495"/>
    <n v="3.6824549699799869E-2"/>
    <s v="Backlog"/>
    <n v="0.92610898307179046"/>
    <n v="6.4827628815025333"/>
    <x v="677"/>
    <b v="1"/>
    <x v="40"/>
  </r>
  <r>
    <d v="2025-10-22T00:00:00"/>
    <n v="136"/>
    <n v="276"/>
    <n v="178"/>
    <n v="8102"/>
    <n v="331"/>
    <n v="8378"/>
    <n v="7771"/>
    <n v="1.0294685368678419E-2"/>
    <s v="Backlog"/>
    <n v="0.92754834089281446"/>
    <n v="6.4928383862497014"/>
    <x v="678"/>
    <b v="1"/>
    <x v="40"/>
  </r>
  <r>
    <d v="2025-10-23T00:00:00"/>
    <n v="166"/>
    <n v="277"/>
    <n v="229"/>
    <n v="8097"/>
    <n v="246"/>
    <n v="8374"/>
    <n v="7851"/>
    <n v="-2.8021908037192712E-3"/>
    <s v="No Backlog"/>
    <n v="0.93754478146644371"/>
    <n v="6.5628134702651062"/>
    <x v="679"/>
    <b v="1"/>
    <x v="40"/>
  </r>
  <r>
    <d v="2025-10-26T00:00:00"/>
    <n v="110"/>
    <n v="272"/>
    <n v="193"/>
    <n v="8050"/>
    <n v="221"/>
    <n v="8322"/>
    <n v="7829"/>
    <n v="-2.2608251373100012E-2"/>
    <s v="No Backlog"/>
    <n v="0.94075943282864694"/>
    <n v="6.5853160298005289"/>
    <x v="680"/>
    <b v="1"/>
    <x v="41"/>
  </r>
  <r>
    <d v="2025-10-27T00:00:00"/>
    <n v="202"/>
    <n v="313"/>
    <n v="158"/>
    <n v="7931"/>
    <n v="279"/>
    <n v="8244"/>
    <n v="7652"/>
    <n v="-9.5399895452169363E-3"/>
    <s v="No Backlog"/>
    <n v="0.92819019893255705"/>
    <n v="6.497331392527899"/>
    <x v="681"/>
    <b v="1"/>
    <x v="41"/>
  </r>
  <r>
    <d v="2025-10-28T00:00:00"/>
    <n v="134"/>
    <n v="294"/>
    <n v="186"/>
    <n v="7885"/>
    <n v="306"/>
    <n v="8179"/>
    <n v="7579"/>
    <n v="1.3458239873334213E-2"/>
    <s v="Backlog"/>
    <n v="0.92664139870399809"/>
    <n v="6.4864897909279868"/>
    <x v="682"/>
    <b v="1"/>
    <x v="41"/>
  </r>
  <r>
    <d v="2025-10-29T00:00:00"/>
    <n v="180"/>
    <n v="280"/>
    <n v="146"/>
    <n v="7989"/>
    <n v="308"/>
    <n v="8269"/>
    <n v="7681"/>
    <n v="-6.7699518291889074E-3"/>
    <s v="No Backlog"/>
    <n v="0.92889103881968804"/>
    <n v="6.5022372717378163"/>
    <x v="683"/>
    <b v="1"/>
    <x v="41"/>
  </r>
  <r>
    <d v="2025-10-30T00:00:00"/>
    <n v="108"/>
    <n v="220"/>
    <n v="213"/>
    <n v="7915"/>
    <n v="286"/>
    <n v="8135"/>
    <n v="7629"/>
    <n v="0"/>
    <s v="No Backlog"/>
    <n v="0.93779963122311005"/>
    <n v="6.5645974185617701"/>
    <x v="684"/>
    <b v="1"/>
    <x v="41"/>
  </r>
  <r>
    <d v="2025-11-02T00:00:00"/>
    <n v="147"/>
    <n v="276"/>
    <n v="214"/>
    <n v="7810"/>
    <n v="181"/>
    <n v="8086"/>
    <n v="7629"/>
    <n v="-4.076550006553939E-2"/>
    <s v="No Backlog"/>
    <n v="0.9434825624536235"/>
    <n v="6.6043779371753644"/>
    <x v="685"/>
    <b v="1"/>
    <x v="42"/>
  </r>
  <r>
    <d v="2025-11-03T00:00:00"/>
    <n v="104"/>
    <n v="230"/>
    <n v="206"/>
    <n v="7567"/>
    <n v="249"/>
    <n v="7797"/>
    <n v="7318"/>
    <n v="1.7491117791746377E-2"/>
    <s v="Backlog"/>
    <n v="0.93856611517250221"/>
    <n v="6.5699628062075153"/>
    <x v="686"/>
    <b v="1"/>
    <x v="42"/>
  </r>
  <r>
    <d v="2025-11-04T00:00:00"/>
    <n v="174"/>
    <n v="285"/>
    <n v="150"/>
    <n v="7786"/>
    <n v="340"/>
    <n v="8071"/>
    <n v="7446"/>
    <n v="1.98764437281762E-2"/>
    <s v="Backlog"/>
    <n v="0.92256225994300578"/>
    <n v="6.4579358196010404"/>
    <x v="687"/>
    <b v="1"/>
    <x v="42"/>
  </r>
  <r>
    <d v="2025-11-05T00:00:00"/>
    <n v="113"/>
    <n v="208"/>
    <n v="159"/>
    <n v="7885"/>
    <n v="291"/>
    <n v="8093"/>
    <n v="7594"/>
    <n v="7.9009744535159341E-4"/>
    <s v="Backlog"/>
    <n v="0.93834177684418629"/>
    <n v="6.5683924379093037"/>
    <x v="688"/>
    <b v="1"/>
    <x v="42"/>
  </r>
  <r>
    <d v="2025-11-06T00:00:00"/>
    <n v="88"/>
    <n v="214"/>
    <n v="160"/>
    <n v="7859"/>
    <n v="259"/>
    <n v="8073"/>
    <n v="7600"/>
    <n v="-8.552631578947369E-3"/>
    <s v="No Backlog"/>
    <n v="0.94140963706181102"/>
    <n v="6.5898674594326767"/>
    <x v="689"/>
    <b v="1"/>
    <x v="42"/>
  </r>
  <r>
    <d v="2025-11-09T00:00:00"/>
    <n v="130"/>
    <n v="227"/>
    <n v="192"/>
    <n v="7870"/>
    <n v="335"/>
    <n v="8097"/>
    <n v="7535"/>
    <n v="1.167883211678832E-2"/>
    <s v="Backlog"/>
    <n v="0.93059157712733109"/>
    <n v="6.5141410398913173"/>
    <x v="690"/>
    <b v="1"/>
    <x v="43"/>
  </r>
  <r>
    <d v="2025-11-11T00:00:00"/>
    <n v="84"/>
    <n v="158"/>
    <n v="193"/>
    <n v="7930"/>
    <n v="307"/>
    <n v="8088"/>
    <n v="7623"/>
    <n v="9.5762823035550303E-3"/>
    <s v="Backlog"/>
    <n v="0.94250741839762608"/>
    <n v="6.5975519287833828"/>
    <x v="691"/>
    <b v="0"/>
    <x v="43"/>
  </r>
  <r>
    <d v="2025-11-12T00:00:00"/>
    <n v="115"/>
    <n v="216"/>
    <n v="169"/>
    <n v="7896"/>
    <n v="200"/>
    <n v="8112"/>
    <n v="7696"/>
    <n v="-1.8711018711018712E-2"/>
    <s v="No Backlog"/>
    <n v="0.94871794871794868"/>
    <n v="6.6410256410256405"/>
    <x v="692"/>
    <b v="1"/>
    <x v="43"/>
  </r>
  <r>
    <d v="2025-11-13T00:00:00"/>
    <n v="167"/>
    <n v="239"/>
    <n v="166"/>
    <n v="7800"/>
    <n v="248"/>
    <n v="8039"/>
    <n v="7552"/>
    <n v="-3.5222457627118647E-2"/>
    <s v="No Backlog"/>
    <n v="0.93942032591118296"/>
    <n v="6.5759422813782811"/>
    <x v="693"/>
    <b v="1"/>
    <x v="43"/>
  </r>
  <r>
    <d v="2025-11-16T00:00:00"/>
    <n v="99"/>
    <n v="190"/>
    <n v="176"/>
    <n v="7609"/>
    <n v="323"/>
    <n v="7799"/>
    <n v="7286"/>
    <n v="3.3214383749656878E-2"/>
    <s v="Backlog"/>
    <n v="0.93422233619694828"/>
    <n v="6.5395563533786376"/>
    <x v="694"/>
    <b v="1"/>
    <x v="44"/>
  </r>
  <r>
    <d v="2025-11-17T00:00:00"/>
    <n v="101"/>
    <n v="162"/>
    <n v="178"/>
    <n v="7914"/>
    <n v="386"/>
    <n v="8076"/>
    <n v="7528"/>
    <n v="2.8958554729011689E-2"/>
    <s v="Backlog"/>
    <n v="0.93214462605250126"/>
    <n v="6.5250123823675086"/>
    <x v="695"/>
    <b v="0"/>
    <x v="44"/>
  </r>
  <r>
    <d v="2025-11-18T00:00:00"/>
    <n v="107"/>
    <n v="215"/>
    <n v="230"/>
    <n v="7978"/>
    <n v="232"/>
    <n v="8193"/>
    <n v="7746"/>
    <n v="1.0327911179963851E-3"/>
    <s v="Backlog"/>
    <n v="0.94544123031856464"/>
    <n v="6.6180886122299523"/>
    <x v="696"/>
    <b v="0"/>
    <x v="44"/>
  </r>
  <r>
    <d v="2025-11-19T00:00:00"/>
    <n v="184"/>
    <n v="314"/>
    <n v="217"/>
    <n v="7967"/>
    <n v="213"/>
    <n v="8281"/>
    <n v="7754"/>
    <n v="-1.8828991488264123E-2"/>
    <s v="No Backlog"/>
    <n v="0.93636034295374959"/>
    <n v="6.5545224006762473"/>
    <x v="697"/>
    <b v="1"/>
    <x v="44"/>
  </r>
  <r>
    <d v="2025-11-20T00:00:00"/>
    <n v="209"/>
    <n v="285"/>
    <n v="184"/>
    <n v="7817"/>
    <n v="209"/>
    <n v="8102"/>
    <n v="7608"/>
    <n v="-2.3133543638275498E-2"/>
    <s v="No Backlog"/>
    <n v="0.93902740064181689"/>
    <n v="6.5731918044927182"/>
    <x v="698"/>
    <b v="1"/>
    <x v="44"/>
  </r>
  <r>
    <d v="2025-11-23T00:00:00"/>
    <n v="81"/>
    <n v="213"/>
    <n v="153"/>
    <n v="7793"/>
    <n v="361"/>
    <n v="8006"/>
    <n v="7432"/>
    <n v="1.9779332615715822E-2"/>
    <s v="Backlog"/>
    <n v="0.9283037721708719"/>
    <n v="6.4981264051961034"/>
    <x v="699"/>
    <b v="1"/>
    <x v="45"/>
  </r>
  <r>
    <d v="2025-11-24T00:00:00"/>
    <n v="91"/>
    <n v="199"/>
    <n v="172"/>
    <n v="7869"/>
    <n v="290"/>
    <n v="8068"/>
    <n v="7579"/>
    <n v="-1.055548225359546E-3"/>
    <s v="No Backlog"/>
    <n v="0.93939018344075365"/>
    <n v="6.5757312840852755"/>
    <x v="700"/>
    <b v="1"/>
    <x v="45"/>
  </r>
  <r>
    <d v="2025-11-25T00:00:00"/>
    <n v="154"/>
    <n v="225"/>
    <n v="220"/>
    <n v="7794"/>
    <n v="223"/>
    <n v="8019"/>
    <n v="7571"/>
    <n v="-4.3851538766345267E-2"/>
    <s v="No Backlog"/>
    <n v="0.94413268487342561"/>
    <n v="6.6089287941139796"/>
    <x v="701"/>
    <b v="1"/>
    <x v="45"/>
  </r>
  <r>
    <d v="2025-11-27T00:00:00"/>
    <n v="186"/>
    <n v="259"/>
    <n v="172"/>
    <n v="7483"/>
    <n v="244"/>
    <n v="7742"/>
    <n v="7239"/>
    <n v="-1.685315651333057E-2"/>
    <s v="No Backlog"/>
    <n v="0.93502970808576591"/>
    <n v="6.5452079566003611"/>
    <x v="702"/>
    <b v="1"/>
    <x v="45"/>
  </r>
  <r>
    <d v="2025-11-30T00:00:00"/>
    <n v="92"/>
    <n v="203"/>
    <n v="173"/>
    <n v="7434"/>
    <n v="317"/>
    <n v="7637"/>
    <n v="7117"/>
    <n v="6.1542784881270199E-2"/>
    <s v="Backlog"/>
    <n v="0.93191043603509227"/>
    <n v="6.5233730522456455"/>
    <x v="703"/>
    <b v="1"/>
    <x v="46"/>
  </r>
  <r>
    <d v="2025-12-01T00:00:00"/>
    <n v="124"/>
    <n v="234"/>
    <n v="161"/>
    <n v="7908"/>
    <n v="353"/>
    <n v="8142"/>
    <n v="7555"/>
    <n v="5.6915949702183982E-3"/>
    <s v="Backlog"/>
    <n v="0.92790469172193568"/>
    <n v="6.4953328420535499"/>
    <x v="704"/>
    <b v="1"/>
    <x v="46"/>
  </r>
  <r>
    <d v="2025-12-02T00:00:00"/>
    <n v="93"/>
    <n v="196"/>
    <n v="169"/>
    <n v="7915"/>
    <n v="317"/>
    <n v="8111"/>
    <n v="7598"/>
    <n v="7.5019742037378259E-3"/>
    <s v="Backlog"/>
    <n v="0.93675255825422266"/>
    <n v="6.5572679077795586"/>
    <x v="705"/>
    <b v="1"/>
    <x v="46"/>
  </r>
  <r>
    <d v="2025-12-03T00:00:00"/>
    <n v="16"/>
    <n v="20"/>
    <n v="20"/>
    <n v="7855"/>
    <n v="200"/>
    <n v="7875"/>
    <n v="7655"/>
    <n v="-1.7112998040496409E-2"/>
    <s v="No Backlog"/>
    <n v="0.97206349206349207"/>
    <n v="6.8044444444444441"/>
    <x v="706"/>
    <b v="0"/>
    <x v="46"/>
  </r>
  <r>
    <d v="2025-12-04T00:00:00"/>
    <n v="11"/>
    <n v="22"/>
    <n v="12"/>
    <n v="7720"/>
    <n v="196"/>
    <n v="7742"/>
    <n v="7524"/>
    <n v="-3.7214247740563533E-2"/>
    <s v="No Backlog"/>
    <n v="0.97184190131748904"/>
    <n v="6.8028933092224229"/>
    <x v="707"/>
    <b v="1"/>
    <x v="46"/>
  </r>
  <r>
    <d v="2025-12-07T00:00:00"/>
    <n v="16"/>
    <n v="18"/>
    <n v="15"/>
    <n v="7586"/>
    <n v="342"/>
    <n v="7604"/>
    <n v="7244"/>
    <n v="4.6521258972943125E-2"/>
    <s v="Backlog"/>
    <n v="0.95265649658074703"/>
    <n v="6.6685954760652288"/>
    <x v="708"/>
    <b v="1"/>
    <x v="47"/>
  </r>
  <r>
    <d v="2025-12-08T00:00:00"/>
    <n v="15"/>
    <n v="13"/>
    <n v="23"/>
    <n v="7879"/>
    <n v="298"/>
    <n v="7892"/>
    <n v="7581"/>
    <n v="1.2003693444136657E-2"/>
    <s v="Backlog"/>
    <n v="0.96059300557526606"/>
    <n v="6.7241510390268626"/>
    <x v="709"/>
    <b v="0"/>
    <x v="47"/>
  </r>
  <r>
    <d v="2025-12-09T00:00:00"/>
    <n v="25"/>
    <n v="32"/>
    <n v="27"/>
    <n v="7903"/>
    <n v="231"/>
    <n v="7935"/>
    <n v="7672"/>
    <n v="-3.5192909280500522E-3"/>
    <s v="No Backlog"/>
    <n v="0.96685570258349085"/>
    <n v="6.7679899180844361"/>
    <x v="710"/>
    <b v="1"/>
    <x v="47"/>
  </r>
  <r>
    <d v="2025-12-10T00:00:00"/>
    <n v="26"/>
    <n v="36"/>
    <n v="36"/>
    <n v="7803"/>
    <n v="158"/>
    <n v="7839"/>
    <n v="7645"/>
    <n v="-1.2818835840418574E-2"/>
    <s v="No Backlog"/>
    <n v="0.97525194540119908"/>
    <n v="6.8267636178083935"/>
    <x v="711"/>
    <b v="0"/>
    <x v="47"/>
  </r>
  <r>
    <d v="2025-12-11T00:00:00"/>
    <n v="34"/>
    <n v="54"/>
    <n v="29"/>
    <n v="7743"/>
    <n v="196"/>
    <n v="7797"/>
    <n v="7547"/>
    <n v="-5.00861269378561E-2"/>
    <s v="No Backlog"/>
    <n v="0.96793638578940622"/>
    <n v="6.7755547005258432"/>
    <x v="712"/>
    <b v="1"/>
    <x v="47"/>
  </r>
  <r>
    <d v="2025-12-14T00:00:00"/>
    <n v="23"/>
    <n v="45"/>
    <n v="11"/>
    <n v="7472"/>
    <n v="303"/>
    <n v="7517"/>
    <n v="7169"/>
    <n v="2.6363509555028596E-2"/>
    <s v="Backlog"/>
    <n v="0.95370493547957957"/>
    <n v="6.6759345483570574"/>
    <x v="713"/>
    <b v="1"/>
    <x v="48"/>
  </r>
  <r>
    <d v="2025-12-15T00:00:00"/>
    <n v="20"/>
    <n v="22"/>
    <n v="41"/>
    <n v="7538"/>
    <n v="180"/>
    <n v="7560"/>
    <n v="7358"/>
    <n v="-1.3590649633052459E-2"/>
    <s v="No Backlog"/>
    <n v="0.9732804232804233"/>
    <n v="6.8129629629629633"/>
    <x v="714"/>
    <b v="0"/>
    <x v="48"/>
  </r>
  <r>
    <d v="2025-12-16T00:00:00"/>
    <n v="47"/>
    <n v="42"/>
    <n v="47"/>
    <n v="7433"/>
    <n v="175"/>
    <n v="7475"/>
    <n v="7258"/>
    <n v="-2.1906861394323504E-2"/>
    <s v="No Backlog"/>
    <n v="0.97096989966555181"/>
    <n v="6.7967892976588624"/>
    <x v="715"/>
    <b v="0"/>
    <x v="48"/>
  </r>
  <r>
    <d v="2025-12-17T00:00:00"/>
    <n v="32"/>
    <n v="50"/>
    <n v="39"/>
    <n v="7280"/>
    <n v="181"/>
    <n v="7330"/>
    <n v="7099"/>
    <n v="-2.8736441752359489E-2"/>
    <s v="No Backlog"/>
    <n v="0.96848567530695773"/>
    <n v="6.7793997271487036"/>
    <x v="716"/>
    <b v="1"/>
    <x v="48"/>
  </r>
  <r>
    <d v="2025-12-18T00:00:00"/>
    <n v="32"/>
    <n v="49"/>
    <n v="39"/>
    <n v="7122"/>
    <n v="227"/>
    <n v="7171"/>
    <n v="6895"/>
    <n v="-0.11094996374184192"/>
    <s v="No Backlog"/>
    <n v="0.96151164412215873"/>
    <n v="6.7305815088551109"/>
    <x v="717"/>
    <b v="1"/>
    <x v="48"/>
  </r>
  <r>
    <d v="2025-12-21T00:00:00"/>
    <n v="33"/>
    <n v="53"/>
    <n v="34"/>
    <n v="6566"/>
    <n v="436"/>
    <n v="6619"/>
    <n v="6130"/>
    <n v="-1"/>
    <s v="No Backlog"/>
    <n v="0.92612177066022061"/>
    <n v="6.4828523946215446"/>
    <x v="718"/>
    <b v="1"/>
    <x v="4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1">
  <r>
    <x v="0"/>
    <n v="6"/>
    <n v="18"/>
    <n v="11"/>
    <n v="2484"/>
    <n v="14"/>
    <n v="2502"/>
    <n v="2470"/>
    <n v="-5.6680161943319842E-3"/>
    <s v="No Backlog"/>
    <n v="0.98721023181454837"/>
    <n v="6.9104716227018388"/>
    <n v="29.61630695443645"/>
    <b v="1"/>
    <n v="2"/>
    <n v="0.98213168595558331"/>
    <n v="0.98564917955476505"/>
    <b v="0"/>
    <n v="5.5955235811350921E-3"/>
  </r>
  <r>
    <x v="1"/>
    <n v="11"/>
    <n v="50"/>
    <n v="6"/>
    <n v="2472"/>
    <n v="16"/>
    <n v="2522"/>
    <n v="2456"/>
    <n v="6.1074918566775245E-3"/>
    <s v="Backlog"/>
    <n v="0.97383029341792227"/>
    <n v="6.8168120539254557"/>
    <n v="29.214908802537668"/>
    <b v="1"/>
    <n v="4"/>
    <n v="0.97427976764758928"/>
    <n v="0.97831211516451222"/>
    <s v="STRAIN"/>
    <n v="6.3441712926249009E-3"/>
  </r>
  <r>
    <x v="2"/>
    <n v="7"/>
    <n v="31"/>
    <n v="11"/>
    <n v="2481"/>
    <n v="10"/>
    <n v="2512"/>
    <n v="2471"/>
    <n v="-4.8563334682314848E-3"/>
    <s v="No Backlog"/>
    <n v="0.98367834394904463"/>
    <n v="6.8857484076433124"/>
    <n v="29.510350318471339"/>
    <b v="1"/>
    <n v="4"/>
    <n v="0.98415619583218505"/>
    <n v="0.9846552639285453"/>
    <b v="0"/>
    <n v="3.9808917197452229E-3"/>
  </r>
  <r>
    <x v="3"/>
    <n v="8"/>
    <n v="54"/>
    <n v="15"/>
    <n v="2468"/>
    <n v="9"/>
    <n v="2522"/>
    <n v="2459"/>
    <n v="1.6266775111834079E-3"/>
    <s v="Backlog"/>
    <n v="0.97501982553528943"/>
    <n v="6.8251387787470259"/>
    <n v="29.250594766058683"/>
    <b v="1"/>
    <n v="4"/>
    <n v="0.98122697802909586"/>
    <n v="0.98381077589958066"/>
    <s v="STRAIN"/>
    <n v="3.5685963521015066E-3"/>
  </r>
  <r>
    <x v="4"/>
    <n v="11"/>
    <n v="42"/>
    <n v="9"/>
    <n v="2470"/>
    <n v="7"/>
    <n v="2512"/>
    <n v="2463"/>
    <n v="-3.6540803897685747E-3"/>
    <s v="No Backlog"/>
    <n v="0.98049363057324845"/>
    <n v="6.8634554140127388"/>
    <n v="29.414808917197455"/>
    <b v="1"/>
    <n v="4"/>
    <n v="0.98290886176032988"/>
    <n v="0.98382327612375642"/>
    <b v="0"/>
    <n v="2.7866242038216559E-3"/>
  </r>
  <r>
    <x v="5"/>
    <n v="8"/>
    <n v="35"/>
    <n v="4"/>
    <n v="2462"/>
    <n v="8"/>
    <n v="2497"/>
    <n v="2454"/>
    <n v="-1.1002444987775062E-2"/>
    <s v="No Backlog"/>
    <n v="0.9827793352022427"/>
    <n v="6.8794553464156989"/>
    <n v="29.483380056067283"/>
    <b v="1"/>
    <n v="5"/>
    <n v="0.98080765701911077"/>
    <n v="0.9794160920437307"/>
    <b v="0"/>
    <n v="3.2038446135362435E-3"/>
  </r>
  <r>
    <x v="6"/>
    <n v="7"/>
    <n v="47"/>
    <n v="9"/>
    <n v="2437"/>
    <n v="10"/>
    <n v="2484"/>
    <n v="2427"/>
    <n v="1.2360939431396785E-3"/>
    <s v="Backlog"/>
    <n v="0.97705314009661837"/>
    <n v="6.8393719806763285"/>
    <n v="29.311594202898551"/>
    <b v="1"/>
    <n v="5"/>
    <n v="0.9805706336958"/>
    <n v="0.97753528012711466"/>
    <s v="STRAIN"/>
    <n v="4.0257648953301124E-3"/>
  </r>
  <r>
    <x v="7"/>
    <n v="10"/>
    <n v="54"/>
    <n v="5"/>
    <n v="2439"/>
    <n v="9"/>
    <n v="2493"/>
    <n v="2430"/>
    <n v="2.05761316872428E-3"/>
    <s v="Backlog"/>
    <n v="0.97472924187725629"/>
    <n v="6.8231046931407944"/>
    <n v="29.241877256317689"/>
    <b v="1"/>
    <n v="5"/>
    <n v="0.97876158939417923"/>
    <n v="0.97765788818356825"/>
    <s v="STRAIN"/>
    <n v="3.6101083032490976E-3"/>
  </r>
  <r>
    <x v="8"/>
    <n v="4"/>
    <n v="30"/>
    <n v="7"/>
    <n v="2443"/>
    <n v="8"/>
    <n v="2473"/>
    <n v="2435"/>
    <n v="4.1067761806981519E-4"/>
    <s v="Backlog"/>
    <n v="0.98463404771532548"/>
    <n v="6.8924383340072781"/>
    <n v="29.539021431459766"/>
    <b v="1"/>
    <n v="5"/>
    <n v="0.98513311581168572"/>
    <n v="0.97854981484639869"/>
    <s v="STRAIN"/>
    <n v="3.234937323089365E-3"/>
  </r>
  <r>
    <x v="9"/>
    <n v="9"/>
    <n v="27"/>
    <n v="9"/>
    <n v="2440"/>
    <n v="4"/>
    <n v="2467"/>
    <n v="2436"/>
    <n v="-7.7996715927750411E-3"/>
    <s v="No Backlog"/>
    <n v="0.9874341305229023"/>
    <n v="6.9120389136603162"/>
    <n v="29.623023915687067"/>
    <b v="1"/>
    <n v="5"/>
    <n v="0.99001792839338698"/>
    <n v="0.9848637768972015"/>
    <b v="0"/>
    <n v="1.6214025131738954E-3"/>
  </r>
  <r>
    <x v="10"/>
    <n v="4"/>
    <n v="24"/>
    <n v="13"/>
    <n v="2429"/>
    <n v="12"/>
    <n v="2453"/>
    <n v="2417"/>
    <n v="-4.9648324369052548E-3"/>
    <s v="No Backlog"/>
    <n v="0.9853240929474113"/>
    <n v="6.8972686506318794"/>
    <n v="29.559722788422338"/>
    <b v="1"/>
    <n v="6"/>
    <n v="0.98623850731083784"/>
    <n v="0.98217106871457849"/>
    <b v="0"/>
    <n v="4.8919690175295554E-3"/>
  </r>
  <r>
    <x v="11"/>
    <n v="16"/>
    <n v="39"/>
    <n v="7"/>
    <n v="2418"/>
    <n v="13"/>
    <n v="2457"/>
    <n v="2405"/>
    <n v="2.9106029106029108E-3"/>
    <s v="Backlog"/>
    <n v="0.97883597883597884"/>
    <n v="6.8518518518518521"/>
    <n v="29.365079365079364"/>
    <b v="1"/>
    <n v="6"/>
    <n v="0.97744441386059888"/>
    <n v="0.98037677831622316"/>
    <s v="STRAIN"/>
    <n v="5.2910052910052907E-3"/>
  </r>
  <r>
    <x v="12"/>
    <n v="4"/>
    <n v="32"/>
    <n v="8"/>
    <n v="2419"/>
    <n v="7"/>
    <n v="2451"/>
    <n v="2412"/>
    <n v="-5.3897180762852402E-3"/>
    <s v="No Backlog"/>
    <n v="0.98408812729498163"/>
    <n v="6.8886168910648715"/>
    <n v="29.522643818849449"/>
    <b v="1"/>
    <n v="6"/>
    <n v="0.98105277372629629"/>
    <n v="0.98632856830456106"/>
    <b v="0"/>
    <n v="2.8559771521827824E-3"/>
  </r>
  <r>
    <x v="13"/>
    <n v="7"/>
    <n v="34"/>
    <n v="6"/>
    <n v="2407"/>
    <n v="8"/>
    <n v="2441"/>
    <n v="2399"/>
    <n v="8.3368070029178826E-4"/>
    <s v="Backlog"/>
    <n v="0.98279393691110206"/>
    <n v="6.879557558377714"/>
    <n v="29.483818107333061"/>
    <b v="1"/>
    <n v="6"/>
    <n v="0.98169023570049108"/>
    <n v="0.98478151817812898"/>
    <s v="STRAIN"/>
    <n v="3.2773453502662844E-3"/>
  </r>
  <r>
    <x v="14"/>
    <n v="4"/>
    <n v="26"/>
    <n v="4"/>
    <n v="2410"/>
    <n v="9"/>
    <n v="2436"/>
    <n v="2401"/>
    <n v="5.8309037900874635E-3"/>
    <s v="Backlog"/>
    <n v="0.98563218390804597"/>
    <n v="6.8994252873563218"/>
    <n v="29.568965517241381"/>
    <b v="1"/>
    <n v="6"/>
    <n v="0.97904888294275882"/>
    <n v="0.98111396429444853"/>
    <s v="STRAIN"/>
    <n v="3.6945812807881772E-3"/>
  </r>
  <r>
    <x v="15"/>
    <n v="4"/>
    <n v="18"/>
    <n v="10"/>
    <n v="2415"/>
    <n v="0"/>
    <n v="2433"/>
    <n v="2415"/>
    <n v="-1.3664596273291925E-2"/>
    <s v="No Backlog"/>
    <n v="0.99260172626387178"/>
    <n v="6.9482120838471024"/>
    <n v="29.778051787916155"/>
    <b v="1"/>
    <n v="7"/>
    <n v="0.9874475747676863"/>
    <n v="0.98494209759400198"/>
    <b v="0"/>
    <n v="0"/>
  </r>
  <r>
    <x v="16"/>
    <n v="4"/>
    <n v="24"/>
    <n v="8"/>
    <n v="2389"/>
    <n v="7"/>
    <n v="2413"/>
    <n v="2382"/>
    <n v="-7.556675062972292E-3"/>
    <s v="No Backlog"/>
    <n v="0.98715292167426438"/>
    <n v="6.910070451719851"/>
    <n v="29.614587650227932"/>
    <b v="1"/>
    <n v="7"/>
    <n v="0.98308548307800503"/>
    <n v="0.98562631042888116"/>
    <b v="0"/>
    <n v="2.9009531703273932E-3"/>
  </r>
  <r>
    <x v="17"/>
    <n v="6"/>
    <n v="47"/>
    <n v="14"/>
    <n v="2375"/>
    <n v="11"/>
    <n v="2422"/>
    <n v="2364"/>
    <n v="-2.5380710659898475E-3"/>
    <s v="No Backlog"/>
    <n v="0.97605284888521882"/>
    <n v="6.8323699421965314"/>
    <n v="29.281585466556564"/>
    <b v="1"/>
    <n v="7"/>
    <n v="0.97898521334084321"/>
    <n v="0.97670731255754195"/>
    <b v="0"/>
    <n v="4.5417010734929812E-3"/>
  </r>
  <r>
    <x v="18"/>
    <n v="9"/>
    <n v="40"/>
    <n v="9"/>
    <n v="2371"/>
    <n v="13"/>
    <n v="2411"/>
    <n v="2358"/>
    <n v="6.7854113655640372E-3"/>
    <s v="Backlog"/>
    <n v="0.97801742015761095"/>
    <n v="6.8461219411032763"/>
    <n v="29.340522604728328"/>
    <b v="1"/>
    <n v="7"/>
    <n v="0.98329321473587572"/>
    <n v="0.97863257518905189"/>
    <s v="STRAIN"/>
    <n v="5.3919535462463707E-3"/>
  </r>
  <r>
    <x v="19"/>
    <n v="3"/>
    <n v="46"/>
    <n v="22"/>
    <n v="2375"/>
    <n v="1"/>
    <n v="2421"/>
    <n v="2374"/>
    <n v="-1.8112889637742206E-2"/>
    <s v="No Backlog"/>
    <n v="0.9805865344898802"/>
    <n v="6.8641057414291611"/>
    <n v="29.417596034696405"/>
    <b v="1"/>
    <n v="7"/>
    <n v="0.98367781696751799"/>
    <n v="0.98139183433134913"/>
    <b v="0"/>
    <n v="4.1305245766212311E-4"/>
  </r>
  <r>
    <x v="20"/>
    <n v="18"/>
    <n v="57"/>
    <n v="8"/>
    <n v="2340"/>
    <n v="9"/>
    <n v="2397"/>
    <n v="2331"/>
    <n v="-4.29000429000429E-4"/>
    <s v="No Backlog"/>
    <n v="0.97246558197747179"/>
    <n v="6.8072590738423022"/>
    <n v="29.173967459324153"/>
    <b v="1"/>
    <n v="8"/>
    <n v="0.9745306633291615"/>
    <n v="0.97752578184637628"/>
    <b v="0"/>
    <n v="3.7546933667083854E-3"/>
  </r>
  <r>
    <x v="21"/>
    <n v="7"/>
    <n v="32"/>
    <n v="3"/>
    <n v="2340"/>
    <n v="10"/>
    <n v="2372"/>
    <n v="2330"/>
    <n v="1.2875536480686696E-3"/>
    <s v="Backlog"/>
    <n v="0.98229342327150082"/>
    <n v="6.8760539629005057"/>
    <n v="29.468802698145026"/>
    <b v="1"/>
    <n v="8"/>
    <n v="0.9797879460978165"/>
    <n v="0.98505445750172083"/>
    <s v="STRAIN"/>
    <n v="4.2158516020236085E-3"/>
  </r>
  <r>
    <x v="22"/>
    <n v="2"/>
    <n v="38"/>
    <n v="8"/>
    <n v="2345"/>
    <n v="12"/>
    <n v="2383"/>
    <n v="2333"/>
    <n v="8.5726532361765965E-4"/>
    <s v="Backlog"/>
    <n v="0.97901804448174568"/>
    <n v="6.8531263113722201"/>
    <n v="29.370541334452369"/>
    <b v="1"/>
    <n v="8"/>
    <n v="0.9815588718326218"/>
    <n v="0.98321561946309499"/>
    <s v="STRAIN"/>
    <n v="5.035669324381032E-3"/>
  </r>
  <r>
    <x v="23"/>
    <n v="1"/>
    <n v="35"/>
    <n v="6"/>
    <n v="2343"/>
    <n v="8"/>
    <n v="2378"/>
    <n v="2335"/>
    <n v="0"/>
    <s v="No Backlog"/>
    <n v="0.9819175777964676"/>
    <n v="6.8734230445752731"/>
    <n v="29.457527333894028"/>
    <b v="1"/>
    <n v="8"/>
    <n v="0.97963967701316634"/>
    <n v="0.98184815983098872"/>
    <b v="0"/>
    <n v="3.3641715727502101E-3"/>
  </r>
  <r>
    <x v="24"/>
    <n v="5"/>
    <n v="22"/>
    <n v="3"/>
    <n v="2340"/>
    <n v="5"/>
    <n v="2362"/>
    <n v="2335"/>
    <n v="-9.8501070663811561E-3"/>
    <s v="No Backlog"/>
    <n v="0.9885690093141406"/>
    <n v="6.9199830651989842"/>
    <n v="29.657070279424218"/>
    <b v="1"/>
    <n v="9"/>
    <n v="0.98390836976731677"/>
    <n v="0.9882186467714551"/>
    <b v="0"/>
    <n v="2.1168501270110076E-3"/>
  </r>
  <r>
    <x v="25"/>
    <n v="6"/>
    <n v="26"/>
    <n v="16"/>
    <n v="2317"/>
    <n v="5"/>
    <n v="2343"/>
    <n v="2312"/>
    <n v="-7.3529411764705881E-3"/>
    <s v="No Backlog"/>
    <n v="0.98676909944515578"/>
    <n v="6.9073836961160904"/>
    <n v="29.603072983354675"/>
    <b v="1"/>
    <n v="9"/>
    <n v="0.98448311680898692"/>
    <n v="0.9843054316940435"/>
    <b v="0"/>
    <n v="2.134016218523261E-3"/>
  </r>
  <r>
    <x v="26"/>
    <n v="14"/>
    <n v="48"/>
    <n v="20"/>
    <n v="2302"/>
    <n v="7"/>
    <n v="2350"/>
    <n v="2295"/>
    <n v="-6.5359477124183009E-3"/>
    <s v="No Backlog"/>
    <n v="0.97659574468085109"/>
    <n v="6.8361702127659578"/>
    <n v="29.297872340425531"/>
    <b v="1"/>
    <n v="9"/>
    <n v="0.97959086319806588"/>
    <n v="0.97856182733826191"/>
    <b v="0"/>
    <n v="2.9787234042553193E-3"/>
  </r>
  <r>
    <x v="27"/>
    <n v="11"/>
    <n v="39"/>
    <n v="12"/>
    <n v="2294"/>
    <n v="14"/>
    <n v="2333"/>
    <n v="2280"/>
    <n v="4.3859649122807015E-3"/>
    <s v="Backlog"/>
    <n v="0.97728246892413206"/>
    <n v="6.8409772824689243"/>
    <n v="29.318474067723962"/>
    <b v="1"/>
    <n v="9"/>
    <n v="0.9825489803280365"/>
    <n v="0.97882876171893474"/>
    <s v="STRAIN"/>
    <n v="6.0008572653236173E-3"/>
  </r>
  <r>
    <x v="28"/>
    <n v="11"/>
    <n v="33"/>
    <n v="5"/>
    <n v="2294"/>
    <n v="4"/>
    <n v="2327"/>
    <n v="2290"/>
    <n v="-1.9650655021834062E-2"/>
    <s v="No Backlog"/>
    <n v="0.98409969918349804"/>
    <n v="6.8886978942844861"/>
    <n v="29.522990975504943"/>
    <b v="1"/>
    <n v="9"/>
    <n v="0.98575644681397123"/>
    <n v="0.98032601112019013"/>
    <b v="0"/>
    <n v="1.7189514396218307E-3"/>
  </r>
  <r>
    <x v="29"/>
    <n v="6"/>
    <n v="33"/>
    <n v="9"/>
    <n v="2264"/>
    <n v="19"/>
    <n v="2297"/>
    <n v="2245"/>
    <n v="8.9086859688195987E-3"/>
    <s v="Backlog"/>
    <n v="0.97736177622986509"/>
    <n v="6.8415324336090553"/>
    <n v="29.320853286895954"/>
    <b v="1"/>
    <n v="10"/>
    <n v="0.97957025904768735"/>
    <n v="0.97820053876995439"/>
    <s v="STRAIN"/>
    <n v="8.2716586852416198E-3"/>
  </r>
  <r>
    <x v="30"/>
    <n v="8"/>
    <n v="41"/>
    <n v="8"/>
    <n v="2272"/>
    <n v="7"/>
    <n v="2313"/>
    <n v="2265"/>
    <n v="-1.3245033112582781E-3"/>
    <s v="No Backlog"/>
    <n v="0.97924773022049283"/>
    <n v="6.8547341115434497"/>
    <n v="29.377431906614785"/>
    <b v="1"/>
    <n v="10"/>
    <n v="0.98355800722463116"/>
    <n v="0.97954498693320868"/>
    <b v="0"/>
    <n v="3.0263726761781237E-3"/>
  </r>
  <r>
    <x v="31"/>
    <n v="6"/>
    <n v="33"/>
    <n v="6"/>
    <n v="2270"/>
    <n v="8"/>
    <n v="2303"/>
    <n v="2262"/>
    <n v="-2.2104332449160036E-3"/>
    <s v="No Backlog"/>
    <n v="0.98219713417281806"/>
    <n v="6.8753799392097266"/>
    <n v="29.465914025184542"/>
    <b v="1"/>
    <n v="10"/>
    <n v="0.98201944905787464"/>
    <n v="0.98207170667249444"/>
    <b v="0"/>
    <n v="3.4737299174989146E-3"/>
  </r>
  <r>
    <x v="32"/>
    <n v="3"/>
    <n v="28"/>
    <n v="5"/>
    <n v="2269"/>
    <n v="12"/>
    <n v="2297"/>
    <n v="2257"/>
    <n v="5.7598582188746125E-3"/>
    <s v="Backlog"/>
    <n v="0.98258598171528078"/>
    <n v="6.8781018720069653"/>
    <n v="29.477579451458425"/>
    <b v="1"/>
    <n v="11"/>
    <n v="0.98155694585547681"/>
    <n v="0.9820255592601117"/>
    <s v="STRAIN"/>
    <n v="5.2242054854157597E-3"/>
  </r>
  <r>
    <x v="33"/>
    <n v="5"/>
    <n v="21"/>
    <n v="10"/>
    <n v="2277"/>
    <n v="7"/>
    <n v="2298"/>
    <n v="2270"/>
    <n v="2.2026431718061676E-3"/>
    <s v="Backlog"/>
    <n v="0.98781549173194083"/>
    <n v="6.9147084421235858"/>
    <n v="29.634464751958227"/>
    <b v="1"/>
    <n v="11"/>
    <n v="0.98409527312283918"/>
    <n v="0.9841473199564762"/>
    <s v="STRAIN"/>
    <n v="3.0461270670147957E-3"/>
  </r>
  <r>
    <x v="34"/>
    <n v="3"/>
    <n v="17"/>
    <n v="14"/>
    <n v="2287"/>
    <n v="12"/>
    <n v="2304"/>
    <n v="2275"/>
    <n v="-5.2747252747252747E-3"/>
    <s v="No Backlog"/>
    <n v="0.98741319444444442"/>
    <n v="6.9118923611111107"/>
    <n v="29.622395833333332"/>
    <b v="1"/>
    <n v="11"/>
    <n v="0.98198275875066332"/>
    <n v="0.98531807625091972"/>
    <b v="0"/>
    <n v="5.208333333333333E-3"/>
  </r>
  <r>
    <x v="35"/>
    <n v="6"/>
    <n v="25"/>
    <n v="4"/>
    <n v="2280"/>
    <n v="17"/>
    <n v="2305"/>
    <n v="2263"/>
    <n v="7.5121520106053909E-3"/>
    <s v="Backlog"/>
    <n v="0.98177874186550973"/>
    <n v="6.8724511930585681"/>
    <n v="29.453362255965292"/>
    <b v="1"/>
    <n v="11"/>
    <n v="0.98040902158777676"/>
    <n v="0.98421380350952381"/>
    <s v="STRAIN"/>
    <n v="7.37527114967462E-3"/>
  </r>
  <r>
    <x v="36"/>
    <n v="6"/>
    <n v="22"/>
    <n v="11"/>
    <n v="2286"/>
    <n v="6"/>
    <n v="2308"/>
    <n v="2280"/>
    <n v="-3.9473684210526317E-3"/>
    <s v="No Backlog"/>
    <n v="0.98786828422876949"/>
    <n v="6.9150779896013868"/>
    <n v="29.636048526863085"/>
    <b v="1"/>
    <n v="12"/>
    <n v="0.98385526393734701"/>
    <n v="0.97902537486916885"/>
    <b v="0"/>
    <n v="2.5996533795493936E-3"/>
  </r>
  <r>
    <x v="37"/>
    <n v="2"/>
    <n v="31"/>
    <n v="8"/>
    <n v="2282"/>
    <n v="11"/>
    <n v="2313"/>
    <n v="2271"/>
    <n v="-2.2016732716864818E-3"/>
    <s v="No Backlog"/>
    <n v="0.98184176394293121"/>
    <n v="6.8728923476005184"/>
    <n v="29.455252918287936"/>
    <b v="1"/>
    <n v="12"/>
    <n v="0.98189402155755101"/>
    <n v="0.97619531302902918"/>
    <b v="0"/>
    <n v="4.755728491137051E-3"/>
  </r>
  <r>
    <x v="38"/>
    <n v="4"/>
    <n v="35"/>
    <n v="12"/>
    <n v="2276"/>
    <n v="10"/>
    <n v="2311"/>
    <n v="2266"/>
    <n v="-7.9435127978817292E-3"/>
    <s v="No Backlog"/>
    <n v="0.98052790999567285"/>
    <n v="6.8636953699697099"/>
    <n v="29.415837299870187"/>
    <b v="1"/>
    <n v="12"/>
    <n v="0.98099652340030774"/>
    <n v="0.97795419671672623"/>
    <b v="0"/>
    <n v="4.3271311120726954E-3"/>
  </r>
  <r>
    <x v="39"/>
    <n v="4"/>
    <n v="27"/>
    <n v="26"/>
    <n v="2266"/>
    <n v="18"/>
    <n v="2293"/>
    <n v="2248"/>
    <n v="4.4483985765124553E-4"/>
    <s v="Backlog"/>
    <n v="0.98037505451373741"/>
    <n v="6.8626253815961622"/>
    <n v="29.411251635412121"/>
    <b v="1"/>
    <n v="12"/>
    <n v="0.98042710134737443"/>
    <n v="0.98050284257218401"/>
    <s v="STRAIN"/>
    <n v="7.849978194505015E-3"/>
  </r>
  <r>
    <x v="40"/>
    <n v="12"/>
    <n v="42"/>
    <n v="13"/>
    <n v="2261"/>
    <n v="12"/>
    <n v="2303"/>
    <n v="2249"/>
    <n v="-3.1124944419742106E-3"/>
    <s v="No Backlog"/>
    <n v="0.97655232305688233"/>
    <n v="6.8358662613981762"/>
    <n v="29.29656969170647"/>
    <b v="1"/>
    <n v="12"/>
    <n v="0.97988764055713873"/>
    <n v="0.97831239341249909"/>
    <b v="0"/>
    <n v="5.2105948762483714E-3"/>
  </r>
  <r>
    <x v="41"/>
    <n v="13"/>
    <n v="39"/>
    <n v="17"/>
    <n v="2251"/>
    <n v="9"/>
    <n v="2290"/>
    <n v="2242"/>
    <n v="-2.6761819803746653E-3"/>
    <s v="No Backlog"/>
    <n v="0.97903930131004369"/>
    <n v="6.8532751091703057"/>
    <n v="29.37117903930131"/>
    <b v="1"/>
    <n v="13"/>
    <n v="0.98284408323179084"/>
    <n v="0.97439549715615059"/>
    <b v="0"/>
    <n v="3.9301310043668124E-3"/>
  </r>
  <r>
    <x v="42"/>
    <n v="10"/>
    <n v="39"/>
    <n v="6"/>
    <n v="2243"/>
    <n v="7"/>
    <n v="2282"/>
    <n v="2236"/>
    <n v="-2.6833631484794273E-3"/>
    <s v="No Backlog"/>
    <n v="0.97984224364592465"/>
    <n v="6.8588957055214728"/>
    <n v="29.39526730937774"/>
    <b v="1"/>
    <n v="13"/>
    <n v="0.97501235457774649"/>
    <n v="0.97921984677742491"/>
    <b v="0"/>
    <n v="3.0674846625766872E-3"/>
  </r>
  <r>
    <x v="43"/>
    <n v="9"/>
    <n v="34"/>
    <n v="17"/>
    <n v="2237"/>
    <n v="7"/>
    <n v="2271"/>
    <n v="2230"/>
    <n v="-2.6905829596412557E-3"/>
    <s v="No Backlog"/>
    <n v="0.98194627917217081"/>
    <n v="6.873623954205196"/>
    <n v="29.458388375165125"/>
    <b v="1"/>
    <n v="13"/>
    <n v="0.97624757064364898"/>
    <n v="0.98207309394482567"/>
    <b v="0"/>
    <n v="3.0823425803610744E-3"/>
  </r>
  <r>
    <x v="44"/>
    <n v="9"/>
    <n v="33"/>
    <n v="15"/>
    <n v="2233"/>
    <n v="9"/>
    <n v="2266"/>
    <n v="2224"/>
    <n v="-6.2949640287769783E-3"/>
    <s v="No Backlog"/>
    <n v="0.98146513680494263"/>
    <n v="6.8702559576345985"/>
    <n v="29.443954104148279"/>
    <b v="1"/>
    <n v="13"/>
    <n v="0.97842281012136123"/>
    <n v="0.97973852351012136"/>
    <b v="0"/>
    <n v="3.9717563989408646E-3"/>
  </r>
  <r>
    <x v="45"/>
    <n v="8"/>
    <n v="29"/>
    <n v="10"/>
    <n v="2225"/>
    <n v="15"/>
    <n v="2254"/>
    <n v="2210"/>
    <n v="7.6923076923076927E-3"/>
    <s v="Backlog"/>
    <n v="0.98047914818101156"/>
    <n v="6.8633540372670812"/>
    <n v="29.414374445430347"/>
    <b v="1"/>
    <n v="13"/>
    <n v="0.98055488940582114"/>
    <n v="0.98150394190659773"/>
    <s v="STRAIN"/>
    <n v="6.6548358473824312E-3"/>
  </r>
  <r>
    <x v="46"/>
    <n v="7"/>
    <n v="30"/>
    <n v="16"/>
    <n v="2235"/>
    <n v="8"/>
    <n v="2265"/>
    <n v="2227"/>
    <n v="-4.4903457566232603E-3"/>
    <s v="No Backlog"/>
    <n v="0.98322295805739512"/>
    <n v="6.8825607064017662"/>
    <n v="29.496688741721854"/>
    <b v="1"/>
    <n v="14"/>
    <n v="0.98164771091275549"/>
    <n v="0.97938259116529192"/>
    <b v="0"/>
    <n v="3.5320088300220751E-3"/>
  </r>
  <r>
    <x v="47"/>
    <n v="8"/>
    <n v="24"/>
    <n v="7"/>
    <n v="2223"/>
    <n v="6"/>
    <n v="2247"/>
    <n v="2217"/>
    <n v="-1.6689219666215605E-2"/>
    <s v="No Backlog"/>
    <n v="0.986648865153538"/>
    <n v="6.9065420560747661"/>
    <n v="29.599465954606138"/>
    <b v="1"/>
    <n v="14"/>
    <n v="0.97820027907789764"/>
    <n v="0.98068656492971018"/>
    <b v="0"/>
    <n v="2.6702269692923898E-3"/>
  </r>
  <r>
    <x v="48"/>
    <n v="11"/>
    <n v="55"/>
    <n v="13"/>
    <n v="2192"/>
    <n v="12"/>
    <n v="2247"/>
    <n v="2180"/>
    <n v="-2.2935779816513763E-3"/>
    <s v="No Backlog"/>
    <n v="0.97018246550956833"/>
    <n v="6.7912772585669785"/>
    <n v="29.10547396528705"/>
    <b v="1"/>
    <n v="14"/>
    <n v="0.97438995770924675"/>
    <n v="0.97339934829811292"/>
    <b v="0"/>
    <n v="5.3404539385847796E-3"/>
  </r>
  <r>
    <x v="49"/>
    <n v="8"/>
    <n v="49"/>
    <n v="15"/>
    <n v="2192"/>
    <n v="17"/>
    <n v="2241"/>
    <n v="2175"/>
    <n v="1.8390804597701149E-3"/>
    <s v="Backlog"/>
    <n v="0.97054886211512714"/>
    <n v="6.7938420348058903"/>
    <n v="29.116465863453815"/>
    <b v="1"/>
    <n v="14"/>
    <n v="0.97637438541630384"/>
    <n v="0.97381179923729766"/>
    <s v="STRAIN"/>
    <n v="7.5858991521642128E-3"/>
  </r>
  <r>
    <x v="50"/>
    <n v="11"/>
    <n v="45"/>
    <n v="4"/>
    <n v="2189"/>
    <n v="10"/>
    <n v="2234"/>
    <n v="2179"/>
    <n v="-9.1785222579164757E-4"/>
    <s v="No Backlog"/>
    <n v="0.97538048343777972"/>
    <n v="6.8276633840644578"/>
    <n v="29.261414503133391"/>
    <b v="1"/>
    <n v="14"/>
    <n v="0.97669619682653996"/>
    <n v="0.97846940262253201"/>
    <b v="0"/>
    <n v="4.4762757385854966E-3"/>
  </r>
  <r>
    <x v="51"/>
    <n v="5"/>
    <n v="33"/>
    <n v="15"/>
    <n v="2187"/>
    <n v="10"/>
    <n v="2220"/>
    <n v="2177"/>
    <n v="-5.9715204409738175E-3"/>
    <s v="No Backlog"/>
    <n v="0.98063063063063061"/>
    <n v="6.8644144144144139"/>
    <n v="29.418918918918919"/>
    <b v="1"/>
    <n v="15"/>
    <n v="0.9815796831314072"/>
    <n v="0.97495218682369522"/>
    <b v="0"/>
    <n v="4.5045045045045045E-3"/>
  </r>
  <r>
    <x v="52"/>
    <n v="8"/>
    <n v="28"/>
    <n v="13"/>
    <n v="2180"/>
    <n v="16"/>
    <n v="2208"/>
    <n v="2164"/>
    <n v="-7.3937153419593345E-3"/>
    <s v="No Backlog"/>
    <n v="0.98007246376811596"/>
    <n v="6.8605072463768115"/>
    <n v="29.40217391304348"/>
    <b v="1"/>
    <n v="15"/>
    <n v="0.97780734402065228"/>
    <n v="0.97808684106868782"/>
    <b v="0"/>
    <n v="7.246376811594203E-3"/>
  </r>
  <r>
    <x v="53"/>
    <n v="20"/>
    <n v="51"/>
    <n v="15"/>
    <n v="2164"/>
    <n v="16"/>
    <n v="2215"/>
    <n v="2148"/>
    <n v="4.6554934823091247E-4"/>
    <s v="Backlog"/>
    <n v="0.96975169300225739"/>
    <n v="6.7882618510158022"/>
    <n v="29.092550790067722"/>
    <b v="1"/>
    <n v="15"/>
    <n v="0.97223797885406982"/>
    <n v="0.9754552153188395"/>
    <s v="STRAIN"/>
    <n v="7.2234762979683969E-3"/>
  </r>
  <r>
    <x v="54"/>
    <n v="4"/>
    <n v="33"/>
    <n v="12"/>
    <n v="2163"/>
    <n v="14"/>
    <n v="2196"/>
    <n v="2149"/>
    <n v="1.3959981386691485E-3"/>
    <s v="Backlog"/>
    <n v="0.97859744990892528"/>
    <n v="6.8501821493624773"/>
    <n v="29.357923497267759"/>
    <b v="1"/>
    <n v="15"/>
    <n v="0.97760684049779134"/>
    <n v="0.97593726222591126"/>
    <s v="STRAIN"/>
    <n v="6.375227686703097E-3"/>
  </r>
  <r>
    <x v="55"/>
    <n v="8"/>
    <n v="32"/>
    <n v="12"/>
    <n v="2159"/>
    <n v="7"/>
    <n v="2191"/>
    <n v="2152"/>
    <n v="-7.8996282527881035E-3"/>
    <s v="No Backlog"/>
    <n v="0.98219990871748064"/>
    <n v="6.8753993610223647"/>
    <n v="29.465997261524418"/>
    <b v="1"/>
    <n v="15"/>
    <n v="0.97963732253847446"/>
    <n v="0.98073237660190715"/>
    <b v="0"/>
    <n v="3.1948881789137379E-3"/>
  </r>
  <r>
    <x v="56"/>
    <n v="8"/>
    <n v="35"/>
    <n v="12"/>
    <n v="2148"/>
    <n v="13"/>
    <n v="2183"/>
    <n v="2135"/>
    <n v="9.3676814988290398E-4"/>
    <s v="Backlog"/>
    <n v="0.9780119102153001"/>
    <n v="6.8460833715071008"/>
    <n v="29.340357306459001"/>
    <b v="1"/>
    <n v="16"/>
    <n v="0.97978511601129226"/>
    <n v="0.97845439635465237"/>
    <s v="STRAIN"/>
    <n v="5.9551076500229038E-3"/>
  </r>
  <r>
    <x v="57"/>
    <n v="11"/>
    <n v="29"/>
    <n v="12"/>
    <n v="2146"/>
    <n v="9"/>
    <n v="2175"/>
    <n v="2137"/>
    <n v="-1.0762751520823585E-2"/>
    <s v="No Backlog"/>
    <n v="0.9825287356321839"/>
    <n v="6.8777011494252873"/>
    <n v="29.475862068965519"/>
    <b v="1"/>
    <n v="16"/>
    <n v="0.97590123932447181"/>
    <n v="0.97557903963076376"/>
    <b v="0"/>
    <n v="4.1379310344827587E-3"/>
  </r>
  <r>
    <x v="58"/>
    <n v="6"/>
    <n v="35"/>
    <n v="12"/>
    <n v="2132"/>
    <n v="18"/>
    <n v="2167"/>
    <n v="2114"/>
    <n v="3.3112582781456954E-3"/>
    <s v="Backlog"/>
    <n v="0.97554222427318871"/>
    <n v="6.8287955699123213"/>
    <n v="29.26626672819566"/>
    <b v="1"/>
    <n v="16"/>
    <n v="0.97582172132122413"/>
    <n v="0.9742117901026961"/>
    <s v="STRAIN"/>
    <n v="8.3064143977849558E-3"/>
  </r>
  <r>
    <x v="59"/>
    <n v="3"/>
    <n v="38"/>
    <n v="12"/>
    <n v="2138"/>
    <n v="17"/>
    <n v="2176"/>
    <n v="2121"/>
    <n v="4.2432814710042432E-3"/>
    <s v="Backlog"/>
    <n v="0.97472426470588236"/>
    <n v="6.8230698529411766"/>
    <n v="29.241727941176471"/>
    <b v="1"/>
    <n v="16"/>
    <n v="0.97794150117065204"/>
    <n v="0.97980115674318502"/>
    <s v="STRAIN"/>
    <n v="7.8125E-3"/>
  </r>
  <r>
    <x v="60"/>
    <n v="11"/>
    <n v="36"/>
    <n v="10"/>
    <n v="2145"/>
    <n v="15"/>
    <n v="2181"/>
    <n v="2130"/>
    <n v="4.6948356807511736E-4"/>
    <s v="Backlog"/>
    <n v="0.97661623108665752"/>
    <n v="6.8363136176066028"/>
    <n v="29.298486932599726"/>
    <b v="1"/>
    <n v="16"/>
    <n v="0.97494665281477744"/>
    <n v="0.9819511473281699"/>
    <s v="STRAIN"/>
    <n v="6.8775790921595595E-3"/>
  </r>
  <r>
    <x v="61"/>
    <n v="17"/>
    <n v="40"/>
    <n v="14"/>
    <n v="2141"/>
    <n v="10"/>
    <n v="2181"/>
    <n v="2131"/>
    <n v="-9.3852651337400278E-4"/>
    <s v="No Backlog"/>
    <n v="0.97707473635946818"/>
    <n v="6.8395231545162769"/>
    <n v="29.312242090784046"/>
    <b v="1"/>
    <n v="17"/>
    <n v="0.97816979042290098"/>
    <n v="0.97539868204834723"/>
    <b v="0"/>
    <n v="4.585052728106373E-3"/>
  </r>
  <r>
    <x v="62"/>
    <n v="8"/>
    <n v="35"/>
    <n v="13"/>
    <n v="2134"/>
    <n v="5"/>
    <n v="2169"/>
    <n v="2129"/>
    <n v="-2.2076092062000941E-2"/>
    <s v="No Backlog"/>
    <n v="0.98155832180728442"/>
    <n v="6.8709082526509908"/>
    <n v="29.446749654218532"/>
    <b v="1"/>
    <n v="17"/>
    <n v="0.98022760215064464"/>
    <n v="0.98125767652864226"/>
    <b v="0"/>
    <n v="2.3052097740894422E-3"/>
  </r>
  <r>
    <x v="63"/>
    <n v="20"/>
    <n v="52"/>
    <n v="11"/>
    <n v="2096"/>
    <n v="14"/>
    <n v="2148"/>
    <n v="2082"/>
    <n v="4.8030739673390969E-4"/>
    <s v="Backlog"/>
    <n v="0.96927374301675973"/>
    <n v="6.7849162011173183"/>
    <n v="29.07821229050279"/>
    <b v="1"/>
    <n v="17"/>
    <n v="0.96895154332305167"/>
    <n v="0.97393127540132385"/>
    <s v="STRAIN"/>
    <n v="6.5176908752327747E-3"/>
  </r>
  <r>
    <x v="64"/>
    <n v="7"/>
    <n v="38"/>
    <n v="5"/>
    <n v="2096"/>
    <n v="13"/>
    <n v="2134"/>
    <n v="2083"/>
    <n v="0"/>
    <s v="No Backlog"/>
    <n v="0.97610121836925956"/>
    <n v="6.832708528584817"/>
    <n v="29.283036551077785"/>
    <b v="1"/>
    <n v="17"/>
    <n v="0.97449128715073141"/>
    <n v="0.97971318888055914"/>
    <b v="0"/>
    <n v="6.0918462980318654E-3"/>
  </r>
  <r>
    <x v="65"/>
    <n v="7"/>
    <n v="28"/>
    <n v="17"/>
    <n v="2095"/>
    <n v="12"/>
    <n v="2123"/>
    <n v="2083"/>
    <n v="-3.3605376860297649E-3"/>
    <s v="No Backlog"/>
    <n v="0.98115873763542161"/>
    <n v="6.868111163447951"/>
    <n v="29.434762129062648"/>
    <b v="1"/>
    <n v="17"/>
    <n v="0.9830183932079547"/>
    <n v="0.9781847233045724"/>
    <b v="0"/>
    <n v="5.6523787093735282E-3"/>
  </r>
  <r>
    <x v="66"/>
    <n v="9"/>
    <n v="47"/>
    <n v="10"/>
    <n v="2086"/>
    <n v="10"/>
    <n v="2133"/>
    <n v="2076"/>
    <n v="9.6339113680154141E-4"/>
    <s v="Backlog"/>
    <n v="0.97327707454289736"/>
    <n v="6.8129395218002813"/>
    <n v="29.19831223628692"/>
    <b v="1"/>
    <n v="18"/>
    <n v="0.98028156905628983"/>
    <n v="0.97717167130234062"/>
    <s v="STRAIN"/>
    <n v="4.6882325363338025E-3"/>
  </r>
  <r>
    <x v="67"/>
    <n v="7"/>
    <n v="39"/>
    <n v="13"/>
    <n v="2083"/>
    <n v="5"/>
    <n v="2122"/>
    <n v="2078"/>
    <n v="-1.7805582290664101E-2"/>
    <s v="No Backlog"/>
    <n v="0.97926484448633366"/>
    <n v="6.8548539114043354"/>
    <n v="29.377945334590009"/>
    <b v="1"/>
    <n v="18"/>
    <n v="0.97649373611178003"/>
    <n v="0.98067719836256984"/>
    <b v="0"/>
    <n v="2.3562676720075399E-3"/>
  </r>
  <r>
    <x v="68"/>
    <n v="12"/>
    <n v="38"/>
    <n v="29"/>
    <n v="2047"/>
    <n v="6"/>
    <n v="2085"/>
    <n v="2041"/>
    <n v="-1.6658500734933857E-2"/>
    <s v="No Backlog"/>
    <n v="0.97889688249400475"/>
    <n v="6.8522781774580332"/>
    <n v="29.366906474820141"/>
    <b v="1"/>
    <n v="18"/>
    <n v="0.97992695687200237"/>
    <n v="0.97924943627187799"/>
    <b v="0"/>
    <n v="2.8776978417266188E-3"/>
  </r>
  <r>
    <x v="69"/>
    <n v="10"/>
    <n v="47"/>
    <n v="14"/>
    <n v="2025"/>
    <n v="18"/>
    <n v="2072"/>
    <n v="2007"/>
    <n v="9.9651220727453907E-4"/>
    <s v="Backlog"/>
    <n v="0.96862934362934361"/>
    <n v="6.7804054054054053"/>
    <n v="29.058880308880308"/>
    <b v="1"/>
    <n v="18"/>
    <n v="0.9736090757076159"/>
    <n v="0.97782116532116525"/>
    <s v="STRAIN"/>
    <n v="8.6872586872586872E-3"/>
  </r>
  <r>
    <x v="70"/>
    <n v="18"/>
    <n v="42"/>
    <n v="11"/>
    <n v="2023"/>
    <n v="14"/>
    <n v="2065"/>
    <n v="2009"/>
    <n v="4.9776007964161271E-3"/>
    <s v="Backlog"/>
    <n v="0.97288135593220337"/>
    <n v="6.8101694915254232"/>
    <n v="29.1864406779661"/>
    <b v="1"/>
    <n v="18"/>
    <n v="0.97810325766203099"/>
    <n v="0.96912251863903587"/>
    <s v="STRAIN"/>
    <n v="6.7796610169491523E-3"/>
  </r>
  <r>
    <x v="71"/>
    <n v="7"/>
    <n v="25"/>
    <n v="5"/>
    <n v="2025"/>
    <n v="6"/>
    <n v="2050"/>
    <n v="2019"/>
    <n v="0"/>
    <s v="No Backlog"/>
    <n v="0.98487804878048779"/>
    <n v="6.894146341463415"/>
    <n v="29.546341463414635"/>
    <b v="1"/>
    <n v="19"/>
    <n v="0.9800443788771056"/>
    <n v="0.98056371513739871"/>
    <b v="0"/>
    <n v="2.9268292682926829E-3"/>
  </r>
  <r>
    <x v="72"/>
    <n v="4"/>
    <n v="19"/>
    <n v="9"/>
    <n v="2026"/>
    <n v="7"/>
    <n v="2045"/>
    <n v="2019"/>
    <n v="-8.9153046062407128E-3"/>
    <s v="No Backlog"/>
    <n v="0.98728606356968218"/>
    <n v="6.9110024449877754"/>
    <n v="29.618581907090466"/>
    <b v="1"/>
    <n v="19"/>
    <n v="0.98417616581573297"/>
    <n v="0.98222863972528773"/>
    <b v="0"/>
    <n v="3.4229828850855745E-3"/>
  </r>
  <r>
    <x v="73"/>
    <n v="11"/>
    <n v="40"/>
    <n v="2"/>
    <n v="2015"/>
    <n v="14"/>
    <n v="2055"/>
    <n v="2001"/>
    <n v="3.9980009995002497E-3"/>
    <s v="Backlog"/>
    <n v="0.97372262773722629"/>
    <n v="6.8160583941605841"/>
    <n v="29.211678832116789"/>
    <b v="1"/>
    <n v="19"/>
    <n v="0.97790608998801609"/>
    <n v="0.9783825108760944"/>
    <s v="STRAIN"/>
    <n v="6.8126520681265207E-3"/>
  </r>
  <r>
    <x v="74"/>
    <n v="4"/>
    <n v="29"/>
    <n v="11"/>
    <n v="2019"/>
    <n v="10"/>
    <n v="2048"/>
    <n v="2009"/>
    <n v="9.9552015928322545E-4"/>
    <s v="Backlog"/>
    <n v="0.98095703125"/>
    <n v="6.86669921875"/>
    <n v="29.4287109375"/>
    <b v="1"/>
    <n v="19"/>
    <n v="0.98027951064987562"/>
    <n v="0.98623911412874066"/>
    <s v="STRAIN"/>
    <n v="4.8828125E-3"/>
  </r>
  <r>
    <x v="75"/>
    <n v="6"/>
    <n v="35"/>
    <n v="9"/>
    <n v="2020"/>
    <n v="9"/>
    <n v="2055"/>
    <n v="2011"/>
    <n v="-2.9835902536051715E-3"/>
    <s v="No Backlog"/>
    <n v="0.97858880778588808"/>
    <n v="6.8501216545012165"/>
    <n v="29.357664233576642"/>
    <b v="1"/>
    <n v="19"/>
    <n v="0.98280089739943755"/>
    <n v="0.97989311740110829"/>
    <b v="0"/>
    <n v="4.3795620437956208E-3"/>
  </r>
  <r>
    <x v="76"/>
    <n v="10"/>
    <n v="29"/>
    <n v="17"/>
    <n v="2010"/>
    <n v="5"/>
    <n v="2039"/>
    <n v="2005"/>
    <n v="-1.8952618453865335E-2"/>
    <s v="No Backlog"/>
    <n v="0.98332515939185872"/>
    <n v="6.8832761157430111"/>
    <n v="29.499754781755762"/>
    <b v="1"/>
    <n v="20"/>
    <n v="0.9743444203688636"/>
    <n v="0.98200433303916856"/>
    <b v="0"/>
    <n v="2.4521824423737125E-3"/>
  </r>
  <r>
    <x v="77"/>
    <n v="8"/>
    <n v="33"/>
    <n v="6"/>
    <n v="1984"/>
    <n v="17"/>
    <n v="2017"/>
    <n v="1967"/>
    <n v="1.0167768174885613E-3"/>
    <s v="Backlog"/>
    <n v="0.97521070897372331"/>
    <n v="6.8264749628160635"/>
    <n v="29.2563212692117"/>
    <b v="1"/>
    <n v="20"/>
    <n v="0.97573004523401652"/>
    <n v="0.97606878109461814"/>
    <s v="STRAIN"/>
    <n v="8.4283589489340602E-3"/>
  </r>
  <r>
    <x v="78"/>
    <n v="5"/>
    <n v="19"/>
    <n v="9"/>
    <n v="1988"/>
    <n v="19"/>
    <n v="2007"/>
    <n v="1969"/>
    <n v="2.5393600812595226E-3"/>
    <s v="Backlog"/>
    <n v="0.98106626806178376"/>
    <n v="6.8674638764324865"/>
    <n v="29.431988041853511"/>
    <b v="1"/>
    <n v="20"/>
    <n v="0.97911874197133852"/>
    <n v="0.98088921711694521"/>
    <s v="STRAIN"/>
    <n v="9.4668659691081215E-3"/>
  </r>
  <r>
    <x v="79"/>
    <n v="10"/>
    <n v="21"/>
    <n v="20"/>
    <n v="1989"/>
    <n v="15"/>
    <n v="2010"/>
    <n v="1974"/>
    <n v="-2.5329280648429585E-3"/>
    <s v="No Backlog"/>
    <n v="0.98208955223880601"/>
    <n v="6.8746268656716421"/>
    <n v="29.46268656716418"/>
    <b v="1"/>
    <n v="20"/>
    <n v="0.98256597312688432"/>
    <n v="0.9836337089257271"/>
    <b v="0"/>
    <n v="7.462686567164179E-3"/>
  </r>
  <r>
    <x v="80"/>
    <n v="8"/>
    <n v="30"/>
    <n v="8"/>
    <n v="1980"/>
    <n v="11"/>
    <n v="2010"/>
    <n v="1969"/>
    <n v="3.5551041137633316E-3"/>
    <s v="Backlog"/>
    <n v="0.97960199004975124"/>
    <n v="6.8572139303482587"/>
    <n v="29.388059701492537"/>
    <b v="1"/>
    <n v="20"/>
    <n v="0.98556159352861628"/>
    <n v="0.98126024343873608"/>
    <s v="STRAIN"/>
    <n v="5.4726368159203984E-3"/>
  </r>
  <r>
    <x v="81"/>
    <n v="4"/>
    <n v="21"/>
    <n v="5"/>
    <n v="1981"/>
    <n v="5"/>
    <n v="2002"/>
    <n v="1976"/>
    <n v="-1.2651821862348178E-2"/>
    <s v="No Backlog"/>
    <n v="0.98701298701298701"/>
    <n v="6.9090909090909092"/>
    <n v="29.61038961038961"/>
    <b v="1"/>
    <n v="21"/>
    <n v="0.98410520701465776"/>
    <n v="0.98620011260050222"/>
    <b v="0"/>
    <n v="2.4975024975024975E-3"/>
  </r>
  <r>
    <x v="82"/>
    <n v="6"/>
    <n v="49"/>
    <n v="8"/>
    <n v="1972"/>
    <n v="21"/>
    <n v="2021"/>
    <n v="1951"/>
    <n v="1.1276268580215274E-2"/>
    <s v="Backlog"/>
    <n v="0.96536368134586836"/>
    <n v="6.7575457694210783"/>
    <n v="28.96091044037605"/>
    <b v="1"/>
    <n v="21"/>
    <n v="0.97302359401617333"/>
    <n v="0.97419904862252216"/>
    <s v="STRAIN"/>
    <n v="1.0390895596239486E-2"/>
  </r>
  <r>
    <x v="83"/>
    <n v="10"/>
    <n v="38"/>
    <n v="10"/>
    <n v="1983"/>
    <n v="10"/>
    <n v="2021"/>
    <n v="1973"/>
    <n v="-2.0273694880892043E-3"/>
    <s v="No Backlog"/>
    <n v="0.97624938149430973"/>
    <n v="6.8337456704601678"/>
    <n v="29.287481444829293"/>
    <b v="1"/>
    <n v="21"/>
    <n v="0.97658811735491136"/>
    <n v="0.97939530180438084"/>
    <b v="0"/>
    <n v="4.9480455220188022E-3"/>
  </r>
  <r>
    <x v="84"/>
    <n v="5"/>
    <n v="35"/>
    <n v="3"/>
    <n v="1980"/>
    <n v="11"/>
    <n v="2015"/>
    <n v="1969"/>
    <n v="1.015744032503809E-3"/>
    <s v="Backlog"/>
    <n v="0.97717121588089328"/>
    <n v="6.8401985111662533"/>
    <n v="29.315136476426797"/>
    <b v="1"/>
    <n v="21"/>
    <n v="0.97894169102650008"/>
    <n v="0.98111572842237438"/>
    <s v="STRAIN"/>
    <n v="5.4590570719602978E-3"/>
  </r>
  <r>
    <x v="85"/>
    <n v="4"/>
    <n v="20"/>
    <n v="6"/>
    <n v="1985"/>
    <n v="14"/>
    <n v="2005"/>
    <n v="1971"/>
    <n v="8.6250634195839671E-3"/>
    <s v="Backlog"/>
    <n v="0.98304239401496263"/>
    <n v="6.8812967581047388"/>
    <n v="29.49127182044888"/>
    <b v="1"/>
    <n v="21"/>
    <n v="0.98411012981380541"/>
    <n v="0.98571568176800384"/>
    <s v="STRAIN"/>
    <n v="6.9825436408977558E-3"/>
  </r>
  <r>
    <x v="86"/>
    <n v="4"/>
    <n v="14"/>
    <n v="2"/>
    <n v="1991"/>
    <n v="3"/>
    <n v="2005"/>
    <n v="1988"/>
    <n v="-2.5150905432595573E-3"/>
    <s v="No Backlog"/>
    <n v="0.99152119700748131"/>
    <n v="6.9406483790523694"/>
    <n v="29.74563591022444"/>
    <b v="1"/>
    <n v="22"/>
    <n v="0.98721984691760101"/>
    <n v="0.9883015032198138"/>
    <b v="0"/>
    <n v="1.4962593516209476E-3"/>
  </r>
  <r>
    <x v="87"/>
    <n v="3"/>
    <n v="27"/>
    <n v="4"/>
    <n v="1994"/>
    <n v="11"/>
    <n v="2021"/>
    <n v="1983"/>
    <n v="-1.5128593040847202E-3"/>
    <s v="No Backlog"/>
    <n v="0.98119742701632851"/>
    <n v="6.8683819891142992"/>
    <n v="29.435922810489856"/>
    <b v="1"/>
    <n v="22"/>
    <n v="0.98329233260217297"/>
    <n v="0.98579102120047191"/>
    <b v="0"/>
    <n v="5.4428500742206825E-3"/>
  </r>
  <r>
    <x v="88"/>
    <n v="6"/>
    <n v="22"/>
    <n v="12"/>
    <n v="1997"/>
    <n v="17"/>
    <n v="2019"/>
    <n v="1980"/>
    <n v="5.0505050505050509E-3"/>
    <s v="Backlog"/>
    <n v="0.98068350668647841"/>
    <n v="6.8647845468053488"/>
    <n v="29.420505200594352"/>
    <b v="1"/>
    <n v="22"/>
    <n v="0.98185896129282724"/>
    <n v="0.98483672701485236"/>
    <s v="STRAIN"/>
    <n v="8.4200099058940065E-3"/>
  </r>
  <r>
    <x v="89"/>
    <n v="8"/>
    <n v="38"/>
    <n v="9"/>
    <n v="1999"/>
    <n v="9"/>
    <n v="2037"/>
    <n v="1990"/>
    <n v="-3.5175879396984926E-3"/>
    <s v="No Backlog"/>
    <n v="0.97692685321551298"/>
    <n v="6.8384879725085908"/>
    <n v="29.307805596465389"/>
    <b v="1"/>
    <n v="22"/>
    <n v="0.97973403766498246"/>
    <n v="0.98465390279823262"/>
    <b v="0"/>
    <n v="4.418262150220913E-3"/>
  </r>
  <r>
    <x v="90"/>
    <n v="6"/>
    <n v="23"/>
    <n v="4"/>
    <n v="1999"/>
    <n v="16"/>
    <n v="2022"/>
    <n v="1983"/>
    <n v="5.5471507816439742E-3"/>
    <s v="Backlog"/>
    <n v="0.98071216617210677"/>
    <n v="6.8649851632047474"/>
    <n v="29.421364985163201"/>
    <b v="1"/>
    <n v="23"/>
    <n v="0.98288620356798106"/>
    <n v="0.97923971600942139"/>
    <s v="STRAIN"/>
    <n v="7.91295746785361E-3"/>
  </r>
  <r>
    <x v="91"/>
    <n v="0"/>
    <n v="18"/>
    <n v="8"/>
    <n v="2006"/>
    <n v="12"/>
    <n v="2024"/>
    <n v="1994"/>
    <n v="1.0030090270812437E-2"/>
    <s v="Backlog"/>
    <n v="0.9851778656126482"/>
    <n v="6.8962450592885371"/>
    <n v="29.555335968379445"/>
    <b v="1"/>
    <n v="23"/>
    <n v="0.98678341756684662"/>
    <n v="0.98438067764684944"/>
    <s v="STRAIN"/>
    <n v="5.9288537549407111E-3"/>
  </r>
  <r>
    <x v="92"/>
    <n v="4"/>
    <n v="18"/>
    <n v="6"/>
    <n v="2031"/>
    <n v="17"/>
    <n v="2049"/>
    <n v="2014"/>
    <n v="4.4687189672293947E-3"/>
    <s v="Backlog"/>
    <n v="0.98291849682772081"/>
    <n v="6.8804294777940456"/>
    <n v="29.487554904831626"/>
    <b v="1"/>
    <n v="23"/>
    <n v="0.98400015312993361"/>
    <n v="0.98465173667677119"/>
    <s v="STRAIN"/>
    <n v="8.2967301122498782E-3"/>
  </r>
  <r>
    <x v="93"/>
    <n v="4"/>
    <n v="17"/>
    <n v="3"/>
    <n v="2036"/>
    <n v="13"/>
    <n v="2053"/>
    <n v="2023"/>
    <n v="2.4715768660405341E-3"/>
    <s v="Backlog"/>
    <n v="0.98538723818801754"/>
    <n v="6.8977106673161224"/>
    <n v="29.561617145640525"/>
    <b v="1"/>
    <n v="23"/>
    <n v="0.98788592678631648"/>
    <n v="0.98474598001032487"/>
    <s v="STRAIN"/>
    <n v="6.3321967851924016E-3"/>
  </r>
  <r>
    <x v="94"/>
    <n v="2"/>
    <n v="21"/>
    <n v="10"/>
    <n v="2042"/>
    <n v="14"/>
    <n v="2063"/>
    <n v="2028"/>
    <n v="-9.8619329388560163E-4"/>
    <s v="No Backlog"/>
    <n v="0.98303441589917595"/>
    <n v="6.8812409112942312"/>
    <n v="29.491032476975278"/>
    <b v="1"/>
    <n v="23"/>
    <n v="0.98601218162120119"/>
    <n v="0.98391001569509284"/>
    <b v="0"/>
    <n v="6.7862336403296175E-3"/>
  </r>
  <r>
    <x v="95"/>
    <n v="5"/>
    <n v="22"/>
    <n v="11"/>
    <n v="2040"/>
    <n v="14"/>
    <n v="2062"/>
    <n v="2026"/>
    <n v="8.8845014807502464E-3"/>
    <s v="Backlog"/>
    <n v="0.98254122211445194"/>
    <n v="6.8777885548011639"/>
    <n v="29.476236663433557"/>
    <b v="1"/>
    <n v="24"/>
    <n v="0.9874610872477021"/>
    <n v="0.98666867824544502"/>
    <s v="STRAIN"/>
    <n v="6.7895247332686714E-3"/>
  </r>
  <r>
    <x v="96"/>
    <n v="5"/>
    <n v="26"/>
    <n v="3"/>
    <n v="2049"/>
    <n v="5"/>
    <n v="2075"/>
    <n v="2044"/>
    <n v="-4.8923679060665359E-4"/>
    <s v="No Backlog"/>
    <n v="0.98506024096385547"/>
    <n v="6.895421686746988"/>
    <n v="29.551807228915663"/>
    <b v="1"/>
    <n v="24"/>
    <n v="0.9814137534052958"/>
    <n v="0.98679354407072994"/>
    <b v="0"/>
    <n v="2.4096385542168677E-3"/>
  </r>
  <r>
    <x v="97"/>
    <n v="2"/>
    <n v="9"/>
    <n v="6"/>
    <n v="2058"/>
    <n v="15"/>
    <n v="2067"/>
    <n v="2043"/>
    <n v="1.9579050416054823E-3"/>
    <s v="Backlog"/>
    <n v="0.98838896952104505"/>
    <n v="6.9187227866473151"/>
    <n v="29.651669085631351"/>
    <b v="1"/>
    <n v="24"/>
    <n v="0.98598622960104787"/>
    <n v="0.98620361718061389"/>
    <s v="STRAIN"/>
    <n v="7.2568940493468797E-3"/>
  </r>
  <r>
    <x v="98"/>
    <n v="4"/>
    <n v="15"/>
    <n v="4"/>
    <n v="2063"/>
    <n v="16"/>
    <n v="2078"/>
    <n v="2047"/>
    <n v="6.3507572056668293E-3"/>
    <s v="Backlog"/>
    <n v="0.98508180943214629"/>
    <n v="6.8955726660250241"/>
    <n v="29.552454282964391"/>
    <b v="1"/>
    <n v="24"/>
    <n v="0.98573339297898399"/>
    <n v="0.98735371481981693"/>
    <s v="STRAIN"/>
    <n v="7.6997112608277194E-3"/>
  </r>
  <r>
    <x v="99"/>
    <n v="2"/>
    <n v="8"/>
    <n v="3"/>
    <n v="2072"/>
    <n v="12"/>
    <n v="2080"/>
    <n v="2060"/>
    <n v="2.9126213592233011E-3"/>
    <s v="Backlog"/>
    <n v="0.99038461538461542"/>
    <n v="6.9326923076923084"/>
    <n v="29.711538461538463"/>
    <b v="1"/>
    <n v="24"/>
    <n v="0.98724466860862381"/>
    <n v="0.9839290568089154"/>
    <s v="STRAIN"/>
    <n v="5.7692307692307696E-3"/>
  </r>
  <r>
    <x v="100"/>
    <n v="2"/>
    <n v="9"/>
    <n v="3"/>
    <n v="2080"/>
    <n v="14"/>
    <n v="2089"/>
    <n v="2066"/>
    <n v="8.7124878993223628E-3"/>
    <s v="Backlog"/>
    <n v="0.98898994734322643"/>
    <n v="6.9229296314025852"/>
    <n v="29.669698420296793"/>
    <b v="1"/>
    <n v="25"/>
    <n v="0.98688778141711808"/>
    <n v="0.98362068050066931"/>
    <s v="STRAIN"/>
    <n v="6.7017711823839157E-3"/>
  </r>
  <r>
    <x v="101"/>
    <n v="1"/>
    <n v="12"/>
    <n v="2"/>
    <n v="2088"/>
    <n v="4"/>
    <n v="2100"/>
    <n v="2084"/>
    <n v="-8.1573896353166978E-3"/>
    <s v="No Backlog"/>
    <n v="0.99238095238095236"/>
    <n v="6.9466666666666663"/>
    <n v="29.771428571428572"/>
    <b v="1"/>
    <n v="25"/>
    <n v="0.99158854337869529"/>
    <n v="0.98843853820598004"/>
    <b v="0"/>
    <n v="1.9047619047619048E-3"/>
  </r>
  <r>
    <x v="102"/>
    <n v="6"/>
    <n v="18"/>
    <n v="7"/>
    <n v="2096"/>
    <n v="29"/>
    <n v="2114"/>
    <n v="2067"/>
    <n v="1.4513788098693759E-2"/>
    <s v="Backlog"/>
    <n v="0.97776726584673601"/>
    <n v="6.8443708609271523"/>
    <n v="29.333017975402079"/>
    <b v="1"/>
    <n v="25"/>
    <n v="0.98314705651217027"/>
    <n v="0.98074658795548797"/>
    <s v="STRAIN"/>
    <n v="1.3718070009460738E-2"/>
  </r>
  <r>
    <x v="103"/>
    <n v="6"/>
    <n v="21"/>
    <n v="5"/>
    <n v="2111"/>
    <n v="14"/>
    <n v="2132"/>
    <n v="2097"/>
    <n v="1.9074868860276585E-3"/>
    <s v="Backlog"/>
    <n v="0.98358348968105069"/>
    <n v="6.8850844277673549"/>
    <n v="29.507504690431521"/>
    <b v="1"/>
    <n v="25"/>
    <n v="0.9838008772606166"/>
    <n v="0.9864703314731349"/>
    <s v="STRAIN"/>
    <n v="6.5666041275797378E-3"/>
  </r>
  <r>
    <x v="104"/>
    <n v="5"/>
    <n v="13"/>
    <n v="3"/>
    <n v="2117"/>
    <n v="16"/>
    <n v="2130"/>
    <n v="2101"/>
    <n v="1.9038553069966682E-3"/>
    <s v="Backlog"/>
    <n v="0.98638497652582158"/>
    <n v="6.9046948356807514"/>
    <n v="29.591549295774648"/>
    <b v="1"/>
    <n v="26"/>
    <n v="0.98800529836665452"/>
    <n v="0.98107380878108885"/>
    <s v="STRAIN"/>
    <n v="7.5117370892018778E-3"/>
  </r>
  <r>
    <x v="105"/>
    <n v="4"/>
    <n v="18"/>
    <n v="7"/>
    <n v="2121"/>
    <n v="16"/>
    <n v="2139"/>
    <n v="2105"/>
    <n v="1.4726840855106888E-2"/>
    <s v="Backlog"/>
    <n v="0.98410472183263209"/>
    <n v="6.8887330528284245"/>
    <n v="29.523141654978964"/>
    <b v="1"/>
    <n v="26"/>
    <n v="0.98078911003292379"/>
    <n v="0.9845679534319085"/>
    <s v="STRAIN"/>
    <n v="7.4801309022907905E-3"/>
  </r>
  <r>
    <x v="106"/>
    <n v="3"/>
    <n v="16"/>
    <n v="2"/>
    <n v="2153"/>
    <n v="17"/>
    <n v="2169"/>
    <n v="2136"/>
    <n v="7.9588014981273412E-3"/>
    <s v="Backlog"/>
    <n v="0.98478561549100974"/>
    <n v="6.8934993084370682"/>
    <n v="29.543568464730292"/>
    <b v="1"/>
    <n v="26"/>
    <n v="0.98151851457456096"/>
    <n v="0.98457065871298122"/>
    <s v="STRAIN"/>
    <n v="7.8377132319041032E-3"/>
  </r>
  <r>
    <x v="107"/>
    <n v="1"/>
    <n v="9"/>
    <n v="0"/>
    <n v="2164"/>
    <n v="11"/>
    <n v="2173"/>
    <n v="2153"/>
    <n v="4.6446818392940084E-4"/>
    <s v="Backlog"/>
    <n v="0.9907961343764381"/>
    <n v="6.9355729406350664"/>
    <n v="29.723884031293142"/>
    <b v="1"/>
    <n v="26"/>
    <n v="0.98764612920372286"/>
    <n v="0.98778489846393924"/>
    <s v="STRAIN"/>
    <n v="5.0621260929590425E-3"/>
  </r>
  <r>
    <x v="108"/>
    <n v="0"/>
    <n v="8"/>
    <n v="5"/>
    <n v="2171"/>
    <n v="17"/>
    <n v="2179"/>
    <n v="2154"/>
    <n v="4.6425255338904364E-4"/>
    <s v="Backlog"/>
    <n v="0.98852684717760442"/>
    <n v="6.9196879302432306"/>
    <n v="29.655805415328132"/>
    <b v="1"/>
    <n v="26"/>
    <n v="0.98612637862092212"/>
    <n v="0.98530576886567522"/>
    <s v="STRAIN"/>
    <n v="7.8017439192290044E-3"/>
  </r>
  <r>
    <x v="109"/>
    <n v="2"/>
    <n v="9"/>
    <n v="1"/>
    <n v="2181"/>
    <n v="26"/>
    <n v="2190"/>
    <n v="2155"/>
    <n v="1.8097447795823667E-2"/>
    <s v="Backlog"/>
    <n v="0.98401826484018262"/>
    <n v="6.8881278538812785"/>
    <n v="29.520547945205479"/>
    <b v="1"/>
    <n v="27"/>
    <n v="0.98668771905270092"/>
    <n v="0.98475691646521624"/>
    <s v="STRAIN"/>
    <n v="1.1872146118721462E-2"/>
  </r>
  <r>
    <x v="110"/>
    <n v="1"/>
    <n v="13"/>
    <n v="4"/>
    <n v="2204"/>
    <n v="10"/>
    <n v="2217"/>
    <n v="2194"/>
    <n v="8.6599817684594356E-3"/>
    <s v="Backlog"/>
    <n v="0.98962562020748757"/>
    <n v="6.9273793414524132"/>
    <n v="29.688768606224627"/>
    <b v="1"/>
    <n v="27"/>
    <n v="0.98269413062192179"/>
    <n v="0.98763863712646205"/>
    <s v="STRAIN"/>
    <n v="4.5105999097880016E-3"/>
  </r>
  <r>
    <x v="111"/>
    <n v="2"/>
    <n v="12"/>
    <n v="3"/>
    <n v="2252"/>
    <n v="39"/>
    <n v="2264"/>
    <n v="2213"/>
    <n v="1.6267510167193855E-2"/>
    <s v="Backlog"/>
    <n v="0.9774734982332155"/>
    <n v="6.8423144876325086"/>
    <n v="29.324204946996463"/>
    <b v="1"/>
    <n v="27"/>
    <n v="0.98125234163220032"/>
    <n v="0.98236224712457587"/>
    <s v="STRAIN"/>
    <n v="1.7226148409893994E-2"/>
  </r>
  <r>
    <x v="112"/>
    <n v="2"/>
    <n v="18"/>
    <n v="0"/>
    <n v="2281"/>
    <n v="32"/>
    <n v="2299"/>
    <n v="2249"/>
    <n v="1.6451756336149401E-2"/>
    <s v="Backlog"/>
    <n v="0.97825141365811219"/>
    <n v="6.8477598956067851"/>
    <n v="29.347542409743365"/>
    <b v="1"/>
    <n v="27"/>
    <n v="0.98130355779653244"/>
    <n v="0.98515902694012314"/>
    <s v="STRAIN"/>
    <n v="1.3919095258808177E-2"/>
  </r>
  <r>
    <x v="113"/>
    <n v="5"/>
    <n v="16"/>
    <n v="8"/>
    <n v="2306"/>
    <n v="20"/>
    <n v="2322"/>
    <n v="2286"/>
    <n v="4.8118985126859139E-3"/>
    <s v="Backlog"/>
    <n v="0.98449612403100772"/>
    <n v="6.8914728682170541"/>
    <n v="29.534883720930232"/>
    <b v="1"/>
    <n v="28"/>
    <n v="0.984634893291224"/>
    <n v="0.98490679217423405"/>
    <s v="STRAIN"/>
    <n v="8.6132644272179162E-3"/>
  </r>
  <r>
    <x v="114"/>
    <n v="3"/>
    <n v="18"/>
    <n v="8"/>
    <n v="2317"/>
    <n v="20"/>
    <n v="2335"/>
    <n v="2297"/>
    <n v="1.1754462342185459E-2"/>
    <s v="Backlog"/>
    <n v="0.98372591006423982"/>
    <n v="6.8860813704496788"/>
    <n v="29.511777301927193"/>
    <b v="1"/>
    <n v="28"/>
    <n v="0.98290530030899292"/>
    <n v="0.98440319845575552"/>
    <s v="STRAIN"/>
    <n v="8.5653104925053538E-3"/>
  </r>
  <r>
    <x v="115"/>
    <n v="4"/>
    <n v="17"/>
    <n v="2"/>
    <n v="2332"/>
    <n v="8"/>
    <n v="2349"/>
    <n v="2324"/>
    <n v="4.7332185886402754E-3"/>
    <s v="Backlog"/>
    <n v="0.98935717326521921"/>
    <n v="6.9255002128565346"/>
    <n v="29.680715197956577"/>
    <b v="1"/>
    <n v="28"/>
    <n v="0.98742637067773453"/>
    <n v="0.98680146965742255"/>
    <s v="STRAIN"/>
    <n v="3.4057045551298426E-3"/>
  </r>
  <r>
    <x v="116"/>
    <n v="8"/>
    <n v="20"/>
    <n v="9"/>
    <n v="2373"/>
    <n v="38"/>
    <n v="2393"/>
    <n v="2335"/>
    <n v="1.4561027837259101E-2"/>
    <s v="Backlog"/>
    <n v="0.97576264103635602"/>
    <n v="6.8303384872544921"/>
    <n v="29.27287923109068"/>
    <b v="1"/>
    <n v="28"/>
    <n v="0.98070714754089616"/>
    <n v="0.98196882544525721"/>
    <s v="STRAIN"/>
    <n v="1.5879648976180525E-2"/>
  </r>
  <r>
    <x v="117"/>
    <n v="7"/>
    <n v="14"/>
    <n v="6"/>
    <n v="2391"/>
    <n v="22"/>
    <n v="2405"/>
    <n v="2369"/>
    <n v="9.2866188265090764E-3"/>
    <s v="Backlog"/>
    <n v="0.98503118503118503"/>
    <n v="6.895218295218295"/>
    <n v="29.550935550935552"/>
    <b v="1"/>
    <n v="28"/>
    <n v="0.98614109052356058"/>
    <n v="0.98676846607881097"/>
    <s v="STRAIN"/>
    <n v="9.1476091476091481E-3"/>
  </r>
  <r>
    <x v="118"/>
    <n v="9"/>
    <n v="22"/>
    <n v="8"/>
    <n v="2407"/>
    <n v="16"/>
    <n v="2429"/>
    <n v="2391"/>
    <n v="8.3647009619406104E-4"/>
    <s v="Backlog"/>
    <n v="0.9843557019349527"/>
    <n v="6.8904899135446689"/>
    <n v="29.530671058048583"/>
    <b v="1"/>
    <n v="29"/>
    <n v="0.98821117107854339"/>
    <n v="0.98288564060765027"/>
    <s v="STRAIN"/>
    <n v="6.5870728694936188E-3"/>
  </r>
  <r>
    <x v="119"/>
    <n v="5"/>
    <n v="17"/>
    <n v="7"/>
    <n v="2413"/>
    <n v="20"/>
    <n v="2430"/>
    <n v="2393"/>
    <n v="7.9398244880902625E-3"/>
    <s v="Backlog"/>
    <n v="0.98477366255144028"/>
    <n v="6.8934156378600822"/>
    <n v="29.543209876543209"/>
    <b v="1"/>
    <n v="29"/>
    <n v="0.98504556143445032"/>
    <n v="0.98606771595186549"/>
    <s v="STRAIN"/>
    <n v="8.23045267489712E-3"/>
  </r>
  <r>
    <x v="120"/>
    <n v="3"/>
    <n v="9"/>
    <n v="7"/>
    <n v="2447"/>
    <n v="35"/>
    <n v="2456"/>
    <n v="2412"/>
    <n v="1.4096185737976783E-2"/>
    <s v="Backlog"/>
    <n v="0.98208469055374592"/>
    <n v="6.8745928338762212"/>
    <n v="29.462540716612377"/>
    <b v="1"/>
    <n v="29"/>
    <n v="0.98358258870050863"/>
    <n v="0.98356791569386748"/>
    <s v="STRAIN"/>
    <n v="1.4250814332247556E-2"/>
  </r>
  <r>
    <x v="121"/>
    <n v="6"/>
    <n v="12"/>
    <n v="2"/>
    <n v="2470"/>
    <n v="24"/>
    <n v="2482"/>
    <n v="2446"/>
    <n v="1.1038430089942763E-2"/>
    <s v="Backlog"/>
    <n v="0.98549556809024985"/>
    <n v="6.8984689766317491"/>
    <n v="29.564867042707494"/>
    <b v="1"/>
    <n v="29"/>
    <n v="0.98487066706993787"/>
    <n v="0.98584987312671735"/>
    <s v="STRAIN"/>
    <n v="9.6696212731668015E-3"/>
  </r>
  <r>
    <x v="122"/>
    <n v="5"/>
    <n v="20"/>
    <n v="5"/>
    <n v="2489"/>
    <n v="16"/>
    <n v="2509"/>
    <n v="2473"/>
    <n v="2.0218358269308533E-3"/>
    <s v="Backlog"/>
    <n v="0.98565165404543642"/>
    <n v="6.8995615783180551"/>
    <n v="29.569549621363091"/>
    <b v="1"/>
    <n v="29"/>
    <n v="0.98691333194979736"/>
    <n v="0.98577253548666799"/>
    <s v="STRAIN"/>
    <n v="6.3770426464726986E-3"/>
  </r>
  <r>
    <x v="123"/>
    <n v="3"/>
    <n v="15"/>
    <n v="5"/>
    <n v="2495"/>
    <n v="17"/>
    <n v="2510"/>
    <n v="2478"/>
    <n v="9.2816787732041967E-3"/>
    <s v="Backlog"/>
    <n v="0.98725099601593624"/>
    <n v="6.910756972111554"/>
    <n v="29.617529880478088"/>
    <b v="1"/>
    <n v="30"/>
    <n v="0.98787837157118652"/>
    <n v="0.98399499486331399"/>
    <s v="STRAIN"/>
    <n v="6.7729083665338643E-3"/>
  </r>
  <r>
    <x v="124"/>
    <n v="7"/>
    <n v="13"/>
    <n v="5"/>
    <n v="2508"/>
    <n v="7"/>
    <n v="2521"/>
    <n v="2501"/>
    <n v="-7.1971211515393842E-3"/>
    <s v="No Backlog"/>
    <n v="0.99206664022213409"/>
    <n v="6.9444664815549384"/>
    <n v="29.761999206664022"/>
    <b v="1"/>
    <n v="30"/>
    <n v="0.98674110975124107"/>
    <n v="0.98559202775488108"/>
    <b v="0"/>
    <n v="2.776675922253074E-3"/>
  </r>
  <r>
    <x v="125"/>
    <n v="8"/>
    <n v="19"/>
    <n v="7"/>
    <n v="2501"/>
    <n v="18"/>
    <n v="2520"/>
    <n v="2483"/>
    <n v="1.0471204188481676E-2"/>
    <s v="Backlog"/>
    <n v="0.98531746031746037"/>
    <n v="6.8972222222222221"/>
    <n v="29.55952380952381"/>
    <b v="1"/>
    <n v="30"/>
    <n v="0.98633961483487553"/>
    <n v="0.98573626180429974"/>
    <s v="STRAIN"/>
    <n v="7.1428571428571426E-3"/>
  </r>
  <r>
    <x v="126"/>
    <n v="7"/>
    <n v="24"/>
    <n v="10"/>
    <n v="2523"/>
    <n v="14"/>
    <n v="2547"/>
    <n v="2509"/>
    <n v="-3.9856516540454365E-3"/>
    <s v="No Backlog"/>
    <n v="0.98508048684727134"/>
    <n v="6.8955634079308989"/>
    <n v="29.552414605418139"/>
    <b v="1"/>
    <n v="30"/>
    <n v="0.98506581384063019"/>
    <n v="0.9823768317058198"/>
    <b v="0"/>
    <n v="5.4966627404789952E-3"/>
  </r>
  <r>
    <x v="127"/>
    <n v="17"/>
    <n v="28"/>
    <n v="7"/>
    <n v="2511"/>
    <n v="12"/>
    <n v="2539"/>
    <n v="2499"/>
    <n v="3.2012805122048822E-3"/>
    <s v="Backlog"/>
    <n v="0.98424576604962588"/>
    <n v="6.8897203623473811"/>
    <n v="29.527372981488778"/>
    <b v="1"/>
    <n v="30"/>
    <n v="0.98522497210640536"/>
    <n v="0.97630635475276861"/>
    <s v="STRAIN"/>
    <n v="4.7262701851122487E-3"/>
  </r>
  <r>
    <x v="128"/>
    <n v="8"/>
    <n v="21"/>
    <n v="14"/>
    <n v="2516"/>
    <n v="9"/>
    <n v="2537"/>
    <n v="2507"/>
    <n v="-5.185480654168329E-3"/>
    <s v="No Backlog"/>
    <n v="0.9881750098541584"/>
    <n v="6.9172250689791088"/>
    <n v="29.645250295624752"/>
    <b v="1"/>
    <n v="31"/>
    <n v="0.98703421339102904"/>
    <n v="0.9874449928497846"/>
    <b v="0"/>
    <n v="3.5474970437524636E-3"/>
  </r>
  <r>
    <x v="129"/>
    <n v="10"/>
    <n v="16"/>
    <n v="15"/>
    <n v="2507"/>
    <n v="13"/>
    <n v="2523"/>
    <n v="2494"/>
    <n v="-4.8115477145148355E-3"/>
    <s v="No Backlog"/>
    <n v="0.9885057471264368"/>
    <n v="6.9195402298850572"/>
    <n v="29.655172413793103"/>
    <b v="1"/>
    <n v="31"/>
    <n v="0.98462237041856437"/>
    <n v="0.98674780256930361"/>
    <b v="0"/>
    <n v="5.1525961157352362E-3"/>
  </r>
  <r>
    <x v="130"/>
    <n v="8"/>
    <n v="26"/>
    <n v="5"/>
    <n v="2503"/>
    <n v="21"/>
    <n v="2529"/>
    <n v="2482"/>
    <n v="7.2522159548751011E-3"/>
    <s v="Backlog"/>
    <n v="0.98141557928034795"/>
    <n v="6.8699090549624353"/>
    <n v="29.442467378410438"/>
    <b v="1"/>
    <n v="31"/>
    <n v="0.98026649728398807"/>
    <n v="0.98149025584255001"/>
    <s v="STRAIN"/>
    <n v="8.3036773428232496E-3"/>
  </r>
  <r>
    <x v="131"/>
    <n v="4"/>
    <n v="16"/>
    <n v="9"/>
    <n v="2516"/>
    <n v="16"/>
    <n v="2532"/>
    <n v="2500"/>
    <n v="1.6000000000000001E-3"/>
    <s v="Backlog"/>
    <n v="0.9873617693522907"/>
    <n v="6.9115323854660353"/>
    <n v="29.620853080568722"/>
    <b v="1"/>
    <n v="31"/>
    <n v="0.9867584163217149"/>
    <n v="0.98522378896657437"/>
    <s v="STRAIN"/>
    <n v="6.3191153238546603E-3"/>
  </r>
  <r>
    <x v="132"/>
    <n v="5"/>
    <n v="23"/>
    <n v="11"/>
    <n v="2519"/>
    <n v="15"/>
    <n v="2542"/>
    <n v="2504"/>
    <n v="-7.9872204472843447E-4"/>
    <s v="No Backlog"/>
    <n v="0.98505114083398904"/>
    <n v="6.895357985837923"/>
    <n v="29.551534225019672"/>
    <b v="1"/>
    <n v="31"/>
    <n v="0.98236215869917864"/>
    <n v="0.98427134012396933"/>
    <b v="0"/>
    <n v="5.9008654602675063E-3"/>
  </r>
  <r>
    <x v="133"/>
    <n v="10"/>
    <n v="19"/>
    <n v="5"/>
    <n v="2518"/>
    <n v="16"/>
    <n v="2537"/>
    <n v="2502"/>
    <n v="5.5955235811350921E-3"/>
    <s v="Backlog"/>
    <n v="0.98620417816318484"/>
    <n v="6.9034292471422942"/>
    <n v="29.586125344895546"/>
    <b v="1"/>
    <n v="32"/>
    <n v="0.97728556080954809"/>
    <n v="0.98485466640118002"/>
    <s v="STRAIN"/>
    <n v="6.3066614111154905E-3"/>
  </r>
  <r>
    <x v="134"/>
    <n v="8"/>
    <n v="24"/>
    <n v="16"/>
    <n v="2528"/>
    <n v="12"/>
    <n v="2552"/>
    <n v="2516"/>
    <n v="-8.346581875993641E-3"/>
    <s v="No Backlog"/>
    <n v="0.98589341692789967"/>
    <n v="6.9012539184952981"/>
    <n v="29.576802507836991"/>
    <b v="1"/>
    <n v="32"/>
    <n v="0.98630419638665523"/>
    <n v="0.98816500368224514"/>
    <b v="0"/>
    <n v="4.7021943573667714E-3"/>
  </r>
  <r>
    <x v="135"/>
    <n v="13"/>
    <n v="38"/>
    <n v="15"/>
    <n v="2506"/>
    <n v="11"/>
    <n v="2544"/>
    <n v="2495"/>
    <n v="-4.0080160320641279E-3"/>
    <s v="No Backlog"/>
    <n v="0.98073899371069184"/>
    <n v="6.8651729559748427"/>
    <n v="29.422169811320757"/>
    <b v="1"/>
    <n v="32"/>
    <n v="0.98286442586143119"/>
    <n v="0.98303197064989511"/>
    <b v="0"/>
    <n v="4.3238993710691823E-3"/>
  </r>
  <r>
    <x v="136"/>
    <n v="12"/>
    <n v="39"/>
    <n v="12"/>
    <n v="2499"/>
    <n v="14"/>
    <n v="2538"/>
    <n v="2485"/>
    <n v="3.2193158953722333E-3"/>
    <s v="Backlog"/>
    <n v="0.97911741528762808"/>
    <n v="6.8538219070133968"/>
    <n v="29.373522458628841"/>
    <b v="1"/>
    <n v="32"/>
    <n v="0.98034117384619013"/>
    <n v="0.98110204802436374"/>
    <s v="STRAIN"/>
    <n v="5.5161544523246652E-3"/>
  </r>
  <r>
    <x v="137"/>
    <n v="6"/>
    <n v="24"/>
    <n v="7"/>
    <n v="2504"/>
    <n v="11"/>
    <n v="2528"/>
    <n v="2493"/>
    <n v="-1.4039310068190935E-2"/>
    <s v="No Backlog"/>
    <n v="0.98615506329113922"/>
    <n v="6.9030854430379742"/>
    <n v="29.584651898734176"/>
    <b v="1"/>
    <n v="32"/>
    <n v="0.98462043593599868"/>
    <n v="0.9827486952206117"/>
    <b v="0"/>
    <n v="4.3512658227848099E-3"/>
  </r>
  <r>
    <x v="138"/>
    <n v="18"/>
    <n v="36"/>
    <n v="17"/>
    <n v="2473"/>
    <n v="15"/>
    <n v="2509"/>
    <n v="2458"/>
    <n v="-3.6615134255492269E-3"/>
    <s v="No Backlog"/>
    <n v="0.97967317656436825"/>
    <n v="6.8577122359505776"/>
    <n v="29.390195296931047"/>
    <b v="1"/>
    <n v="33"/>
    <n v="0.98158235798915894"/>
    <n v="0.97699448301902625"/>
    <b v="0"/>
    <n v="5.9784774810681543E-3"/>
  </r>
  <r>
    <x v="139"/>
    <n v="14"/>
    <n v="62"/>
    <n v="13"/>
    <n v="2467"/>
    <n v="18"/>
    <n v="2529"/>
    <n v="2449"/>
    <n v="8.1665986116782364E-4"/>
    <s v="Backlog"/>
    <n v="0.96836694345591146"/>
    <n v="6.7785686041913804"/>
    <n v="29.051008303677342"/>
    <b v="1"/>
    <n v="33"/>
    <n v="0.97593604904754327"/>
    <n v="0.97657569488940965"/>
    <s v="STRAIN"/>
    <n v="7.1174377224199285E-3"/>
  </r>
  <r>
    <x v="140"/>
    <n v="7"/>
    <n v="27"/>
    <n v="17"/>
    <n v="2457"/>
    <n v="6"/>
    <n v="2484"/>
    <n v="2451"/>
    <n v="-9.3839249286005715E-3"/>
    <s v="No Backlog"/>
    <n v="0.98671497584541068"/>
    <n v="6.9070048309178746"/>
    <n v="29.60144927536232"/>
    <b v="1"/>
    <n v="34"/>
    <n v="0.98857578314100059"/>
    <n v="0.98309230400482683"/>
    <b v="0"/>
    <n v="2.4154589371980675E-3"/>
  </r>
  <r>
    <x v="141"/>
    <n v="13"/>
    <n v="28"/>
    <n v="14"/>
    <n v="2437"/>
    <n v="9"/>
    <n v="2465"/>
    <n v="2428"/>
    <n v="-1.3179571663920923E-2"/>
    <s v="No Backlog"/>
    <n v="0.98498985801217043"/>
    <n v="6.8949290060851931"/>
    <n v="29.549695740365113"/>
    <b v="1"/>
    <n v="34"/>
    <n v="0.98515740280063446"/>
    <n v="0.9826784544008782"/>
    <b v="0"/>
    <n v="3.6511156186612576E-3"/>
  </r>
  <r>
    <x v="142"/>
    <n v="15"/>
    <n v="31"/>
    <n v="14"/>
    <n v="2410"/>
    <n v="14"/>
    <n v="2441"/>
    <n v="2396"/>
    <n v="-5.4257095158597663E-3"/>
    <s v="No Backlog"/>
    <n v="0.98156493240475218"/>
    <n v="6.8709545268332652"/>
    <n v="29.446947972142567"/>
    <b v="1"/>
    <n v="34"/>
    <n v="0.98232580658292579"/>
    <n v="0.98219508964591407"/>
    <b v="0"/>
    <n v="5.7353543629659973E-3"/>
  </r>
  <r>
    <x v="143"/>
    <n v="7"/>
    <n v="30"/>
    <n v="14"/>
    <n v="2394"/>
    <n v="11"/>
    <n v="2424"/>
    <n v="2383"/>
    <n v="0"/>
    <s v="No Backlog"/>
    <n v="0.98308580858085803"/>
    <n v="6.881600660066006"/>
    <n v="29.492574257425741"/>
    <b v="1"/>
    <n v="34"/>
    <n v="0.98121406786547116"/>
    <n v="0.98425614903967884"/>
    <b v="0"/>
    <n v="4.5379537953795382E-3"/>
  </r>
  <r>
    <x v="144"/>
    <n v="18"/>
    <n v="29"/>
    <n v="12"/>
    <n v="2394"/>
    <n v="11"/>
    <n v="2423"/>
    <n v="2383"/>
    <n v="8.3927822073017204E-4"/>
    <s v="Backlog"/>
    <n v="0.98349153941394962"/>
    <n v="6.8844407758976471"/>
    <n v="29.50474618241849"/>
    <b v="1"/>
    <n v="34"/>
    <n v="0.97890366444381693"/>
    <n v="0.98234807641351041"/>
    <s v="STRAIN"/>
    <n v="4.5398266611638462E-3"/>
  </r>
  <r>
    <x v="145"/>
    <n v="7"/>
    <n v="33"/>
    <n v="14"/>
    <n v="2392"/>
    <n v="7"/>
    <n v="2425"/>
    <n v="2385"/>
    <n v="-1.2578616352201257E-3"/>
    <s v="No Backlog"/>
    <n v="0.98350515463917521"/>
    <n v="6.8845360824742263"/>
    <n v="29.505154639175256"/>
    <b v="1"/>
    <n v="35"/>
    <n v="0.98414480048104158"/>
    <n v="0.98697619868302655"/>
    <b v="0"/>
    <n v="2.8865979381443299E-3"/>
  </r>
  <r>
    <x v="146"/>
    <n v="15"/>
    <n v="20"/>
    <n v="12"/>
    <n v="2385"/>
    <n v="3"/>
    <n v="2405"/>
    <n v="2382"/>
    <n v="-1.343408900083963E-2"/>
    <s v="No Backlog"/>
    <n v="0.99043659043659049"/>
    <n v="6.9330561330561338"/>
    <n v="29.713097713097714"/>
    <b v="1"/>
    <n v="35"/>
    <n v="0.98495311130041674"/>
    <n v="0.98790017210163583"/>
    <b v="0"/>
    <n v="1.2474012474012475E-3"/>
  </r>
  <r>
    <x v="147"/>
    <n v="15"/>
    <n v="24"/>
    <n v="16"/>
    <n v="2361"/>
    <n v="11"/>
    <n v="2385"/>
    <n v="2350"/>
    <n v="-1.0638297872340425E-2"/>
    <s v="No Backlog"/>
    <n v="0.9853249475890985"/>
    <n v="6.8972746331236898"/>
    <n v="29.559748427672954"/>
    <b v="1"/>
    <n v="35"/>
    <n v="0.98284599918934223"/>
    <n v="0.9849172070131379"/>
    <b v="0"/>
    <n v="4.6121593291404616E-3"/>
  </r>
  <r>
    <x v="148"/>
    <n v="10"/>
    <n v="30"/>
    <n v="15"/>
    <n v="2335"/>
    <n v="10"/>
    <n v="2365"/>
    <n v="2325"/>
    <n v="-8.6021505376344086E-4"/>
    <s v="No Backlog"/>
    <n v="0.9830866807610994"/>
    <n v="6.881606765327696"/>
    <n v="29.492600422832982"/>
    <b v="1"/>
    <n v="35"/>
    <n v="0.98295596382408768"/>
    <n v="0.98489953412251285"/>
    <b v="0"/>
    <n v="4.2283298097251587E-3"/>
  </r>
  <r>
    <x v="149"/>
    <n v="10"/>
    <n v="33"/>
    <n v="16"/>
    <n v="2339"/>
    <n v="16"/>
    <n v="2372"/>
    <n v="2323"/>
    <n v="-3.8743004735256135E-3"/>
    <s v="No Backlog"/>
    <n v="0.97934232715008429"/>
    <n v="6.8553962900505905"/>
    <n v="29.38026981450253"/>
    <b v="1"/>
    <n v="35"/>
    <n v="0.98238440832429208"/>
    <n v="0.98557633598883521"/>
    <b v="0"/>
    <n v="6.7453625632377737E-3"/>
  </r>
  <r>
    <x v="150"/>
    <n v="15"/>
    <n v="44"/>
    <n v="20"/>
    <n v="2331"/>
    <n v="17"/>
    <n v="2375"/>
    <n v="2314"/>
    <n v="6.9144338807260158E-3"/>
    <s v="Backlog"/>
    <n v="0.97431578947368425"/>
    <n v="6.8202105263157895"/>
    <n v="29.229473684210529"/>
    <b v="1"/>
    <n v="36"/>
    <n v="0.97776020144337772"/>
    <n v="0.97851485238593461"/>
    <s v="STRAIN"/>
    <n v="7.1578947368421053E-3"/>
  </r>
  <r>
    <x v="151"/>
    <n v="9"/>
    <n v="31"/>
    <n v="10"/>
    <n v="2335"/>
    <n v="5"/>
    <n v="2366"/>
    <n v="2330"/>
    <n v="-1.7167381974248927E-2"/>
    <s v="No Backlog"/>
    <n v="0.98478444632290785"/>
    <n v="6.8934911242603549"/>
    <n v="29.543533389687234"/>
    <b v="1"/>
    <n v="36"/>
    <n v="0.98761584452489293"/>
    <n v="0.98420609649191493"/>
    <b v="0"/>
    <n v="2.113271344040575E-3"/>
  </r>
  <r>
    <x v="152"/>
    <n v="13"/>
    <n v="32"/>
    <n v="14"/>
    <n v="2306"/>
    <n v="16"/>
    <n v="2338"/>
    <n v="2290"/>
    <n v="3.0567685589519651E-3"/>
    <s v="Backlog"/>
    <n v="0.97946963216424299"/>
    <n v="6.8562874251497012"/>
    <n v="29.38408896492729"/>
    <b v="1"/>
    <n v="36"/>
    <n v="0.98241669296546208"/>
    <n v="0.98409490285001744"/>
    <s v="STRAIN"/>
    <n v="6.8434559452523521E-3"/>
  </r>
  <r>
    <x v="153"/>
    <n v="7"/>
    <n v="34"/>
    <n v="9"/>
    <n v="2309"/>
    <n v="12"/>
    <n v="2343"/>
    <n v="2297"/>
    <n v="-3.4828036569438396E-3"/>
    <s v="No Backlog"/>
    <n v="0.98036705078958597"/>
    <n v="6.8625693555271017"/>
    <n v="29.411011523687581"/>
    <b v="1"/>
    <n v="36"/>
    <n v="0.98243825861338163"/>
    <n v="0.98173465191125753"/>
    <b v="0"/>
    <n v="5.1216389244558257E-3"/>
  </r>
  <r>
    <x v="154"/>
    <n v="11"/>
    <n v="25"/>
    <n v="11"/>
    <n v="2304"/>
    <n v="15"/>
    <n v="2329"/>
    <n v="2289"/>
    <n v="4.3687199650502403E-3"/>
    <s v="Backlog"/>
    <n v="0.98282524688707595"/>
    <n v="6.8797767282095315"/>
    <n v="29.484757406612278"/>
    <b v="1"/>
    <n v="37"/>
    <n v="0.98476881718550113"/>
    <n v="0.98513284864925477"/>
    <s v="STRAIN"/>
    <n v="6.4405324173465008E-3"/>
  </r>
  <r>
    <x v="155"/>
    <n v="6"/>
    <n v="26"/>
    <n v="12"/>
    <n v="2307"/>
    <n v="8"/>
    <n v="2333"/>
    <n v="2299"/>
    <n v="-8.6994345367551109E-4"/>
    <s v="No Backlog"/>
    <n v="0.98542648949849976"/>
    <n v="6.8979854264894982"/>
    <n v="29.562794684954994"/>
    <b v="1"/>
    <n v="37"/>
    <n v="0.988618417163043"/>
    <n v="0.98594172880342201"/>
    <b v="0"/>
    <n v="3.4290612944706386E-3"/>
  </r>
  <r>
    <x v="156"/>
    <n v="9"/>
    <n v="40"/>
    <n v="12"/>
    <n v="2301"/>
    <n v="4"/>
    <n v="2341"/>
    <n v="2297"/>
    <n v="-6.9656073138876793E-3"/>
    <s v="No Backlog"/>
    <n v="0.9812046134130713"/>
    <n v="6.868432293891499"/>
    <n v="29.436138402392139"/>
    <b v="1"/>
    <n v="37"/>
    <n v="0.98195926435562808"/>
    <n v="0.98383374775457066"/>
    <b v="0"/>
    <n v="1.7086715079026058E-3"/>
  </r>
  <r>
    <x v="157"/>
    <n v="3"/>
    <n v="9"/>
    <n v="7"/>
    <n v="2294"/>
    <n v="13"/>
    <n v="2303"/>
    <n v="2281"/>
    <n v="3.5072336694432268E-3"/>
    <s v="Backlog"/>
    <n v="0.99044724272687801"/>
    <n v="6.9331306990881458"/>
    <n v="29.71341728180634"/>
    <b v="1"/>
    <n v="37"/>
    <n v="0.98703749469390001"/>
    <n v="0.98993727775110418"/>
    <s v="STRAIN"/>
    <n v="5.6448111159357363E-3"/>
  </r>
  <r>
    <x v="158"/>
    <n v="3"/>
    <n v="23"/>
    <n v="4"/>
    <n v="2300"/>
    <n v="11"/>
    <n v="2323"/>
    <n v="2289"/>
    <n v="-4.3687199650502403E-4"/>
    <s v="No Backlog"/>
    <n v="0.98536375376668106"/>
    <n v="6.8975462763667679"/>
    <n v="29.560912613000433"/>
    <b v="1"/>
    <n v="37"/>
    <n v="0.98704196365123642"/>
    <n v="0.98323962831065725"/>
    <b v="0"/>
    <n v="4.7352561343090831E-3"/>
  </r>
  <r>
    <x v="159"/>
    <n v="7"/>
    <n v="19"/>
    <n v="14"/>
    <n v="2305"/>
    <n v="17"/>
    <n v="2324"/>
    <n v="2288"/>
    <n v="6.118881118881119E-3"/>
    <s v="Backlog"/>
    <n v="0.98450946643717729"/>
    <n v="6.8915662650602414"/>
    <n v="29.535283993115318"/>
    <b v="1"/>
    <n v="38"/>
    <n v="0.98380585973505319"/>
    <n v="0.98627863760105883"/>
    <s v="STRAIN"/>
    <n v="7.3149741824440617E-3"/>
  </r>
  <r>
    <x v="160"/>
    <n v="10"/>
    <n v="25"/>
    <n v="5"/>
    <n v="2308"/>
    <n v="6"/>
    <n v="2333"/>
    <n v="2302"/>
    <n v="-4.3440486533449172E-4"/>
    <s v="No Backlog"/>
    <n v="0.98671238748392631"/>
    <n v="6.906986712387484"/>
    <n v="29.601371624517789"/>
    <b v="1"/>
    <n v="38"/>
    <n v="0.98707641894767995"/>
    <n v="0.98779569552132251"/>
    <b v="0"/>
    <n v="2.5717959708529792E-3"/>
  </r>
  <r>
    <x v="161"/>
    <n v="4"/>
    <n v="15"/>
    <n v="6"/>
    <n v="2305"/>
    <n v="4"/>
    <n v="2320"/>
    <n v="2301"/>
    <n v="-1.1734028683181226E-2"/>
    <s v="No Backlog"/>
    <n v="0.99181034482758623"/>
    <n v="6.9426724137931037"/>
    <n v="29.754310344827587"/>
    <b v="1"/>
    <n v="38"/>
    <n v="0.98913365646796525"/>
    <n v="0.98834625734042714"/>
    <b v="0"/>
    <n v="1.7241379310344827E-3"/>
  </r>
  <r>
    <x v="162"/>
    <n v="7"/>
    <n v="26"/>
    <n v="10"/>
    <n v="2288"/>
    <n v="14"/>
    <n v="2314"/>
    <n v="2274"/>
    <n v="3.9577836411609502E-3"/>
    <s v="Backlog"/>
    <n v="0.98271391529818497"/>
    <n v="6.8789974070872946"/>
    <n v="29.48141745894555"/>
    <b v="1"/>
    <n v="38"/>
    <n v="0.98458839869712744"/>
    <n v="0.98376428234761859"/>
    <s v="STRAIN"/>
    <n v="6.0501296456352636E-3"/>
  </r>
  <r>
    <x v="163"/>
    <n v="11"/>
    <n v="30"/>
    <n v="5"/>
    <n v="2291"/>
    <n v="8"/>
    <n v="2321"/>
    <n v="2283"/>
    <n v="-1.7520805957074025E-3"/>
    <s v="No Backlog"/>
    <n v="0.98362774666092201"/>
    <n v="6.8853942266264543"/>
    <n v="29.508832399827661"/>
    <b v="1"/>
    <n v="38"/>
    <n v="0.98652752971812618"/>
    <n v="0.98103704351456522"/>
    <b v="0"/>
    <n v="3.4467901766479965E-3"/>
  </r>
  <r>
    <x v="164"/>
    <n v="4"/>
    <n v="19"/>
    <n v="12"/>
    <n v="2286"/>
    <n v="7"/>
    <n v="2305"/>
    <n v="2279"/>
    <n v="-4.3878894251864857E-3"/>
    <s v="No Backlog"/>
    <n v="0.98872017353579178"/>
    <n v="6.9210412147505425"/>
    <n v="29.661605206073752"/>
    <b v="1"/>
    <n v="39"/>
    <n v="0.98491783819521261"/>
    <n v="0.98759723735400951"/>
    <b v="0"/>
    <n v="3.036876355748373E-3"/>
  </r>
  <r>
    <x v="165"/>
    <n v="5"/>
    <n v="26"/>
    <n v="9"/>
    <n v="2282"/>
    <n v="13"/>
    <n v="2308"/>
    <n v="2269"/>
    <n v="4.8479506390480386E-3"/>
    <s v="Backlog"/>
    <n v="0.98310225303292897"/>
    <n v="6.8817157712305033"/>
    <n v="29.49306759098787"/>
    <b v="1"/>
    <n v="39"/>
    <n v="0.98557503089893461"/>
    <n v="0.98656924245849353"/>
    <s v="STRAIN"/>
    <n v="5.6325823223570192E-3"/>
  </r>
  <r>
    <x v="166"/>
    <n v="5"/>
    <n v="26"/>
    <n v="10"/>
    <n v="2283"/>
    <n v="3"/>
    <n v="2309"/>
    <n v="2280"/>
    <n v="-9.6491228070175444E-3"/>
    <s v="No Backlog"/>
    <n v="0.98744045041143347"/>
    <n v="6.9120831528800339"/>
    <n v="29.623213512343003"/>
    <b v="1"/>
    <n v="39"/>
    <n v="0.98815972698507615"/>
    <n v="0.98889928856659826"/>
    <b v="0"/>
    <n v="1.2992637505413599E-3"/>
  </r>
  <r>
    <x v="167"/>
    <n v="8"/>
    <n v="22"/>
    <n v="8"/>
    <n v="2267"/>
    <n v="9"/>
    <n v="2289"/>
    <n v="2258"/>
    <n v="4.4286979627989372E-4"/>
    <s v="Backlog"/>
    <n v="0.98645696810834427"/>
    <n v="6.90519877675841"/>
    <n v="29.593709043250328"/>
    <b v="1"/>
    <n v="39"/>
    <n v="0.98566956898080615"/>
    <n v="0.98795325469637396"/>
    <s v="STRAIN"/>
    <n v="3.9318479685452159E-3"/>
  </r>
  <r>
    <x v="168"/>
    <n v="18"/>
    <n v="25"/>
    <n v="17"/>
    <n v="2265"/>
    <n v="6"/>
    <n v="2290"/>
    <n v="2259"/>
    <n v="-5.754758742806552E-3"/>
    <s v="No Backlog"/>
    <n v="0.98646288209606992"/>
    <n v="6.905240174672489"/>
    <n v="29.593886462882097"/>
    <b v="1"/>
    <n v="39"/>
    <n v="0.98563876574656106"/>
    <n v="0.98745510093712929"/>
    <b v="0"/>
    <n v="2.6200873362445414E-3"/>
  </r>
  <r>
    <x v="169"/>
    <n v="6"/>
    <n v="19"/>
    <n v="10"/>
    <n v="2251"/>
    <n v="5"/>
    <n v="2270"/>
    <n v="2246"/>
    <n v="-5.3428317008014248E-3"/>
    <s v="No Backlog"/>
    <n v="0.98942731277533036"/>
    <n v="6.9259911894273127"/>
    <n v="29.682819383259911"/>
    <b v="1"/>
    <n v="40"/>
    <n v="0.9839368265717694"/>
    <n v="0.99006681623896631"/>
    <b v="0"/>
    <n v="2.2026431718061676E-3"/>
  </r>
  <r>
    <x v="170"/>
    <n v="12"/>
    <n v="34"/>
    <n v="12"/>
    <n v="2243"/>
    <n v="9"/>
    <n v="2277"/>
    <n v="2234"/>
    <n v="-8.9525514771709937E-4"/>
    <s v="No Backlog"/>
    <n v="0.98111550285463334"/>
    <n v="6.8678085199824332"/>
    <n v="29.433465085639"/>
    <b v="1"/>
    <n v="40"/>
    <n v="0.98379490201343023"/>
    <n v="0.98339839807858687"/>
    <b v="0"/>
    <n v="3.952569169960474E-3"/>
  </r>
  <r>
    <x v="171"/>
    <n v="12"/>
    <n v="22"/>
    <n v="9"/>
    <n v="2237"/>
    <n v="5"/>
    <n v="2259"/>
    <n v="2232"/>
    <n v="-4.0322580645161289E-3"/>
    <s v="No Backlog"/>
    <n v="0.98804780876494025"/>
    <n v="6.9163346613545817"/>
    <n v="29.641434262948209"/>
    <b v="1"/>
    <n v="40"/>
    <n v="0.98904202032449917"/>
    <n v="0.98772726259142529"/>
    <b v="0"/>
    <n v="2.213368747233289E-3"/>
  </r>
  <r>
    <x v="172"/>
    <n v="7"/>
    <n v="14"/>
    <n v="7"/>
    <n v="2234"/>
    <n v="11"/>
    <n v="2248"/>
    <n v="2223"/>
    <n v="-3.5987404408457041E-3"/>
    <s v="No Backlog"/>
    <n v="0.98887900355871883"/>
    <n v="6.9221530249110321"/>
    <n v="29.666370106761565"/>
    <b v="1"/>
    <n v="40"/>
    <n v="0.98961856514024094"/>
    <n v="0.98719989411938736"/>
    <b v="0"/>
    <n v="4.8932384341637009E-3"/>
  </r>
  <r>
    <x v="173"/>
    <n v="12"/>
    <n v="26"/>
    <n v="18"/>
    <n v="2223"/>
    <n v="8"/>
    <n v="2249"/>
    <n v="2215"/>
    <n v="-4.5146726862302479E-3"/>
    <s v="No Backlog"/>
    <n v="0.98488216985326815"/>
    <n v="6.8941751889728771"/>
    <n v="29.546465095598045"/>
    <b v="1"/>
    <n v="40"/>
    <n v="0.98716585556883585"/>
    <n v="0.98264173821641476"/>
    <b v="0"/>
    <n v="3.5571365051133837E-3"/>
  </r>
  <r>
    <x v="174"/>
    <n v="5"/>
    <n v="31"/>
    <n v="16"/>
    <n v="2208"/>
    <n v="3"/>
    <n v="2239"/>
    <n v="2205"/>
    <n v="-1.1791383219954649E-2"/>
    <s v="No Backlog"/>
    <n v="0.98481464939705221"/>
    <n v="6.8937025457793659"/>
    <n v="29.544439481911567"/>
    <b v="1"/>
    <n v="41"/>
    <n v="0.98663098458762044"/>
    <n v="0.98723085411029077"/>
    <b v="0"/>
    <n v="1.3398838767306833E-3"/>
  </r>
  <r>
    <x v="175"/>
    <n v="17"/>
    <n v="36"/>
    <n v="7"/>
    <n v="2191"/>
    <n v="12"/>
    <n v="2227"/>
    <n v="2179"/>
    <n v="4.1303350160624142E-3"/>
    <s v="Backlog"/>
    <n v="0.97844634036820832"/>
    <n v="6.8491243825774584"/>
    <n v="29.35339021104625"/>
    <b v="1"/>
    <n v="41"/>
    <n v="0.98457633003540534"/>
    <n v="0.98593060198090565"/>
    <s v="STRAIN"/>
    <n v="5.3884149079479124E-3"/>
  </r>
  <r>
    <x v="176"/>
    <n v="9"/>
    <n v="25"/>
    <n v="8"/>
    <n v="2193"/>
    <n v="5"/>
    <n v="2218"/>
    <n v="2188"/>
    <n v="-9.1407678244972577E-4"/>
    <s v="No Backlog"/>
    <n v="0.98647430117222723"/>
    <n v="6.9053201082055908"/>
    <n v="29.594229035166816"/>
    <b v="1"/>
    <n v="41"/>
    <n v="0.98607779723738376"/>
    <n v="0.98715100826401625"/>
    <b v="0"/>
    <n v="2.254283137962128E-3"/>
  </r>
  <r>
    <x v="177"/>
    <n v="9"/>
    <n v="20"/>
    <n v="5"/>
    <n v="2188"/>
    <n v="2"/>
    <n v="2208"/>
    <n v="2186"/>
    <n v="-1.3266239707227814E-2"/>
    <s v="No Backlog"/>
    <n v="0.99003623188405798"/>
    <n v="6.9302536231884062"/>
    <n v="29.701086956521738"/>
    <b v="1"/>
    <n v="41"/>
    <n v="0.98872147415098421"/>
    <n v="0.98891769360509796"/>
    <b v="0"/>
    <n v="9.0579710144927537E-4"/>
  </r>
  <r>
    <x v="178"/>
    <n v="1"/>
    <n v="19"/>
    <n v="13"/>
    <n v="2159"/>
    <n v="2"/>
    <n v="2178"/>
    <n v="2157"/>
    <n v="0"/>
    <s v="No Backlog"/>
    <n v="0.99035812672176304"/>
    <n v="6.932506887052341"/>
    <n v="29.710743801652892"/>
    <b v="1"/>
    <n v="42"/>
    <n v="0.98793945570090957"/>
    <n v="0.98789180431057599"/>
    <b v="0"/>
    <n v="9.1827364554637281E-4"/>
  </r>
  <r>
    <x v="179"/>
    <n v="9"/>
    <n v="21"/>
    <n v="15"/>
    <n v="2159"/>
    <n v="2"/>
    <n v="2180"/>
    <n v="2157"/>
    <n v="-8.3449235048678721E-3"/>
    <s v="No Backlog"/>
    <n v="0.98944954128440366"/>
    <n v="6.9261467889908257"/>
    <n v="29.683486238532108"/>
    <b v="1"/>
    <n v="42"/>
    <n v="0.98492542393198246"/>
    <n v="0.98288083195200215"/>
    <b v="0"/>
    <n v="9.1743119266055051E-4"/>
  </r>
  <r>
    <x v="180"/>
    <n v="12"/>
    <n v="19"/>
    <n v="7"/>
    <n v="2145"/>
    <n v="6"/>
    <n v="2164"/>
    <n v="2139"/>
    <n v="-3.2725572697522207E-3"/>
    <s v="No Backlog"/>
    <n v="0.98844731977818856"/>
    <n v="6.9191312384473198"/>
    <n v="29.653419593345657"/>
    <b v="1"/>
    <n v="42"/>
    <n v="0.989047189300859"/>
    <n v="0.98150395591129591"/>
    <b v="0"/>
    <n v="2.7726432532347504E-3"/>
  </r>
  <r>
    <x v="181"/>
    <n v="7"/>
    <n v="13"/>
    <n v="11"/>
    <n v="2139"/>
    <n v="7"/>
    <n v="2152"/>
    <n v="2132"/>
    <n v="9.3808630393996248E-4"/>
    <s v="Backlog"/>
    <n v="0.99070631970260226"/>
    <n v="6.9349442379182156"/>
    <n v="29.721189591078069"/>
    <b v="1"/>
    <n v="42"/>
    <n v="0.99206059164810267"/>
    <n v="0.98199013089807174"/>
    <s v="STRAIN"/>
    <n v="3.2527881040892194E-3"/>
  </r>
  <r>
    <x v="182"/>
    <n v="15"/>
    <n v="29"/>
    <n v="9"/>
    <n v="2136"/>
    <n v="2"/>
    <n v="2165"/>
    <n v="2134"/>
    <n v="-7.9662605435801316E-3"/>
    <s v="No Backlog"/>
    <n v="0.9856812933025404"/>
    <n v="6.8997690531177831"/>
    <n v="29.570438799076211"/>
    <b v="1"/>
    <n v="42"/>
    <n v="0.98675450432917278"/>
    <n v="0.9795545527628734"/>
    <b v="0"/>
    <n v="9.2378752886836026E-4"/>
  </r>
  <r>
    <x v="183"/>
    <n v="9"/>
    <n v="20"/>
    <n v="11"/>
    <n v="2124"/>
    <n v="7"/>
    <n v="2144"/>
    <n v="2117"/>
    <n v="-3.3065658951346244E-3"/>
    <s v="No Backlog"/>
    <n v="0.98740671641791045"/>
    <n v="6.9118470149253728"/>
    <n v="29.622201492537314"/>
    <b v="1"/>
    <n v="43"/>
    <n v="0.98760293587202419"/>
    <n v="0.98173122063821072"/>
    <b v="0"/>
    <n v="3.2649253731343282E-3"/>
  </r>
  <r>
    <x v="184"/>
    <n v="6"/>
    <n v="22"/>
    <n v="14"/>
    <n v="2119"/>
    <n v="9"/>
    <n v="2141"/>
    <n v="2110"/>
    <n v="-4.2654028436018955E-3"/>
    <s v="No Backlog"/>
    <n v="0.98552078468005599"/>
    <n v="6.8986454927603917"/>
    <n v="29.565623540401681"/>
    <b v="1"/>
    <n v="43"/>
    <n v="0.98547313328972241"/>
    <n v="0.98110236125194517"/>
    <b v="0"/>
    <n v="4.2036431574030827E-3"/>
  </r>
  <r>
    <x v="185"/>
    <n v="19"/>
    <n v="34"/>
    <n v="6"/>
    <n v="2109"/>
    <n v="8"/>
    <n v="2143"/>
    <n v="2101"/>
    <n v="9.519276534983341E-4"/>
    <s v="Backlog"/>
    <n v="0.98040130657956137"/>
    <n v="6.8628091460569296"/>
    <n v="29.412039197386839"/>
    <b v="1"/>
    <n v="43"/>
    <n v="0.97835671459958096"/>
    <n v="0.97835231205755324"/>
    <s v="STRAIN"/>
    <n v="3.733084461035931E-3"/>
  </r>
  <r>
    <x v="186"/>
    <n v="5"/>
    <n v="14"/>
    <n v="0"/>
    <n v="2111"/>
    <n v="8"/>
    <n v="2125"/>
    <n v="2103"/>
    <n v="4.2796005706134095E-3"/>
    <s v="Backlog"/>
    <n v="0.98964705882352944"/>
    <n v="6.9275294117647057"/>
    <n v="29.689411764705884"/>
    <b v="1"/>
    <n v="43"/>
    <n v="0.98210382543396646"/>
    <n v="0.98401721187228008"/>
    <s v="STRAIN"/>
    <n v="3.7647058823529413E-3"/>
  </r>
  <r>
    <x v="187"/>
    <n v="1"/>
    <n v="9"/>
    <n v="8"/>
    <n v="2117"/>
    <n v="5"/>
    <n v="2126"/>
    <n v="2112"/>
    <n v="-9.46969696969697E-4"/>
    <s v="No Backlog"/>
    <n v="0.99341486359360298"/>
    <n v="6.9539040451552205"/>
    <n v="29.802445907808089"/>
    <b v="1"/>
    <n v="43"/>
    <n v="0.98334440284357205"/>
    <n v="0.98766137916522256"/>
    <b v="0"/>
    <n v="2.3518344308560675E-3"/>
  </r>
  <r>
    <x v="188"/>
    <n v="4"/>
    <n v="20"/>
    <n v="9"/>
    <n v="2116"/>
    <n v="6"/>
    <n v="2136"/>
    <n v="2110"/>
    <n v="-2.3696682464454978E-3"/>
    <s v="No Backlog"/>
    <n v="0.98782771535580527"/>
    <n v="6.9147940074906371"/>
    <n v="29.634831460674157"/>
    <b v="1"/>
    <n v="44"/>
    <n v="0.98062776378950578"/>
    <n v="0.98771551057046469"/>
    <b v="0"/>
    <n v="2.8089887640449437E-3"/>
  </r>
  <r>
    <x v="189"/>
    <n v="6"/>
    <n v="18"/>
    <n v="2"/>
    <n v="2113"/>
    <n v="8"/>
    <n v="2131"/>
    <n v="2105"/>
    <n v="-4.2755344418052253E-3"/>
    <s v="No Backlog"/>
    <n v="0.98779915532613793"/>
    <n v="6.9145940872829659"/>
    <n v="29.633974659784137"/>
    <b v="1"/>
    <n v="44"/>
    <n v="0.98192744009232458"/>
    <n v="0.98445399244746323"/>
    <b v="0"/>
    <n v="3.7541060534960111E-3"/>
  </r>
  <r>
    <x v="190"/>
    <n v="3"/>
    <n v="11"/>
    <n v="7"/>
    <n v="2116"/>
    <n v="20"/>
    <n v="2127"/>
    <n v="2096"/>
    <n v="2.8625954198473282E-3"/>
    <s v="Backlog"/>
    <n v="0.98542548189938883"/>
    <n v="6.8979783732957216"/>
    <n v="29.562764456981665"/>
    <b v="1"/>
    <n v="44"/>
    <n v="0.98105470986161158"/>
    <n v="0.98225763639864883"/>
    <s v="STRAIN"/>
    <n v="9.4029149036201215E-3"/>
  </r>
  <r>
    <x v="191"/>
    <n v="6"/>
    <n v="28"/>
    <n v="8"/>
    <n v="2125"/>
    <n v="23"/>
    <n v="2153"/>
    <n v="2102"/>
    <n v="2.3786869647954329E-3"/>
    <s v="Backlog"/>
    <n v="0.97631212261960054"/>
    <n v="6.8341848583372036"/>
    <n v="29.289363678588018"/>
    <b v="1"/>
    <n v="44"/>
    <n v="0.97630772007757272"/>
    <n v="0.97695763301903404"/>
    <s v="STRAIN"/>
    <n v="1.0682768230376219E-2"/>
  </r>
  <r>
    <x v="192"/>
    <n v="12"/>
    <n v="25"/>
    <n v="15"/>
    <n v="2137"/>
    <n v="30"/>
    <n v="2162"/>
    <n v="2107"/>
    <n v="3.7019458946369245E-2"/>
    <s v="Backlog"/>
    <n v="0.97456059204440337"/>
    <n v="6.8219241443108238"/>
    <n v="29.236817761332102"/>
    <b v="1"/>
    <n v="44"/>
    <n v="0.976473978482717"/>
    <n v="0.98020760447013888"/>
    <s v="STRAIN"/>
    <n v="1.3876040703052728E-2"/>
  </r>
  <r>
    <x v="193"/>
    <n v="7"/>
    <n v="27"/>
    <n v="6"/>
    <n v="2218"/>
    <n v="33"/>
    <n v="2245"/>
    <n v="2185"/>
    <n v="5.9496567505720821E-3"/>
    <s v="Backlog"/>
    <n v="0.97327394209354123"/>
    <n v="6.8129175946547882"/>
    <n v="29.198218262806236"/>
    <b v="1"/>
    <n v="45"/>
    <n v="0.97759091841519163"/>
    <n v="0.98115751899197612"/>
    <s v="STRAIN"/>
    <n v="1.4699331848552339E-2"/>
  </r>
  <r>
    <x v="194"/>
    <n v="5"/>
    <n v="20"/>
    <n v="4"/>
    <n v="2238"/>
    <n v="40"/>
    <n v="2258"/>
    <n v="2198"/>
    <n v="2.0018198362147407E-2"/>
    <s v="Backlog"/>
    <n v="0.9734278122232064"/>
    <n v="6.8139946855624451"/>
    <n v="29.202834366696191"/>
    <b v="1"/>
    <n v="45"/>
    <n v="0.9805155590041652"/>
    <n v="0.98043693475028504"/>
    <s v="STRAIN"/>
    <n v="1.771479185119575E-2"/>
  </r>
  <r>
    <x v="195"/>
    <n v="4"/>
    <n v="25"/>
    <n v="10"/>
    <n v="2272"/>
    <n v="30"/>
    <n v="2297"/>
    <n v="2242"/>
    <n v="8.9206066012488851E-3"/>
    <s v="Backlog"/>
    <n v="0.97605572485851111"/>
    <n v="6.8323900740095773"/>
    <n v="29.281671745755332"/>
    <b v="1"/>
    <n v="45"/>
    <n v="0.97858227721364988"/>
    <n v="0.97291544075583136"/>
    <s v="STRAIN"/>
    <n v="1.3060513713539399E-2"/>
  </r>
  <r>
    <x v="196"/>
    <n v="8"/>
    <n v="29"/>
    <n v="18"/>
    <n v="2287"/>
    <n v="25"/>
    <n v="2316"/>
    <n v="2262"/>
    <n v="1.7683465959328027E-3"/>
    <s v="Backlog"/>
    <n v="0.97668393782383423"/>
    <n v="6.8367875647668397"/>
    <n v="29.300518134715027"/>
    <b v="1"/>
    <n v="45"/>
    <n v="0.97788686436087158"/>
    <n v="0.97282970339965158"/>
    <s v="STRAIN"/>
    <n v="1.079447322970639E-2"/>
  </r>
  <r>
    <x v="197"/>
    <n v="12"/>
    <n v="24"/>
    <n v="4"/>
    <n v="2297"/>
    <n v="31"/>
    <n v="2321"/>
    <n v="2266"/>
    <n v="3.8834951456310676E-2"/>
    <s v="Backlog"/>
    <n v="0.976303317535545"/>
    <n v="6.8341232227488149"/>
    <n v="29.289099526066352"/>
    <b v="1"/>
    <n v="46"/>
    <n v="0.97695323047700633"/>
    <n v="0.97539022665150166"/>
    <s v="STRAIN"/>
    <n v="1.3356311934510987E-2"/>
  </r>
  <r>
    <x v="198"/>
    <n v="10"/>
    <n v="15"/>
    <n v="17"/>
    <n v="2391"/>
    <n v="37"/>
    <n v="2406"/>
    <n v="2354"/>
    <n v="1.4443500424808835E-2"/>
    <s v="Backlog"/>
    <n v="0.97838736492103073"/>
    <n v="6.848711554447215"/>
    <n v="29.351620947630924"/>
    <b v="0"/>
    <n v="46"/>
    <n v="0.98212099090845251"/>
    <n v="0.97499312145069772"/>
    <s v="STRAIN"/>
    <n v="1.5378221113881962E-2"/>
  </r>
  <r>
    <x v="199"/>
    <n v="12"/>
    <n v="21"/>
    <n v="1"/>
    <n v="2411"/>
    <n v="23"/>
    <n v="2432"/>
    <n v="2388"/>
    <n v="8.375209380234506E-4"/>
    <s v="Backlog"/>
    <n v="0.98190789473684215"/>
    <n v="6.8733552631578947"/>
    <n v="29.457236842105264"/>
    <b v="1"/>
    <n v="46"/>
    <n v="0.98547449531362652"/>
    <n v="0.97158348731999489"/>
    <s v="STRAIN"/>
    <n v="9.4572368421052631E-3"/>
  </r>
  <r>
    <x v="200"/>
    <n v="11"/>
    <n v="7"/>
    <n v="7"/>
    <n v="2413"/>
    <n v="23"/>
    <n v="2420"/>
    <n v="2390"/>
    <n v="-4.1841004184100416E-4"/>
    <s v="No Backlog"/>
    <n v="0.98760330578512401"/>
    <n v="6.9132231404958677"/>
    <n v="29.628099173553721"/>
    <b v="0"/>
    <n v="46"/>
    <n v="0.98752468153124384"/>
    <n v="0.96625730181879921"/>
    <b v="0"/>
    <n v="9.5041322314049579E-3"/>
  </r>
  <r>
    <x v="201"/>
    <n v="20"/>
    <n v="22"/>
    <n v="14"/>
    <n v="2413"/>
    <n v="24"/>
    <n v="2435"/>
    <n v="2389"/>
    <n v="-4.1858518208455421E-4"/>
    <s v="No Backlog"/>
    <n v="0.98110882956878853"/>
    <n v="6.8677618069815196"/>
    <n v="29.433264887063658"/>
    <b v="1"/>
    <n v="46"/>
    <n v="0.97544199311097002"/>
    <n v="0.96950811292029326"/>
    <b v="0"/>
    <n v="9.8562628336755654E-3"/>
  </r>
  <r>
    <x v="202"/>
    <n v="7"/>
    <n v="16"/>
    <n v="8"/>
    <n v="2423"/>
    <n v="35"/>
    <n v="2439"/>
    <n v="2388"/>
    <n v="4.1876046901172533E-2"/>
    <s v="Backlog"/>
    <n v="0.97908979089790893"/>
    <n v="6.8536285362853624"/>
    <n v="29.372693726937268"/>
    <b v="1"/>
    <n v="47"/>
    <n v="0.97403262993668893"/>
    <n v="0.97079306421543554"/>
    <s v="STRAIN"/>
    <n v="1.4350143501435014E-2"/>
  </r>
  <r>
    <x v="203"/>
    <n v="13"/>
    <n v="25"/>
    <n v="15"/>
    <n v="2520"/>
    <n v="32"/>
    <n v="2545"/>
    <n v="2488"/>
    <n v="8.4405144694533769E-3"/>
    <s v="Backlog"/>
    <n v="0.97760314341846755"/>
    <n v="6.8432220039292728"/>
    <n v="29.328094302554028"/>
    <b v="1"/>
    <n v="47"/>
    <n v="0.97604013959296299"/>
    <n v="0.96748486637280684"/>
    <s v="STRAIN"/>
    <n v="1.2573673870333988E-2"/>
  </r>
  <r>
    <x v="204"/>
    <n v="12"/>
    <n v="17"/>
    <n v="17"/>
    <n v="2528"/>
    <n v="19"/>
    <n v="2545"/>
    <n v="2509"/>
    <n v="7.1741729772817854E-3"/>
    <s v="Backlog"/>
    <n v="0.98585461689587428"/>
    <n v="6.9009823182711196"/>
    <n v="29.575638506876228"/>
    <b v="0"/>
    <n v="47"/>
    <n v="0.97872674743811949"/>
    <n v="0.96582317150071884"/>
    <s v="STRAIN"/>
    <n v="7.4656188605108052E-3"/>
  </r>
  <r>
    <x v="205"/>
    <n v="18"/>
    <n v="19"/>
    <n v="11"/>
    <n v="2536"/>
    <n v="9"/>
    <n v="2555"/>
    <n v="2527"/>
    <n v="-3.9572615749901069E-3"/>
    <s v="No Backlog"/>
    <n v="0.989041095890411"/>
    <n v="6.9232876712328775"/>
    <n v="29.671232876712331"/>
    <b v="1"/>
    <n v="47"/>
    <n v="0.97515008789677937"/>
    <n v="0.96917376358202767"/>
    <b v="0"/>
    <n v="3.5225048923679062E-3"/>
  </r>
  <r>
    <x v="206"/>
    <n v="8"/>
    <n v="17"/>
    <n v="14"/>
    <n v="2532"/>
    <n v="15"/>
    <n v="2549"/>
    <n v="2517"/>
    <n v="4.5292014302741358E-2"/>
    <s v="Backlog"/>
    <n v="0.98744605727736368"/>
    <n v="6.9121224009415458"/>
    <n v="29.62338171832091"/>
    <b v="1"/>
    <n v="48"/>
    <n v="0.96617867756491904"/>
    <n v="0.97549003793873079"/>
    <s v="STRAIN"/>
    <n v="5.8846606512357787E-3"/>
  </r>
  <r>
    <x v="207"/>
    <n v="15"/>
    <n v="10"/>
    <n v="23"/>
    <n v="2703"/>
    <n v="72"/>
    <n v="2713"/>
    <n v="2631"/>
    <n v="2.0904599011782592E-2"/>
    <s v="Backlog"/>
    <n v="0.9697751566531515"/>
    <n v="6.7884260965720609"/>
    <n v="29.093254699594546"/>
    <b v="0"/>
    <n v="48"/>
    <n v="0.96384127646247475"/>
    <n v="0.96679348906240203"/>
    <s v="STRAIN"/>
    <n v="2.6538886841135274E-2"/>
  </r>
  <r>
    <x v="208"/>
    <n v="16"/>
    <n v="20"/>
    <n v="20"/>
    <n v="2752"/>
    <n v="66"/>
    <n v="2772"/>
    <n v="2686"/>
    <n v="2.3454951600893521E-2"/>
    <s v="Backlog"/>
    <n v="0.96897546897546893"/>
    <n v="6.7828282828282829"/>
    <n v="29.069264069264069"/>
    <b v="0"/>
    <n v="48"/>
    <n v="0.96573590325421554"/>
    <n v="0.96313035432636762"/>
    <s v="STRAIN"/>
    <n v="2.3809523809523808E-2"/>
  </r>
  <r>
    <x v="209"/>
    <n v="11"/>
    <n v="22"/>
    <n v="12"/>
    <n v="2799"/>
    <n v="50"/>
    <n v="2821"/>
    <n v="2749"/>
    <n v="8.0029101491451444E-3"/>
    <s v="Backlog"/>
    <n v="0.97447713576745831"/>
    <n v="6.8213399503722085"/>
    <n v="29.23431407302375"/>
    <b v="1"/>
    <n v="48"/>
    <n v="0.96592186254730228"/>
    <n v="0.96009504505055121"/>
    <s v="STRAIN"/>
    <n v="1.7724211272598371E-2"/>
  </r>
  <r>
    <x v="210"/>
    <n v="16"/>
    <n v="18"/>
    <n v="15"/>
    <n v="2834"/>
    <n v="63"/>
    <n v="2852"/>
    <n v="2771"/>
    <n v="2.88704438830747E-3"/>
    <s v="Backlog"/>
    <n v="0.97159887798036471"/>
    <n v="6.8011921458625526"/>
    <n v="29.147966339410942"/>
    <b v="1"/>
    <n v="48"/>
    <n v="0.95869530204296405"/>
    <n v="0.95928751394759293"/>
    <s v="STRAIN"/>
    <n v="2.2089761570827489E-2"/>
  </r>
  <r>
    <x v="211"/>
    <n v="15"/>
    <n v="13"/>
    <n v="23"/>
    <n v="2878"/>
    <n v="99"/>
    <n v="2891"/>
    <n v="2779"/>
    <n v="9.2479309103994239E-2"/>
    <s v="Backlog"/>
    <n v="0.96125907990314774"/>
    <n v="6.7288135593220346"/>
    <n v="28.837772397094433"/>
    <b v="0"/>
    <n v="49"/>
    <n v="0.95528275558839604"/>
    <n v="0.9619340684102361"/>
    <s v="STRAIN"/>
    <n v="3.4244206157039089E-2"/>
  </r>
  <r>
    <x v="212"/>
    <n v="25"/>
    <n v="32"/>
    <n v="27"/>
    <n v="3181"/>
    <n v="145"/>
    <n v="3213"/>
    <n v="3036"/>
    <n v="4.9407114624505928E-2"/>
    <s v="Backlog"/>
    <n v="0.9449112978524743"/>
    <n v="6.6143790849673199"/>
    <n v="28.347338935574228"/>
    <b v="1"/>
    <n v="49"/>
    <n v="0.95422265822628605"/>
    <n v="0.96014346194793998"/>
    <s v="STRAIN"/>
    <n v="4.5129162776221601E-2"/>
  </r>
  <r>
    <x v="213"/>
    <n v="26"/>
    <n v="36"/>
    <n v="36"/>
    <n v="3290"/>
    <n v="104"/>
    <n v="3326"/>
    <n v="3186"/>
    <n v="3.1073446327683617E-2"/>
    <s v="Backlog"/>
    <n v="0.957907396271798"/>
    <n v="6.7053517739025859"/>
    <n v="28.73722188815394"/>
    <b v="0"/>
    <n v="49"/>
    <n v="0.96085960887172528"/>
    <n v="0.9531967595320302"/>
    <s v="STRAIN"/>
    <n v="3.1268791340950092E-2"/>
  </r>
  <r>
    <x v="214"/>
    <n v="34"/>
    <n v="54"/>
    <n v="29"/>
    <n v="3359"/>
    <n v="74"/>
    <n v="3413"/>
    <n v="3285"/>
    <n v="4.8706240487062409E-3"/>
    <s v="Backlog"/>
    <n v="0.96249633753296215"/>
    <n v="6.737474362730735"/>
    <n v="28.874890125988866"/>
    <b v="1"/>
    <n v="49"/>
    <n v="0.95989078860511423"/>
    <n v="0.9469385453355188"/>
    <s v="STRAIN"/>
    <n v="2.1681804863756225E-2"/>
  </r>
  <r>
    <x v="215"/>
    <n v="23"/>
    <n v="45"/>
    <n v="11"/>
    <n v="3403"/>
    <n v="102"/>
    <n v="3448"/>
    <n v="3301"/>
    <n v="4.2411390487730989E-3"/>
    <s v="Backlog"/>
    <n v="0.95736658932714613"/>
    <n v="6.7015661252900234"/>
    <n v="28.720997679814385"/>
    <b v="1"/>
    <n v="49"/>
    <n v="0.95153977183039506"/>
    <n v="0.94372170317253512"/>
    <s v="STRAIN"/>
    <n v="2.9582366589327145E-2"/>
  </r>
  <r>
    <x v="216"/>
    <n v="20"/>
    <n v="22"/>
    <n v="41"/>
    <n v="3483"/>
    <n v="168"/>
    <n v="3505"/>
    <n v="3315"/>
    <n v="0.13544494720965308"/>
    <s v="Backlog"/>
    <n v="0.9457917261055635"/>
    <n v="6.620542082738945"/>
    <n v="28.373751783166906"/>
    <b v="0"/>
    <n v="50"/>
    <n v="0.94638393801019238"/>
    <n v="0.94071422435584195"/>
    <s v="STRAIN"/>
    <n v="4.7931526390870186E-2"/>
  </r>
  <r>
    <x v="217"/>
    <n v="47"/>
    <n v="42"/>
    <n v="47"/>
    <n v="3923"/>
    <n v="159"/>
    <n v="3965"/>
    <n v="3764"/>
    <n v="4.5961742826780019E-2"/>
    <s v="Backlog"/>
    <n v="0.94930643127364434"/>
    <n v="6.6451450189155103"/>
    <n v="28.47919293820933"/>
    <b v="0"/>
    <n v="50"/>
    <n v="0.9559577440954844"/>
    <n v="0.94877248349747956"/>
    <s v="STRAIN"/>
    <n v="4.0100882723833546E-2"/>
  </r>
  <r>
    <x v="218"/>
    <n v="32"/>
    <n v="50"/>
    <n v="39"/>
    <n v="4036"/>
    <n v="99"/>
    <n v="4086"/>
    <n v="3937"/>
    <n v="1.4732029464058927E-2"/>
    <s v="Backlog"/>
    <n v="0.96353401860009791"/>
    <n v="6.7447381302006857"/>
    <n v="28.906020558002936"/>
    <b v="1"/>
    <n v="50"/>
    <n v="0.96945482232175184"/>
    <n v="0.95367492970582346"/>
    <s v="STRAIN"/>
    <n v="2.4229074889867842E-2"/>
  </r>
  <r>
    <x v="219"/>
    <n v="32"/>
    <n v="49"/>
    <n v="39"/>
    <n v="4096"/>
    <n v="101"/>
    <n v="4145"/>
    <n v="3995"/>
    <n v="9.7622027534418031E-3"/>
    <s v="Backlog"/>
    <n v="0.96381182147165256"/>
    <n v="6.7466827503015683"/>
    <n v="28.914354644149576"/>
    <b v="1"/>
    <n v="50"/>
    <n v="0.95614897213195749"/>
    <n v="0.9493746306588291"/>
    <s v="STRAIN"/>
    <n v="2.4366706875753919E-2"/>
  </r>
  <r>
    <x v="220"/>
    <n v="33"/>
    <n v="53"/>
    <n v="34"/>
    <n v="4161"/>
    <n v="127"/>
    <n v="4214"/>
    <n v="4034"/>
    <n v="6.1973227565691623E-3"/>
    <s v="Backlog"/>
    <n v="0.95728523967726631"/>
    <n v="6.7009966777408643"/>
    <n v="28.718557190317988"/>
    <b v="1"/>
    <n v="50"/>
    <n v="0.94433299640767077"/>
    <n v="0.95663510507749527"/>
    <s v="STRAIN"/>
    <n v="3.0137636449928808E-2"/>
  </r>
  <r>
    <x v="221"/>
    <n v="29"/>
    <n v="51"/>
    <n v="11"/>
    <n v="4241"/>
    <n v="182"/>
    <n v="4292"/>
    <n v="4059"/>
    <n v="9.5590046809559001E-2"/>
    <s v="Backlog"/>
    <n v="0.945712954333644"/>
    <n v="6.6199906803355084"/>
    <n v="28.371388630009321"/>
    <b v="1"/>
    <n v="51"/>
    <n v="0.93789488567578405"/>
    <n v="0.94963747980534441"/>
    <s v="STRAIN"/>
    <n v="4.2404473438956196E-2"/>
  </r>
  <r>
    <x v="222"/>
    <n v="91"/>
    <n v="75"/>
    <n v="97"/>
    <n v="4621"/>
    <n v="174"/>
    <n v="4696"/>
    <n v="4447"/>
    <n v="4.2050820778052618E-2"/>
    <s v="Backlog"/>
    <n v="0.94697614991482115"/>
    <n v="6.628833049403748"/>
    <n v="28.409284497444634"/>
    <b v="0"/>
    <n v="51"/>
    <n v="0.94130643626047084"/>
    <n v="0.95482233005592421"/>
    <s v="STRAIN"/>
    <n v="3.7052810902896083E-2"/>
  </r>
  <r>
    <x v="223"/>
    <n v="62"/>
    <n v="97"/>
    <n v="52"/>
    <n v="4717"/>
    <n v="83"/>
    <n v="4814"/>
    <n v="4634"/>
    <n v="8.6318515321536469E-3"/>
    <s v="Backlog"/>
    <n v="0.96260905691732446"/>
    <n v="6.738263398421271"/>
    <n v="28.878271707519733"/>
    <b v="1"/>
    <n v="51"/>
    <n v="0.95542379631931951"/>
    <n v="0.95986002682888016"/>
    <s v="STRAIN"/>
    <n v="1.7241379310344827E-2"/>
  </r>
  <r>
    <x v="224"/>
    <n v="59"/>
    <n v="64"/>
    <n v="117"/>
    <n v="4728"/>
    <n v="54"/>
    <n v="4792"/>
    <n v="4674"/>
    <n v="-3.4873769790329481E-2"/>
    <s v="No Backlog"/>
    <n v="0.97537562604340566"/>
    <n v="6.8276293823038401"/>
    <n v="29.261268781302171"/>
    <b v="0"/>
    <n v="51"/>
    <n v="0.95959573342747739"/>
    <n v="0.96602534450784894"/>
    <b v="0"/>
    <n v="1.1268781302170284E-2"/>
  </r>
  <r>
    <x v="225"/>
    <n v="84"/>
    <n v="118"/>
    <n v="136"/>
    <n v="4638"/>
    <n v="127"/>
    <n v="4756"/>
    <n v="4511"/>
    <n v="-1.3079139880292618E-2"/>
    <s v="No Backlog"/>
    <n v="0.94848612279226241"/>
    <n v="6.6394028595458368"/>
    <n v="28.454583683767872"/>
    <b v="0"/>
    <n v="51"/>
    <n v="0.94171178131913402"/>
    <n v="0.95538106831219527"/>
    <b v="0"/>
    <n v="2.6703111858704793E-2"/>
  </r>
  <r>
    <x v="226"/>
    <n v="86"/>
    <n v="152"/>
    <n v="168"/>
    <n v="4628"/>
    <n v="176"/>
    <n v="4780"/>
    <n v="4452"/>
    <n v="6.0646900269541781E-2"/>
    <s v="Backlog"/>
    <n v="0.93138075313807533"/>
    <n v="6.5196652719665273"/>
    <n v="27.94142259414226"/>
    <b v="0"/>
    <n v="52"/>
    <n v="0.94368286180789973"/>
    <n v="0.9494641364206835"/>
    <s v="STRAIN"/>
    <n v="3.682008368200837E-2"/>
  </r>
  <r>
    <x v="227"/>
    <n v="106"/>
    <n v="196"/>
    <n v="131"/>
    <n v="4881"/>
    <n v="159"/>
    <n v="5077"/>
    <n v="4722"/>
    <n v="3.6001694197373992E-3"/>
    <s v="Backlog"/>
    <n v="0.930076817017924"/>
    <n v="6.5105377191254679"/>
    <n v="27.902304510537721"/>
    <b v="1"/>
    <n v="52"/>
    <n v="0.94181941114748446"/>
    <n v="0.93984930109595144"/>
    <s v="STRAIN"/>
    <n v="3.131770730746504E-2"/>
  </r>
  <r>
    <x v="228"/>
    <n v="113"/>
    <n v="162"/>
    <n v="107"/>
    <n v="4903"/>
    <n v="164"/>
    <n v="5065"/>
    <n v="4739"/>
    <n v="1.6670183583034397E-2"/>
    <s v="Backlog"/>
    <n v="0.93563672260612041"/>
    <n v="6.5494570582428429"/>
    <n v="28.069101678183614"/>
    <b v="1"/>
    <n v="52"/>
    <n v="0.94915261640157378"/>
    <n v="0.93873019250125167"/>
    <s v="STRAIN"/>
    <n v="3.2379072063178679E-2"/>
  </r>
  <r>
    <x v="229"/>
    <n v="92"/>
    <n v="124"/>
    <n v="93"/>
    <n v="4957"/>
    <n v="139"/>
    <n v="5081"/>
    <n v="4818"/>
    <n v="4.1511000415110008E-3"/>
    <s v="Backlog"/>
    <n v="0.94823853572131467"/>
    <n v="6.637669750049203"/>
    <n v="28.447156071639441"/>
    <b v="1"/>
    <n v="52"/>
    <n v="0.95267476623087521"/>
    <n v="0.95530245720023854"/>
    <s v="STRAIN"/>
    <n v="2.7356819523715804E-2"/>
  </r>
  <r>
    <x v="230"/>
    <n v="68"/>
    <n v="107"/>
    <n v="102"/>
    <n v="5019"/>
    <n v="181"/>
    <n v="5126"/>
    <n v="4838"/>
    <n v="3.9272426622571311E-3"/>
    <s v="Backlog"/>
    <n v="0.94381584081154901"/>
    <n v="6.606710885680843"/>
    <n v="28.31447522434647"/>
    <b v="1"/>
    <n v="1"/>
    <n v="0.95024545189192056"/>
    <n v="0.95227574991971409"/>
    <s v="STRAIN"/>
    <n v="3.5310183378852909E-2"/>
  </r>
  <r>
    <x v="231"/>
    <n v="74"/>
    <n v="103"/>
    <n v="80"/>
    <n v="5092"/>
    <n v="235"/>
    <n v="5195"/>
    <n v="4857"/>
    <n v="0.10006176652254478"/>
    <s v="Backlog"/>
    <n v="0.93493743984600575"/>
    <n v="6.5445620789220404"/>
    <n v="28.048123195380171"/>
    <b v="1"/>
    <n v="1"/>
    <n v="0.94860672683906699"/>
    <n v="0.93433271068245993"/>
    <s v="STRAIN"/>
    <n v="4.523580365736285E-2"/>
  </r>
  <r>
    <x v="232"/>
    <n v="56"/>
    <n v="82"/>
    <n v="68"/>
    <n v="5507"/>
    <n v="164"/>
    <n v="5589"/>
    <n v="5343"/>
    <n v="1.4598540145985401E-2"/>
    <s v="Backlog"/>
    <n v="0.95598497047772413"/>
    <n v="6.6918947933440691"/>
    <n v="28.679549114331724"/>
    <b v="1"/>
    <n v="1"/>
    <n v="0.96176624509050779"/>
    <n v="0.93962651037771039"/>
    <s v="STRAIN"/>
    <n v="2.9343353014850599E-2"/>
  </r>
  <r>
    <x v="233"/>
    <n v="38"/>
    <n v="80"/>
    <n v="82"/>
    <n v="5605"/>
    <n v="184"/>
    <n v="5685"/>
    <n v="5421"/>
    <n v="2.7485703744696551E-2"/>
    <s v="Backlog"/>
    <n v="0.95356200527704482"/>
    <n v="6.6749340369393142"/>
    <n v="28.606860158311346"/>
    <b v="0"/>
    <n v="1"/>
    <n v="0.9515918952255118"/>
    <n v="0.93860582015677063"/>
    <s v="STRAIN"/>
    <n v="3.2365875109938436E-2"/>
  </r>
  <r>
    <x v="234"/>
    <n v="65"/>
    <n v="83"/>
    <n v="65"/>
    <n v="5703"/>
    <n v="133"/>
    <n v="5786"/>
    <n v="5570"/>
    <n v="1.6157989228007181E-3"/>
    <s v="Backlog"/>
    <n v="0.96266851019702726"/>
    <n v="6.7386795713791905"/>
    <n v="28.880055305910819"/>
    <b v="1"/>
    <n v="2"/>
    <n v="0.95224608629670504"/>
    <n v="0.93498513929703053"/>
    <s v="STRAIN"/>
    <n v="2.2986519184237816E-2"/>
  </r>
  <r>
    <x v="235"/>
    <n v="41"/>
    <n v="60"/>
    <n v="71"/>
    <n v="5769"/>
    <n v="190"/>
    <n v="5829"/>
    <n v="5579"/>
    <n v="2.1150743860906974E-2"/>
    <s v="Backlog"/>
    <n v="0.95711099674043576"/>
    <n v="6.69977697718305"/>
    <n v="28.713329902213072"/>
    <b v="0"/>
    <n v="2"/>
    <n v="0.95973868770979909"/>
    <n v="0.94811818905741818"/>
    <s v="STRAIN"/>
    <n v="3.259564247726883E-2"/>
  </r>
  <r>
    <x v="236"/>
    <n v="43"/>
    <n v="73"/>
    <n v="64"/>
    <n v="5882"/>
    <n v="185"/>
    <n v="5955"/>
    <n v="5697"/>
    <n v="7.4600667017728634E-2"/>
    <s v="Backlog"/>
    <n v="0.95667506297229221"/>
    <n v="6.6967254408060457"/>
    <n v="28.700251889168765"/>
    <b v="1"/>
    <n v="2"/>
    <n v="0.95870536100008574"/>
    <n v="0.94452004322323524"/>
    <s v="STRAIN"/>
    <n v="3.1066330814441646E-2"/>
  </r>
  <r>
    <x v="237"/>
    <n v="35"/>
    <n v="70"/>
    <n v="53"/>
    <n v="6292"/>
    <n v="170"/>
    <n v="6362"/>
    <n v="6122"/>
    <n v="2.270499836654688E-2"/>
    <s v="Backlog"/>
    <n v="0.96227601383212824"/>
    <n v="6.7359320968248975"/>
    <n v="28.868280414963849"/>
    <b v="1"/>
    <n v="2"/>
    <n v="0.94800199767552118"/>
    <n v="0.94879859139907852"/>
    <s v="STRAIN"/>
    <n v="2.6721156868909149E-2"/>
  </r>
  <r>
    <x v="238"/>
    <n v="25"/>
    <n v="66"/>
    <n v="94"/>
    <n v="6405"/>
    <n v="144"/>
    <n v="6471"/>
    <n v="6261"/>
    <n v="2.5555023159239739E-3"/>
    <s v="Backlog"/>
    <n v="0.96754751970329156"/>
    <n v="6.7728326379230408"/>
    <n v="29.026425591098747"/>
    <b v="0"/>
    <n v="2"/>
    <n v="0.94540778499049405"/>
    <n v="0.94218739958478137"/>
    <s v="STRAIN"/>
    <n v="2.2253129346314324E-2"/>
  </r>
  <r>
    <x v="239"/>
    <n v="99"/>
    <n v="156"/>
    <n v="139"/>
    <n v="6454"/>
    <n v="177"/>
    <n v="6610"/>
    <n v="6277"/>
    <n v="-4.4607296479209817E-3"/>
    <s v="No Backlog"/>
    <n v="0.94962178517397877"/>
    <n v="6.6473524962178514"/>
    <n v="28.488653555219365"/>
    <b v="1"/>
    <n v="3"/>
    <n v="0.93663571010523761"/>
    <n v="0.94162110939720622"/>
    <b v="0"/>
    <n v="2.6777609682299548E-2"/>
  </r>
  <r>
    <x v="240"/>
    <n v="107"/>
    <n v="170"/>
    <n v="133"/>
    <n v="6465"/>
    <n v="216"/>
    <n v="6635"/>
    <n v="6249"/>
    <n v="5.1688270123219714E-2"/>
    <s v="Backlog"/>
    <n v="0.94182366239638282"/>
    <n v="6.5927656367746801"/>
    <n v="28.254709871891485"/>
    <b v="1"/>
    <n v="3"/>
    <n v="0.9245627153967082"/>
    <n v="0.93353211247132251"/>
    <s v="STRAIN"/>
    <n v="3.2554634513941222E-2"/>
  </r>
  <r>
    <x v="241"/>
    <n v="80"/>
    <n v="122"/>
    <n v="152"/>
    <n v="6707"/>
    <n v="135"/>
    <n v="6829"/>
    <n v="6572"/>
    <n v="1.5216068167985392E-3"/>
    <s v="Backlog"/>
    <n v="0.96236637867916242"/>
    <n v="6.7365646507541372"/>
    <n v="28.870991360374873"/>
    <b v="0"/>
    <n v="3"/>
    <n v="0.95074588002678162"/>
    <n v="0.94539355703096151"/>
    <s v="STRAIN"/>
    <n v="1.9768633767755162E-2"/>
  </r>
  <r>
    <x v="242"/>
    <n v="57"/>
    <n v="162"/>
    <n v="193"/>
    <n v="6689"/>
    <n v="107"/>
    <n v="6851"/>
    <n v="6582"/>
    <n v="-1.7471893041628685E-2"/>
    <s v="No Backlog"/>
    <n v="0.96073565902787916"/>
    <n v="6.7251496131951543"/>
    <n v="28.822069770836375"/>
    <b v="0"/>
    <n v="3"/>
    <n v="0.94655034125102877"/>
    <n v="0.94322670844451828"/>
    <b v="0"/>
    <n v="1.5618157933148446E-2"/>
  </r>
  <r>
    <x v="243"/>
    <n v="161"/>
    <n v="304"/>
    <n v="211"/>
    <n v="6622"/>
    <n v="155"/>
    <n v="6926"/>
    <n v="6467"/>
    <n v="-2.3194680686562549E-2"/>
    <s v="No Backlog"/>
    <n v="0.93372798151891423"/>
    <n v="6.5360958706323995"/>
    <n v="28.011839445567428"/>
    <b v="1"/>
    <n v="4"/>
    <n v="0.93452457524247157"/>
    <n v="0.93508270725509202"/>
    <b v="0"/>
    <n v="2.2379439792087785E-2"/>
  </r>
  <r>
    <x v="244"/>
    <n v="205"/>
    <n v="294"/>
    <n v="177"/>
    <n v="6548"/>
    <n v="231"/>
    <n v="6842"/>
    <n v="6317"/>
    <n v="1.5830299192654742E-3"/>
    <s v="Backlog"/>
    <n v="0.92326805027769654"/>
    <n v="6.4628763519438754"/>
    <n v="27.698041508330896"/>
    <b v="1"/>
    <n v="4"/>
    <n v="0.92004766487198397"/>
    <n v="0.92879616680425103"/>
    <s v="STRAIN"/>
    <n v="3.3762057877813507E-2"/>
  </r>
  <r>
    <x v="245"/>
    <n v="100"/>
    <n v="255"/>
    <n v="236"/>
    <n v="6595"/>
    <n v="268"/>
    <n v="6850"/>
    <n v="6327"/>
    <n v="5.531847637110795E-3"/>
    <s v="Backlog"/>
    <n v="0.92364963503649633"/>
    <n v="6.4655474452554742"/>
    <n v="27.709489051094891"/>
    <b v="1"/>
    <n v="4"/>
    <n v="0.92863503432846495"/>
    <n v="0.93419202660636613"/>
    <s v="STRAIN"/>
    <n v="3.9124087591240878E-2"/>
  </r>
  <r>
    <x v="246"/>
    <n v="269"/>
    <n v="412"/>
    <n v="204"/>
    <n v="6600"/>
    <n v="238"/>
    <n v="7012"/>
    <n v="6362"/>
    <n v="1.6032694121345489E-2"/>
    <s v="Backlog"/>
    <n v="0.90730176839703369"/>
    <n v="6.3511123787792361"/>
    <n v="27.219053051911011"/>
    <b v="1"/>
    <n v="4"/>
    <n v="0.91627116547164789"/>
    <n v="0.92741295209013941"/>
    <s v="STRAIN"/>
    <n v="3.3941814033086139E-2"/>
  </r>
  <r>
    <x v="247"/>
    <n v="168"/>
    <n v="285"/>
    <n v="210"/>
    <n v="6598"/>
    <n v="134"/>
    <n v="6883"/>
    <n v="6464"/>
    <n v="-1.6862623762376239E-2"/>
    <s v="No Backlog"/>
    <n v="0.93912538137440071"/>
    <n v="6.5738776696208046"/>
    <n v="28.173761441232021"/>
    <b v="1"/>
    <n v="4"/>
    <n v="0.93377305837858071"/>
    <n v="0.93474810767984629"/>
    <b v="0"/>
    <n v="1.946825512131338E-2"/>
  </r>
  <r>
    <x v="248"/>
    <n v="187"/>
    <n v="310"/>
    <n v="247"/>
    <n v="6506"/>
    <n v="151"/>
    <n v="6816"/>
    <n v="6355"/>
    <n v="-7.8678206136900079E-3"/>
    <s v="No Backlog"/>
    <n v="0.93236502347417838"/>
    <n v="6.526555164319249"/>
    <n v="27.970950704225352"/>
    <b v="1"/>
    <n v="5"/>
    <n v="0.929041390667668"/>
    <n v="0.9300254869437008"/>
    <b v="0"/>
    <n v="2.2153755868544601E-2"/>
  </r>
  <r>
    <x v="249"/>
    <n v="133"/>
    <n v="287"/>
    <n v="189"/>
    <n v="6454"/>
    <n v="149"/>
    <n v="6741"/>
    <n v="6305"/>
    <n v="-1.9191118160190326E-2"/>
    <s v="No Backlog"/>
    <n v="0.93532116896602879"/>
    <n v="6.5472481827622016"/>
    <n v="28.059635068980864"/>
    <b v="1"/>
    <n v="5"/>
    <n v="0.93587930097864924"/>
    <n v="0.93378264118652232"/>
    <b v="0"/>
    <n v="2.2103545468031449E-2"/>
  </r>
  <r>
    <x v="250"/>
    <n v="180"/>
    <n v="337"/>
    <n v="219"/>
    <n v="6408"/>
    <n v="224"/>
    <n v="6745"/>
    <n v="6184"/>
    <n v="1.6655886157826649E-2"/>
    <s v="Backlog"/>
    <n v="0.91682727946627129"/>
    <n v="6.4177909562638993"/>
    <n v="27.504818383988137"/>
    <b v="1"/>
    <n v="5"/>
    <n v="0.92557578139853836"/>
    <n v="0.9120177495420938"/>
    <s v="STRAIN"/>
    <n v="3.3209785025945147E-2"/>
  </r>
  <r>
    <x v="251"/>
    <n v="153"/>
    <n v="253"/>
    <n v="286"/>
    <n v="6481"/>
    <n v="194"/>
    <n v="6734"/>
    <n v="6287"/>
    <n v="-5.8851598536662957E-3"/>
    <s v="No Backlog"/>
    <n v="0.93362043362043357"/>
    <n v="6.5353430353430353"/>
    <n v="28.008613008613008"/>
    <b v="0"/>
    <n v="5"/>
    <n v="0.93917742589833475"/>
    <n v="0.93532448378299482"/>
    <b v="0"/>
    <n v="2.880902880902881E-2"/>
  </r>
  <r>
    <x v="252"/>
    <n v="209"/>
    <n v="353"/>
    <n v="232"/>
    <n v="6402"/>
    <n v="152"/>
    <n v="6755"/>
    <n v="6250"/>
    <n v="-1.4239999999999999E-2"/>
    <s v="No Backlog"/>
    <n v="0.92524056254626208"/>
    <n v="6.4766839378238341"/>
    <n v="27.757216876387862"/>
    <b v="1"/>
    <n v="5"/>
    <n v="0.9363823491647536"/>
    <n v="0.92719113955656418"/>
    <b v="0"/>
    <n v="2.2501850481125091E-2"/>
  </r>
  <r>
    <x v="253"/>
    <n v="167"/>
    <n v="326"/>
    <n v="213"/>
    <n v="6310"/>
    <n v="149"/>
    <n v="6636"/>
    <n v="6161"/>
    <n v="-1.0874857977601038E-2"/>
    <s v="No Backlog"/>
    <n v="0.92842073538276071"/>
    <n v="6.4989451476793247"/>
    <n v="27.852622061482823"/>
    <b v="1"/>
    <n v="6"/>
    <n v="0.92939578468402628"/>
    <n v="0.92301312538433478"/>
    <b v="0"/>
    <n v="2.2453285111512958E-2"/>
  </r>
  <r>
    <x v="254"/>
    <n v="224"/>
    <n v="315"/>
    <n v="152"/>
    <n v="6268"/>
    <n v="174"/>
    <n v="6583"/>
    <n v="6094"/>
    <n v="3.2819166393173614E-3"/>
    <s v="Backlog"/>
    <n v="0.92571775786115751"/>
    <n v="6.4800243050281026"/>
    <n v="27.771532735834725"/>
    <b v="1"/>
    <n v="6"/>
    <n v="0.92670185413719031"/>
    <n v="0.92789845676699034"/>
    <s v="STRAIN"/>
    <n v="2.643171806167401E-2"/>
  </r>
  <r>
    <x v="255"/>
    <n v="132"/>
    <n v="243"/>
    <n v="183"/>
    <n v="6286"/>
    <n v="172"/>
    <n v="6529"/>
    <n v="6114"/>
    <n v="7.5237160614982012E-3"/>
    <s v="Backlog"/>
    <n v="0.93643743299126969"/>
    <n v="6.5550620309388883"/>
    <n v="28.093122989738092"/>
    <b v="1"/>
    <n v="6"/>
    <n v="0.93434077319914277"/>
    <n v="0.93866691876127262"/>
    <s v="STRAIN"/>
    <n v="2.6344003675907491E-2"/>
  </r>
  <r>
    <x v="256"/>
    <n v="218"/>
    <n v="283"/>
    <n v="208"/>
    <n v="6310"/>
    <n v="150"/>
    <n v="6593"/>
    <n v="6160"/>
    <n v="-9.7402597402597403E-4"/>
    <s v="No Backlog"/>
    <n v="0.93432428333080542"/>
    <n v="6.5402699833156381"/>
    <n v="28.029728499924161"/>
    <b v="1"/>
    <n v="6"/>
    <n v="0.92076625147436086"/>
    <n v="0.937837839666394"/>
    <b v="0"/>
    <n v="2.2751403003185195E-2"/>
  </r>
  <r>
    <x v="257"/>
    <n v="118"/>
    <n v="245"/>
    <n v="160"/>
    <n v="6269"/>
    <n v="115"/>
    <n v="6514"/>
    <n v="6154"/>
    <n v="-1.1212219694507638E-2"/>
    <s v="No Backlog"/>
    <n v="0.94473441817623582"/>
    <n v="6.6131409272336512"/>
    <n v="28.342032545287076"/>
    <b v="1"/>
    <n v="6"/>
    <n v="0.94088147606089589"/>
    <n v="0.94405435621531819"/>
    <b v="0"/>
    <n v="1.7654283082591343E-2"/>
  </r>
  <r>
    <x v="258"/>
    <n v="81"/>
    <n v="230"/>
    <n v="242"/>
    <n v="6192"/>
    <n v="107"/>
    <n v="6422"/>
    <n v="6085"/>
    <n v="-2.28430566967954E-2"/>
    <s v="No Backlog"/>
    <n v="0.94752413578324512"/>
    <n v="6.6326689504827154"/>
    <n v="28.425724073497353"/>
    <b v="0"/>
    <n v="7"/>
    <n v="0.9383329261750557"/>
    <n v="0.94015768687602352"/>
    <b v="0"/>
    <n v="1.6661476175646218E-2"/>
  </r>
  <r>
    <x v="259"/>
    <n v="236"/>
    <n v="330"/>
    <n v="222"/>
    <n v="6061"/>
    <n v="115"/>
    <n v="6391"/>
    <n v="5946"/>
    <n v="-1.8331651530440633E-2"/>
    <s v="No Backlog"/>
    <n v="0.93037083398529186"/>
    <n v="6.5125958378970434"/>
    <n v="27.911125019558757"/>
    <b v="1"/>
    <n v="7"/>
    <n v="0.92398817468560035"/>
    <n v="0.93387535933729682"/>
    <b v="0"/>
    <n v="1.7994054138632452E-2"/>
  </r>
  <r>
    <x v="260"/>
    <n v="196"/>
    <n v="306"/>
    <n v="187"/>
    <n v="5986"/>
    <n v="149"/>
    <n v="6292"/>
    <n v="5837"/>
    <n v="-2.9124550282679457E-3"/>
    <s v="No Backlog"/>
    <n v="0.9276859504132231"/>
    <n v="6.4938016528925617"/>
    <n v="27.830578512396691"/>
    <b v="1"/>
    <n v="7"/>
    <n v="0.92888255304302314"/>
    <n v="0.93196405071780131"/>
    <b v="0"/>
    <n v="2.3680864589955501E-2"/>
  </r>
  <r>
    <x v="261"/>
    <n v="113"/>
    <n v="280"/>
    <n v="237"/>
    <n v="5963"/>
    <n v="143"/>
    <n v="6243"/>
    <n v="5820"/>
    <n v="-2.9037800687285224E-2"/>
    <s v="No Backlog"/>
    <n v="0.93224411340701585"/>
    <n v="6.5257087938491107"/>
    <n v="27.967323402210475"/>
    <b v="1"/>
    <n v="7"/>
    <n v="0.93657025896914581"/>
    <n v="0.93608985058434535"/>
    <b v="0"/>
    <n v="2.2905654332852795E-2"/>
  </r>
  <r>
    <x v="262"/>
    <n v="239"/>
    <n v="367"/>
    <n v="224"/>
    <n v="5862"/>
    <n v="211"/>
    <n v="6229"/>
    <n v="5651"/>
    <n v="1.1148469297469474E-2"/>
    <s v="Backlog"/>
    <n v="0.9072082196179162"/>
    <n v="6.3504575373254131"/>
    <n v="27.216246588537487"/>
    <b v="1"/>
    <n v="7"/>
    <n v="0.92427980780994934"/>
    <n v="0.93033305113966935"/>
    <s v="STRAIN"/>
    <n v="3.3873816021833363E-2"/>
  </r>
  <r>
    <x v="263"/>
    <n v="152"/>
    <n v="272"/>
    <n v="214"/>
    <n v="5826"/>
    <n v="112"/>
    <n v="6098"/>
    <n v="5714"/>
    <n v="-2.24011200560028E-2"/>
    <s v="No Backlog"/>
    <n v="0.93702853394555596"/>
    <n v="6.5591997376188917"/>
    <n v="28.110856018366679"/>
    <b v="1"/>
    <n v="8"/>
    <n v="0.94020141409997826"/>
    <n v="0.93613617957569129"/>
    <b v="0"/>
    <n v="1.8366677599212858E-2"/>
  </r>
  <r>
    <x v="264"/>
    <n v="170"/>
    <n v="297"/>
    <n v="196"/>
    <n v="5715"/>
    <n v="129"/>
    <n v="6012"/>
    <n v="5586"/>
    <n v="-2.309344790547798E-2"/>
    <s v="No Backlog"/>
    <n v="0.92914171656686628"/>
    <n v="6.5039920159680644"/>
    <n v="27.874251497005989"/>
    <b v="1"/>
    <n v="8"/>
    <n v="0.9309664772678341"/>
    <n v="0.93358694153792698"/>
    <b v="0"/>
    <n v="2.1457085828343315E-2"/>
  </r>
  <r>
    <x v="265"/>
    <n v="191"/>
    <n v="283"/>
    <n v="192"/>
    <n v="5664"/>
    <n v="207"/>
    <n v="5947"/>
    <n v="5457"/>
    <n v="3.3534909290819134E-2"/>
    <s v="Backlog"/>
    <n v="0.91760551538590884"/>
    <n v="6.4232386077013617"/>
    <n v="27.528165461577267"/>
    <b v="1"/>
    <n v="8"/>
    <n v="0.92749270003760531"/>
    <n v="0.92931150173111021"/>
    <s v="STRAIN"/>
    <n v="3.4807465949218096E-2"/>
  </r>
  <r>
    <x v="266"/>
    <n v="109"/>
    <n v="214"/>
    <n v="173"/>
    <n v="5850"/>
    <n v="210"/>
    <n v="6064"/>
    <n v="5640"/>
    <n v="1.6134751773049644E-2"/>
    <s v="Backlog"/>
    <n v="0.93007915567282318"/>
    <n v="6.5105540897097622"/>
    <n v="27.902374670184695"/>
    <b v="1"/>
    <n v="8"/>
    <n v="0.93316065334760134"/>
    <n v="0.93761036290719668"/>
    <s v="STRAIN"/>
    <n v="3.4630606860158314E-2"/>
  </r>
  <r>
    <x v="267"/>
    <n v="155"/>
    <n v="212"/>
    <n v="181"/>
    <n v="5879"/>
    <n v="148"/>
    <n v="6091"/>
    <n v="5731"/>
    <n v="-5.7581573896353169E-3"/>
    <s v="No Backlog"/>
    <n v="0.94089640453127565"/>
    <n v="6.5862748317189297"/>
    <n v="28.226892135938268"/>
    <b v="1"/>
    <n v="9"/>
    <n v="0.9404159961464752"/>
    <n v="0.94163794419064994"/>
    <b v="0"/>
    <n v="2.4298144803808899E-2"/>
  </r>
  <r>
    <x v="268"/>
    <n v="119"/>
    <n v="209"/>
    <n v="152"/>
    <n v="5844"/>
    <n v="146"/>
    <n v="6053"/>
    <n v="5698"/>
    <n v="-2.9835029835029833E-3"/>
    <s v="No Backlog"/>
    <n v="0.94135139600198248"/>
    <n v="6.5894597720138774"/>
    <n v="28.240541880059475"/>
    <b v="1"/>
    <n v="9"/>
    <n v="0.94740463933170249"/>
    <n v="0.93759781248331842"/>
    <b v="0"/>
    <n v="2.4120270940029737E-2"/>
  </r>
  <r>
    <x v="269"/>
    <n v="143"/>
    <n v="203"/>
    <n v="163"/>
    <n v="5819"/>
    <n v="138"/>
    <n v="6022"/>
    <n v="5681"/>
    <n v="-1.0561520859003696E-2"/>
    <s v="No Backlog"/>
    <n v="0.94337429425440056"/>
    <n v="6.6036200597808037"/>
    <n v="28.301228827632016"/>
    <b v="1"/>
    <n v="9"/>
    <n v="0.93930905973011347"/>
    <n v="0.93775718603770608"/>
    <b v="0"/>
    <n v="2.2915974759216206E-2"/>
  </r>
  <r>
    <x v="270"/>
    <n v="105"/>
    <n v="210"/>
    <n v="149"/>
    <n v="5816"/>
    <n v="195"/>
    <n v="6026"/>
    <n v="5621"/>
    <n v="4.1273794698452236E-2"/>
    <s v="Backlog"/>
    <n v="0.93279123796880181"/>
    <n v="6.5295386657816126"/>
    <n v="27.983737139064054"/>
    <b v="1"/>
    <n v="9"/>
    <n v="0.9354117022388948"/>
    <n v="0.93482739087849454"/>
    <s v="STRAIN"/>
    <n v="3.2359774311317625E-2"/>
  </r>
  <r>
    <x v="271"/>
    <n v="119"/>
    <n v="219"/>
    <n v="210"/>
    <n v="6025"/>
    <n v="172"/>
    <n v="6244"/>
    <n v="5853"/>
    <n v="-6.4923970613360669E-3"/>
    <s v="No Backlog"/>
    <n v="0.93737988468930178"/>
    <n v="6.5616591928251129"/>
    <n v="28.121396540679054"/>
    <b v="1"/>
    <n v="9"/>
    <n v="0.93919868638280668"/>
    <n v="0.93461350922363184"/>
    <b v="0"/>
    <n v="2.7546444586803331E-2"/>
  </r>
  <r>
    <x v="272"/>
    <n v="148"/>
    <n v="245"/>
    <n v="175"/>
    <n v="5966"/>
    <n v="151"/>
    <n v="6211"/>
    <n v="5815"/>
    <n v="3.7833190025795358E-3"/>
    <s v="Backlog"/>
    <n v="0.93624215102237962"/>
    <n v="6.5536950571566575"/>
    <n v="28.087264530671387"/>
    <b v="1"/>
    <n v="10"/>
    <n v="0.94069186058197496"/>
    <n v="0.92795883596927786"/>
    <s v="STRAIN"/>
    <n v="2.4311705039446144E-2"/>
  </r>
  <r>
    <x v="273"/>
    <n v="142"/>
    <n v="235"/>
    <n v="139"/>
    <n v="5975"/>
    <n v="138"/>
    <n v="6210"/>
    <n v="5837"/>
    <n v="-3.2550967962994689E-3"/>
    <s v="No Backlog"/>
    <n v="0.93993558776167474"/>
    <n v="6.5795491143317228"/>
    <n v="28.198067632850243"/>
    <b v="1"/>
    <n v="10"/>
    <n v="0.94115753580584949"/>
    <n v="0.93606416807641102"/>
    <b v="0"/>
    <n v="2.2222222222222223E-2"/>
  </r>
  <r>
    <x v="274"/>
    <n v="118"/>
    <n v="139"/>
    <n v="168"/>
    <n v="5963"/>
    <n v="145"/>
    <n v="6102"/>
    <n v="5818"/>
    <n v="1.5297353042282571E-2"/>
    <s v="Backlog"/>
    <n v="0.95345788266142251"/>
    <n v="6.6742051786299577"/>
    <n v="28.603736479842674"/>
    <b v="0"/>
    <n v="10"/>
    <n v="0.94365105581303843"/>
    <n v="0.94596822648016565"/>
    <s v="STRAIN"/>
    <n v="2.3762700753851198E-2"/>
  </r>
  <r>
    <x v="275"/>
    <n v="125"/>
    <n v="232"/>
    <n v="192"/>
    <n v="6084"/>
    <n v="177"/>
    <n v="6316"/>
    <n v="5907"/>
    <n v="7.1102082275266631E-3"/>
    <s v="Backlog"/>
    <n v="0.9352438252058265"/>
    <n v="6.5467067764407858"/>
    <n v="28.057314756174794"/>
    <b v="1"/>
    <n v="10"/>
    <n v="0.9336919515134191"/>
    <n v="0.93739236200478837"/>
    <s v="STRAIN"/>
    <n v="2.8024065864471183E-2"/>
  </r>
  <r>
    <x v="276"/>
    <n v="156"/>
    <n v="256"/>
    <n v="176"/>
    <n v="6086"/>
    <n v="137"/>
    <n v="6342"/>
    <n v="5949"/>
    <n v="-5.0428643469490669E-3"/>
    <s v="No Backlog"/>
    <n v="0.93803216650898769"/>
    <n v="6.5662251655629138"/>
    <n v="28.140964995269631"/>
    <b v="1"/>
    <n v="10"/>
    <n v="0.93744785514858753"/>
    <n v="0.9309954180946618"/>
    <b v="0"/>
    <n v="2.1602018290760014E-2"/>
  </r>
  <r>
    <x v="277"/>
    <n v="109"/>
    <n v="245"/>
    <n v="159"/>
    <n v="6045"/>
    <n v="126"/>
    <n v="6290"/>
    <n v="5919"/>
    <n v="-7.4336881229937488E-3"/>
    <s v="No Backlog"/>
    <n v="0.94101748807631158"/>
    <n v="6.5871224165341813"/>
    <n v="28.230524642289346"/>
    <b v="1"/>
    <n v="11"/>
    <n v="0.93643231091713663"/>
    <n v="0.93958581349581516"/>
    <b v="0"/>
    <n v="2.0031796502384739E-2"/>
  </r>
  <r>
    <x v="278"/>
    <n v="167"/>
    <n v="209"/>
    <n v="157"/>
    <n v="6007"/>
    <n v="132"/>
    <n v="6216"/>
    <n v="5875"/>
    <n v="-1.1744680851063829E-2"/>
    <s v="No Backlog"/>
    <n v="0.94514157014157019"/>
    <n v="6.6159909909909915"/>
    <n v="28.354247104247104"/>
    <b v="1"/>
    <n v="11"/>
    <n v="0.9324085455288732"/>
    <n v="0.93982280215668923"/>
    <b v="0"/>
    <n v="2.1235521235521235E-2"/>
  </r>
  <r>
    <x v="279"/>
    <n v="84"/>
    <n v="171"/>
    <n v="157"/>
    <n v="5990"/>
    <n v="184"/>
    <n v="6161"/>
    <n v="5806"/>
    <n v="2.8418877023768517E-2"/>
    <s v="Backlog"/>
    <n v="0.94237948385002435"/>
    <n v="6.5966563869501709"/>
    <n v="28.271384515500731"/>
    <b v="1"/>
    <n v="11"/>
    <n v="0.93728611612058588"/>
    <n v="0.94587226884994391"/>
    <s v="STRAIN"/>
    <n v="2.9865281610128226E-2"/>
  </r>
  <r>
    <x v="280"/>
    <n v="87"/>
    <n v="246"/>
    <n v="173"/>
    <n v="6148"/>
    <n v="177"/>
    <n v="6394"/>
    <n v="5971"/>
    <n v="3.0145704237146205E-3"/>
    <s v="Backlog"/>
    <n v="0.93384422896465435"/>
    <n v="6.5369096027525808"/>
    <n v="28.015326868939631"/>
    <b v="1"/>
    <n v="11"/>
    <n v="0.93616139963178158"/>
    <n v="0.94090162334555694"/>
    <s v="STRAIN"/>
    <n v="2.7682202064435408E-2"/>
  </r>
  <r>
    <x v="281"/>
    <n v="136"/>
    <n v="276"/>
    <n v="178"/>
    <n v="6149"/>
    <n v="160"/>
    <n v="6425"/>
    <n v="5989"/>
    <n v="-1.502755050926699E-3"/>
    <s v="No Backlog"/>
    <n v="0.93214007782101171"/>
    <n v="6.5249805447470823"/>
    <n v="27.96420233463035"/>
    <b v="1"/>
    <n v="11"/>
    <n v="0.93584048831238098"/>
    <n v="0.93034407422770671"/>
    <b v="0"/>
    <n v="2.4902723735408562E-2"/>
  </r>
  <r>
    <x v="282"/>
    <n v="166"/>
    <n v="277"/>
    <n v="229"/>
    <n v="6106"/>
    <n v="126"/>
    <n v="6383"/>
    <n v="5980"/>
    <n v="-2.1404682274247491E-2"/>
    <s v="No Backlog"/>
    <n v="0.93686354378818737"/>
    <n v="6.5580448065173114"/>
    <n v="28.105906313645622"/>
    <b v="1"/>
    <n v="12"/>
    <n v="0.93041110673426153"/>
    <n v="0.94300260455894214"/>
    <b v="0"/>
    <n v="1.9739934200219331E-2"/>
  </r>
  <r>
    <x v="283"/>
    <n v="110"/>
    <n v="272"/>
    <n v="193"/>
    <n v="6008"/>
    <n v="156"/>
    <n v="6280"/>
    <n v="5852"/>
    <n v="-1.1961722488038277E-2"/>
    <s v="No Backlog"/>
    <n v="0.9318471337579618"/>
    <n v="6.5229299363057329"/>
    <n v="27.955414012738853"/>
    <b v="1"/>
    <n v="12"/>
    <n v="0.93500063633664032"/>
    <n v="0.93774218415504662"/>
    <b v="0"/>
    <n v="2.4840764331210193E-2"/>
  </r>
  <r>
    <x v="284"/>
    <n v="202"/>
    <n v="313"/>
    <n v="158"/>
    <n v="5974"/>
    <n v="192"/>
    <n v="6287"/>
    <n v="5782"/>
    <n v="2.7153234175025943E-2"/>
    <s v="Backlog"/>
    <n v="0.91967552091617621"/>
    <n v="6.4377286464132339"/>
    <n v="27.590265627485287"/>
    <b v="1"/>
    <n v="12"/>
    <n v="0.92708977754399224"/>
    <n v="0.93088702469353279"/>
    <s v="STRAIN"/>
    <n v="3.0539207889295372E-2"/>
  </r>
  <r>
    <x v="285"/>
    <n v="134"/>
    <n v="294"/>
    <n v="186"/>
    <n v="6077"/>
    <n v="138"/>
    <n v="6371"/>
    <n v="5939"/>
    <n v="-8.418925745074928E-4"/>
    <s v="No Backlog"/>
    <n v="0.93219274839114741"/>
    <n v="6.5253492387380323"/>
    <n v="27.965782451734423"/>
    <b v="1"/>
    <n v="12"/>
    <n v="0.94077890112050544"/>
    <n v="0.93824642291268967"/>
    <b v="0"/>
    <n v="2.1660649819494584E-2"/>
  </r>
  <r>
    <x v="286"/>
    <n v="180"/>
    <n v="280"/>
    <n v="146"/>
    <n v="6043"/>
    <n v="109"/>
    <n v="6323"/>
    <n v="5934"/>
    <n v="-2.0559487698011459E-2"/>
    <s v="No Backlog"/>
    <n v="0.9384785702989088"/>
    <n v="6.5693499920923619"/>
    <n v="28.154357108967265"/>
    <b v="1"/>
    <n v="12"/>
    <n v="0.94321879401268416"/>
    <n v="0.94097495393926334"/>
    <b v="0"/>
    <n v="1.7238652538352047E-2"/>
  </r>
  <r>
    <x v="287"/>
    <n v="108"/>
    <n v="220"/>
    <n v="213"/>
    <n v="5966"/>
    <n v="154"/>
    <n v="6186"/>
    <n v="5812"/>
    <n v="-1.5313145216792843E-2"/>
    <s v="No Backlog"/>
    <n v="0.93954089880375036"/>
    <n v="6.5767862916262523"/>
    <n v="28.18622696411251"/>
    <b v="1"/>
    <n v="13"/>
    <n v="0.93404448471907597"/>
    <n v="0.93900609799052093"/>
    <b v="0"/>
    <n v="2.4894924021985128E-2"/>
  </r>
  <r>
    <x v="288"/>
    <n v="147"/>
    <n v="276"/>
    <n v="214"/>
    <n v="5918"/>
    <n v="195"/>
    <n v="6194"/>
    <n v="5723"/>
    <n v="3.3723571553381092E-2"/>
    <s v="Backlog"/>
    <n v="0.9239586696803358"/>
    <n v="6.4677106877623505"/>
    <n v="27.718760090410075"/>
    <b v="1"/>
    <n v="13"/>
    <n v="0.9365501675050163"/>
    <n v="0.92648987937904104"/>
    <s v="STRAIN"/>
    <n v="3.1482079431708103E-2"/>
  </r>
  <r>
    <x v="289"/>
    <n v="104"/>
    <n v="230"/>
    <n v="206"/>
    <n v="6076"/>
    <n v="160"/>
    <n v="6306"/>
    <n v="5916"/>
    <n v="-1.5212981744421906E-3"/>
    <s v="No Backlog"/>
    <n v="0.93815413891531874"/>
    <n v="6.5670789724072307"/>
    <n v="28.144624167459561"/>
    <b v="1"/>
    <n v="13"/>
    <n v="0.94089568673372515"/>
    <n v="0.93524789479355186"/>
    <b v="0"/>
    <n v="2.5372660957817952E-2"/>
  </r>
  <r>
    <x v="290"/>
    <n v="174"/>
    <n v="285"/>
    <n v="150"/>
    <n v="6036"/>
    <n v="129"/>
    <n v="6321"/>
    <n v="5907"/>
    <n v="-1.6929067208396818E-4"/>
    <s v="No Backlog"/>
    <n v="0.93450403417180827"/>
    <n v="6.5415282392026581"/>
    <n v="28.035121025154247"/>
    <b v="1"/>
    <n v="13"/>
    <n v="0.93830128132134871"/>
    <n v="0.9354827111230497"/>
    <b v="0"/>
    <n v="2.0408163265306121E-2"/>
  </r>
  <r>
    <x v="291"/>
    <n v="113"/>
    <n v="208"/>
    <n v="159"/>
    <n v="6013"/>
    <n v="107"/>
    <n v="6221"/>
    <n v="5906"/>
    <n v="-1.303758889265154E-2"/>
    <s v="No Backlog"/>
    <n v="0.94936505384986336"/>
    <n v="6.6455553769490434"/>
    <n v="28.480951615495901"/>
    <b v="1"/>
    <n v="13"/>
    <n v="0.9468325756420477"/>
    <n v="0.94415303097963044"/>
    <b v="0"/>
    <n v="1.7199807104967046E-2"/>
  </r>
  <r>
    <x v="292"/>
    <n v="88"/>
    <n v="214"/>
    <n v="160"/>
    <n v="5935"/>
    <n v="106"/>
    <n v="6149"/>
    <n v="5829"/>
    <n v="-2.573340195573855E-2"/>
    <s v="No Backlog"/>
    <n v="0.94795901772645963"/>
    <n v="6.6357131240852176"/>
    <n v="28.438770531793789"/>
    <b v="1"/>
    <n v="14"/>
    <n v="0.94571517765303881"/>
    <n v="0.94258508655247286"/>
    <b v="0"/>
    <n v="1.7238575378110261E-2"/>
  </r>
  <r>
    <x v="293"/>
    <n v="130"/>
    <n v="227"/>
    <n v="192"/>
    <n v="5889"/>
    <n v="210"/>
    <n v="6116"/>
    <n v="5679"/>
    <n v="4.1732699418911778E-2"/>
    <s v="Backlog"/>
    <n v="0.92854807063440159"/>
    <n v="6.4998364944408111"/>
    <n v="27.856442119032046"/>
    <b v="1"/>
    <n v="14"/>
    <n v="0.93350968390584654"/>
    <n v="0.93227785575655131"/>
    <s v="STRAIN"/>
    <n v="3.4336167429692609E-2"/>
  </r>
  <r>
    <x v="294"/>
    <n v="84"/>
    <n v="158"/>
    <n v="193"/>
    <n v="6075"/>
    <n v="159"/>
    <n v="6233"/>
    <n v="5916"/>
    <n v="-1.0141987829614604E-3"/>
    <s v="No Backlog"/>
    <n v="0.94914166532969679"/>
    <n v="6.6439916573078772"/>
    <n v="28.474249959890905"/>
    <b v="0"/>
    <n v="14"/>
    <n v="0.93908137720372153"/>
    <n v="0.94491732742713686"/>
    <b v="0"/>
    <n v="2.5509385528637896E-2"/>
  </r>
  <r>
    <x v="295"/>
    <n v="115"/>
    <n v="216"/>
    <n v="169"/>
    <n v="6047"/>
    <n v="137"/>
    <n v="6263"/>
    <n v="5910"/>
    <n v="-3.3840947546531302E-3"/>
    <s v="No Backlog"/>
    <n v="0.94363723455213155"/>
    <n v="6.6054606418649211"/>
    <n v="28.309117036563947"/>
    <b v="1"/>
    <n v="14"/>
    <n v="0.93798944261195827"/>
    <n v="0.93718901740462113"/>
    <b v="0"/>
    <n v="2.187450103784129E-2"/>
  </r>
  <r>
    <x v="296"/>
    <n v="167"/>
    <n v="239"/>
    <n v="166"/>
    <n v="6013"/>
    <n v="123"/>
    <n v="6252"/>
    <n v="5890"/>
    <n v="-1.2733446519524618E-2"/>
    <s v="No Backlog"/>
    <n v="0.94209852847088926"/>
    <n v="6.5946896992962252"/>
    <n v="28.262955854126677"/>
    <b v="1"/>
    <n v="14"/>
    <n v="0.93927995827259025"/>
    <n v="0.94135548137123182"/>
    <b v="0"/>
    <n v="1.9673704414587333E-2"/>
  </r>
  <r>
    <x v="297"/>
    <n v="99"/>
    <n v="190"/>
    <n v="176"/>
    <n v="5968"/>
    <n v="153"/>
    <n v="6158"/>
    <n v="5815"/>
    <n v="1.8916595012897677E-2"/>
    <s v="Backlog"/>
    <n v="0.94430009743423193"/>
    <n v="6.610100682039624"/>
    <n v="28.329002923026959"/>
    <b v="1"/>
    <n v="15"/>
    <n v="0.94162055277181467"/>
    <n v="0.94412279569760527"/>
    <s v="STRAIN"/>
    <n v="2.4845729132835337E-2"/>
  </r>
  <r>
    <x v="298"/>
    <n v="101"/>
    <n v="162"/>
    <n v="178"/>
    <n v="6118"/>
    <n v="193"/>
    <n v="6280"/>
    <n v="5925"/>
    <n v="-1.181434599156118E-3"/>
    <s v="No Backlog"/>
    <n v="0.94347133757961787"/>
    <n v="6.6042993630573248"/>
    <n v="28.304140127388536"/>
    <b v="0"/>
    <n v="15"/>
    <n v="0.94034124647905193"/>
    <n v="0.93621277796145186"/>
    <b v="0"/>
    <n v="3.0732484076433121E-2"/>
  </r>
  <r>
    <x v="299"/>
    <n v="107"/>
    <n v="215"/>
    <n v="230"/>
    <n v="6091"/>
    <n v="173"/>
    <n v="6306"/>
    <n v="5918"/>
    <n v="-2.5346400811084827E-3"/>
    <s v="No Backlog"/>
    <n v="0.9384712971772915"/>
    <n v="6.5692990802410405"/>
    <n v="28.154138915318747"/>
    <b v="0"/>
    <n v="15"/>
    <n v="0.93723946902799626"/>
    <n v="0.94026702479243573"/>
    <b v="0"/>
    <n v="2.7434189660640661E-2"/>
  </r>
  <r>
    <x v="300"/>
    <n v="184"/>
    <n v="314"/>
    <n v="217"/>
    <n v="6040"/>
    <n v="137"/>
    <n v="6354"/>
    <n v="5903"/>
    <n v="-1.2535998644756904E-2"/>
    <s v="No Backlog"/>
    <n v="0.92902108907774628"/>
    <n v="6.5031476235442236"/>
    <n v="27.870632672332388"/>
    <b v="1"/>
    <n v="15"/>
    <n v="0.9348570393011616"/>
    <n v="0.93119787022836809"/>
    <b v="0"/>
    <n v="2.1561221277935159E-2"/>
  </r>
  <r>
    <x v="301"/>
    <n v="209"/>
    <n v="285"/>
    <n v="184"/>
    <n v="5967"/>
    <n v="138"/>
    <n v="6252"/>
    <n v="5829"/>
    <n v="-1.3896037056098817E-2"/>
    <s v="No Backlog"/>
    <n v="0.93234165067178498"/>
    <n v="6.5263915547024949"/>
    <n v="27.970249520153551"/>
    <b v="1"/>
    <n v="15"/>
    <n v="0.93154122546444784"/>
    <n v="0.92947146891542054"/>
    <b v="0"/>
    <n v="2.2072936660268713E-2"/>
  </r>
  <r>
    <x v="302"/>
    <n v="81"/>
    <n v="213"/>
    <n v="153"/>
    <n v="5925"/>
    <n v="177"/>
    <n v="6138"/>
    <n v="5748"/>
    <n v="2.7313848295059152E-2"/>
    <s v="Backlog"/>
    <n v="0.93646138807429125"/>
    <n v="6.5552297165200386"/>
    <n v="28.093841642228739"/>
    <b v="1"/>
    <n v="16"/>
    <n v="0.93853691117293281"/>
    <n v="0.9305800916275071"/>
    <s v="STRAIN"/>
    <n v="2.8836754643206255E-2"/>
  </r>
  <r>
    <x v="303"/>
    <n v="91"/>
    <n v="199"/>
    <n v="172"/>
    <n v="6090"/>
    <n v="185"/>
    <n v="6289"/>
    <n v="5905"/>
    <n v="-4.0643522438611347E-3"/>
    <s v="No Backlog"/>
    <n v="0.9389410081093974"/>
    <n v="6.5725870567657818"/>
    <n v="28.168230243281922"/>
    <b v="1"/>
    <n v="16"/>
    <n v="0.941443251035188"/>
    <n v="0.93868047701955304"/>
    <b v="0"/>
    <n v="2.9416441405628876E-2"/>
  </r>
  <r>
    <x v="304"/>
    <n v="154"/>
    <n v="225"/>
    <n v="220"/>
    <n v="6050"/>
    <n v="169"/>
    <n v="6275"/>
    <n v="5881"/>
    <n v="-1.7003910899506886E-4"/>
    <s v="No Backlog"/>
    <n v="0.93721115537848609"/>
    <n v="6.5604780876494022"/>
    <n v="28.116334661354582"/>
    <b v="1"/>
    <n v="16"/>
    <n v="0.93308268686088591"/>
    <n v="0.93859203774641164"/>
    <b v="0"/>
    <n v="2.6932270916334662E-2"/>
  </r>
  <r>
    <x v="305"/>
    <n v="186"/>
    <n v="259"/>
    <n v="172"/>
    <n v="6023"/>
    <n v="143"/>
    <n v="6282"/>
    <n v="5880"/>
    <n v="-7.312925170068027E-3"/>
    <s v="No Backlog"/>
    <n v="0.93600764087870103"/>
    <n v="6.552053486150907"/>
    <n v="28.08022922636103"/>
    <b v="1"/>
    <n v="16"/>
    <n v="0.9390351966431405"/>
    <n v="0.93662180474834267"/>
    <b v="0"/>
    <n v="2.2763451130213309E-2"/>
  </r>
  <r>
    <x v="306"/>
    <n v="92"/>
    <n v="203"/>
    <n v="173"/>
    <n v="6002"/>
    <n v="165"/>
    <n v="6205"/>
    <n v="5837"/>
    <n v="-7.7094397807092683E-3"/>
    <s v="No Backlog"/>
    <n v="0.94069298952457692"/>
    <n v="6.5848509266720381"/>
    <n v="28.220789685737309"/>
    <b v="1"/>
    <n v="16"/>
    <n v="0.93703382045178341"/>
    <n v="0.93410467962600097"/>
    <b v="0"/>
    <n v="2.6591458501208701E-2"/>
  </r>
  <r>
    <x v="307"/>
    <n v="124"/>
    <n v="234"/>
    <n v="161"/>
    <n v="5989"/>
    <n v="197"/>
    <n v="6223"/>
    <n v="5792"/>
    <n v="5.006906077348066E-2"/>
    <s v="Backlog"/>
    <n v="0.9307408002571107"/>
    <n v="6.5151856017997751"/>
    <n v="27.922224007713321"/>
    <b v="1"/>
    <n v="17"/>
    <n v="0.9286710437080834"/>
    <n v="0.93909007667842059"/>
    <s v="STRAIN"/>
    <n v="3.16567571910654E-2"/>
  </r>
  <r>
    <x v="308"/>
    <n v="93"/>
    <n v="196"/>
    <n v="169"/>
    <n v="6270"/>
    <n v="188"/>
    <n v="6466"/>
    <n v="6082"/>
    <n v="2.3018743834265043E-3"/>
    <s v="Backlog"/>
    <n v="0.94061243427157437"/>
    <n v="6.5842870399010209"/>
    <n v="28.21837302814723"/>
    <b v="1"/>
    <n v="17"/>
    <n v="0.93265561472614866"/>
    <n v="0.94419359224932031"/>
    <s v="STRAIN"/>
    <n v="2.9075162387875039E-2"/>
  </r>
  <r>
    <x v="309"/>
    <n v="116"/>
    <n v="213"/>
    <n v="217"/>
    <n v="6245"/>
    <n v="149"/>
    <n v="6458"/>
    <n v="6096"/>
    <n v="-4.7572178477690288E-3"/>
    <s v="No Backlog"/>
    <n v="0.9439454939609786"/>
    <n v="6.6076184577268506"/>
    <n v="28.318364818829359"/>
    <b v="0"/>
    <n v="17"/>
    <n v="0.94118271994534364"/>
    <n v="0.94328108668974719"/>
    <b v="0"/>
    <n v="2.3072158563022607E-2"/>
  </r>
  <r>
    <x v="310"/>
    <n v="159"/>
    <n v="304"/>
    <n v="139"/>
    <n v="6227"/>
    <n v="160"/>
    <n v="6531"/>
    <n v="6067"/>
    <n v="-3.2965221691115873E-4"/>
    <s v="No Backlog"/>
    <n v="0.92895421834328584"/>
    <n v="6.502679528403001"/>
    <n v="27.868626550298575"/>
    <b v="1"/>
    <n v="17"/>
    <n v="0.93446356922881157"/>
    <n v="0.93360431437127156"/>
    <b v="0"/>
    <n v="2.4498545398866943E-2"/>
  </r>
  <r>
    <x v="311"/>
    <n v="113"/>
    <n v="209"/>
    <n v="160"/>
    <n v="6229"/>
    <n v="164"/>
    <n v="6438"/>
    <n v="6065"/>
    <n v="-6.7600989282769995E-3"/>
    <s v="No Backlog"/>
    <n v="0.94206275240757997"/>
    <n v="6.59443926685306"/>
    <n v="28.2618825722274"/>
    <b v="1"/>
    <n v="17"/>
    <n v="0.93964936051278214"/>
    <n v="0.93558447016864865"/>
    <b v="0"/>
    <n v="2.5473749611680647E-2"/>
  </r>
  <r>
    <x v="312"/>
    <n v="98"/>
    <n v="220"/>
    <n v="167"/>
    <n v="6234"/>
    <n v="210"/>
    <n v="6454"/>
    <n v="6024"/>
    <n v="3.8180610889774237E-3"/>
    <s v="Backlog"/>
    <n v="0.93337465137898978"/>
    <n v="6.5336225596529287"/>
    <n v="28.001239541369692"/>
    <b v="1"/>
    <n v="18"/>
    <n v="0.93044551055320746"/>
    <n v="0.93451594976811903"/>
    <s v="STRAIN"/>
    <n v="3.2537960954446853E-2"/>
  </r>
  <r>
    <x v="313"/>
    <n v="81"/>
    <n v="200"/>
    <n v="212"/>
    <n v="6326"/>
    <n v="279"/>
    <n v="6526"/>
    <n v="6047"/>
    <n v="1.5379527038200761E-2"/>
    <s v="Backlog"/>
    <n v="0.9266012871590561"/>
    <n v="6.4862090101133925"/>
    <n v="27.798038614771684"/>
    <b v="0"/>
    <n v="18"/>
    <n v="0.93702032012939329"/>
    <n v="0.93362843602942713"/>
    <s v="STRAIN"/>
    <n v="4.2752068648482994E-2"/>
  </r>
  <r>
    <x v="314"/>
    <n v="184"/>
    <n v="280"/>
    <n v="210"/>
    <n v="6360"/>
    <n v="220"/>
    <n v="6640"/>
    <n v="6140"/>
    <n v="1.758957654723127E-2"/>
    <s v="Backlog"/>
    <n v="0.92469879518072284"/>
    <n v="6.4728915662650603"/>
    <n v="27.740963855421686"/>
    <b v="1"/>
    <n v="18"/>
    <n v="0.93623677270389449"/>
    <n v="0.92477668889675979"/>
    <s v="STRAIN"/>
    <n v="3.313253012048193E-2"/>
  </r>
  <r>
    <x v="315"/>
    <n v="93"/>
    <n v="248"/>
    <n v="175"/>
    <n v="6410"/>
    <n v="162"/>
    <n v="6658"/>
    <n v="6248"/>
    <n v="0"/>
    <s v="No Backlog"/>
    <n v="0.93841994592970868"/>
    <n v="6.568939621507961"/>
    <n v="28.152598377891259"/>
    <b v="1"/>
    <n v="18"/>
    <n v="0.94051831267411212"/>
    <n v="0.93724759451754047"/>
    <b v="0"/>
    <n v="2.4331631120456592E-2"/>
  </r>
  <r>
    <x v="316"/>
    <n v="131"/>
    <n v="251"/>
    <n v="180"/>
    <n v="6396"/>
    <n v="148"/>
    <n v="6647"/>
    <n v="6248"/>
    <n v="-5.7618437900128043E-3"/>
    <s v="No Backlog"/>
    <n v="0.93997292011433731"/>
    <n v="6.5798104408003608"/>
    <n v="28.199187603430119"/>
    <b v="1"/>
    <n v="18"/>
    <n v="0.93911366525679729"/>
    <n v="0.93920005074148838"/>
    <b v="0"/>
    <n v="2.2265683767112982E-2"/>
  </r>
  <r>
    <x v="317"/>
    <n v="144"/>
    <n v="275"/>
    <n v="190"/>
    <n v="6353"/>
    <n v="141"/>
    <n v="6628"/>
    <n v="6212"/>
    <n v="-1.9478428847392145E-2"/>
    <s v="No Backlog"/>
    <n v="0.93723596861798431"/>
    <n v="6.5606517803258901"/>
    <n v="28.117079058539531"/>
    <b v="1"/>
    <n v="19"/>
    <n v="0.93317107827385082"/>
    <n v="0.93495235266983545"/>
    <b v="0"/>
    <n v="2.1273385636692819E-2"/>
  </r>
  <r>
    <x v="318"/>
    <n v="123"/>
    <n v="255"/>
    <n v="164"/>
    <n v="6312"/>
    <n v="221"/>
    <n v="6567"/>
    <n v="6091"/>
    <n v="3.8745690362830404E-2"/>
    <s v="Backlog"/>
    <n v="0.92751636972742502"/>
    <n v="6.4926145880919748"/>
    <n v="27.825491091822752"/>
    <b v="1"/>
    <n v="19"/>
    <n v="0.93158680894233659"/>
    <n v="0.92896840745233578"/>
    <s v="STRAIN"/>
    <n v="3.3653114055124105E-2"/>
  </r>
  <r>
    <x v="319"/>
    <n v="126"/>
    <n v="230"/>
    <n v="175"/>
    <n v="6448"/>
    <n v="121"/>
    <n v="6678"/>
    <n v="6327"/>
    <n v="-1.0431484115694643E-2"/>
    <s v="No Backlog"/>
    <n v="0.94743935309973049"/>
    <n v="6.6320754716981138"/>
    <n v="28.423180592991915"/>
    <b v="1"/>
    <n v="19"/>
    <n v="0.94404746899976422"/>
    <n v="0.93615448750162533"/>
    <b v="0"/>
    <n v="1.8119197364480383E-2"/>
  </r>
  <r>
    <x v="320"/>
    <n v="121"/>
    <n v="231"/>
    <n v="219"/>
    <n v="6375"/>
    <n v="114"/>
    <n v="6606"/>
    <n v="6261"/>
    <n v="-1.6131608369270085E-2"/>
    <s v="No Backlog"/>
    <n v="0.94777475022706625"/>
    <n v="6.6344232515894639"/>
    <n v="28.433242506811986"/>
    <b v="1"/>
    <n v="19"/>
    <n v="0.93631466641993155"/>
    <n v="0.94137490126836976"/>
    <b v="0"/>
    <n v="1.725703905540418E-2"/>
  </r>
  <r>
    <x v="321"/>
    <n v="131"/>
    <n v="263"/>
    <n v="177"/>
    <n v="6272"/>
    <n v="112"/>
    <n v="6535"/>
    <n v="6160"/>
    <n v="-1.5746753246753245E-2"/>
    <s v="No Backlog"/>
    <n v="0.94261667941851568"/>
    <n v="6.5983167559296101"/>
    <n v="28.278500382555471"/>
    <b v="1"/>
    <n v="19"/>
    <n v="0.93934596126194392"/>
    <n v="0.94220866125266622"/>
    <b v="0"/>
    <n v="1.7138485080336649E-2"/>
  </r>
  <r>
    <x v="322"/>
    <n v="133"/>
    <n v="270"/>
    <n v="198"/>
    <n v="6192"/>
    <n v="129"/>
    <n v="6462"/>
    <n v="6063"/>
    <n v="2.9688273132112814E-3"/>
    <s v="Backlog"/>
    <n v="0.93825441039925717"/>
    <n v="6.5677808727947999"/>
    <n v="28.147632311977716"/>
    <b v="1"/>
    <n v="20"/>
    <n v="0.93834079588394825"/>
    <n v="0.9391533404495469"/>
    <s v="STRAIN"/>
    <n v="1.9962859795728878E-2"/>
  </r>
  <r>
    <x v="323"/>
    <n v="145"/>
    <n v="295"/>
    <n v="188"/>
    <n v="6250"/>
    <n v="169"/>
    <n v="6545"/>
    <n v="6081"/>
    <n v="1.9733596447952641E-3"/>
    <s v="Backlog"/>
    <n v="0.92910618792971733"/>
    <n v="6.5037433155080215"/>
    <n v="27.87318563789152"/>
    <b v="1"/>
    <n v="20"/>
    <n v="0.93088746232570196"/>
    <n v="0.92687905629082101"/>
    <s v="STRAIN"/>
    <n v="2.5821237585943468E-2"/>
  </r>
  <r>
    <x v="324"/>
    <n v="170"/>
    <n v="285"/>
    <n v="178"/>
    <n v="6227"/>
    <n v="134"/>
    <n v="6512"/>
    <n v="6093"/>
    <n v="-6.2366650254390282E-3"/>
    <s v="No Backlog"/>
    <n v="0.93565724815724816"/>
    <n v="6.5496007371007368"/>
    <n v="28.069717444717444"/>
    <b v="1"/>
    <n v="20"/>
    <n v="0.93303884666724735"/>
    <n v="0.93583622623256768"/>
    <b v="0"/>
    <n v="2.0577395577395578E-2"/>
  </r>
  <r>
    <x v="325"/>
    <n v="149"/>
    <n v="285"/>
    <n v="222"/>
    <n v="6152"/>
    <n v="97"/>
    <n v="6437"/>
    <n v="6055"/>
    <n v="-2.8406275805119736E-2"/>
    <s v="No Backlog"/>
    <n v="0.94065558489979806"/>
    <n v="6.5845890942985861"/>
    <n v="28.219667546993943"/>
    <b v="1"/>
    <n v="20"/>
    <n v="0.93276260340165917"/>
    <n v="0.9349134365633518"/>
    <b v="0"/>
    <n v="1.5069131583035576E-2"/>
  </r>
  <r>
    <x v="326"/>
    <n v="182"/>
    <n v="307"/>
    <n v="205"/>
    <n v="6054"/>
    <n v="171"/>
    <n v="6361"/>
    <n v="5883"/>
    <n v="-1.8697943226245112E-3"/>
    <s v="No Backlog"/>
    <n v="0.92485458261279674"/>
    <n v="6.4739820782895769"/>
    <n v="27.745637478383902"/>
    <b v="1"/>
    <n v="20"/>
    <n v="0.92991481746123505"/>
    <n v="0.92851549382192133"/>
    <b v="0"/>
    <n v="2.6882565634334225E-2"/>
  </r>
  <r>
    <x v="327"/>
    <n v="134"/>
    <n v="245"/>
    <n v="167"/>
    <n v="6028"/>
    <n v="156"/>
    <n v="6273"/>
    <n v="5872"/>
    <n v="1.8732970027247955E-3"/>
    <s v="Backlog"/>
    <n v="0.93607524310537227"/>
    <n v="6.5525267017376061"/>
    <n v="28.082257293161167"/>
    <b v="1"/>
    <n v="21"/>
    <n v="0.93893794309609446"/>
    <n v="0.93510156099543051"/>
    <s v="STRAIN"/>
    <n v="2.4868483978957436E-2"/>
  </r>
  <r>
    <x v="328"/>
    <n v="136"/>
    <n v="274"/>
    <n v="245"/>
    <n v="5995"/>
    <n v="112"/>
    <n v="6269"/>
    <n v="5883"/>
    <n v="-2.991670916199218E-2"/>
    <s v="No Backlog"/>
    <n v="0.93842718136863934"/>
    <n v="6.5689902695804756"/>
    <n v="28.152815441059179"/>
    <b v="1"/>
    <n v="21"/>
    <n v="0.93923972593423799"/>
    <n v="0.941635849276791"/>
    <b v="0"/>
    <n v="1.7865688307545063E-2"/>
  </r>
  <r>
    <x v="329"/>
    <n v="176"/>
    <n v="254"/>
    <n v="162"/>
    <n v="5865"/>
    <n v="158"/>
    <n v="6119"/>
    <n v="5707"/>
    <n v="-1.1214298230243561E-2"/>
    <s v="No Backlog"/>
    <n v="0.9326687367216866"/>
    <n v="6.528681157051806"/>
    <n v="27.980062101650599"/>
    <b v="1"/>
    <n v="21"/>
    <n v="0.92866033068680565"/>
    <n v="0.92935305698928805"/>
    <b v="0"/>
    <n v="2.5821212616440596E-2"/>
  </r>
  <r>
    <x v="330"/>
    <n v="86"/>
    <n v="244"/>
    <n v="235"/>
    <n v="5821"/>
    <n v="178"/>
    <n v="6065"/>
    <n v="5643"/>
    <n v="5.6707425128477758E-3"/>
    <s v="Backlog"/>
    <n v="0.93042044517724654"/>
    <n v="6.5129431162407254"/>
    <n v="27.912613355317397"/>
    <b v="1"/>
    <n v="21"/>
    <n v="0.93321782474256687"/>
    <n v="0.93187153364260777"/>
    <s v="STRAIN"/>
    <n v="2.9348722176422093E-2"/>
  </r>
  <r>
    <x v="331"/>
    <n v="124"/>
    <n v="241"/>
    <n v="156"/>
    <n v="5895"/>
    <n v="220"/>
    <n v="6136"/>
    <n v="5675"/>
    <n v="2.3612334801762114E-2"/>
    <s v="Backlog"/>
    <n v="0.92486962190352018"/>
    <n v="6.4740873533246415"/>
    <n v="27.746088657105606"/>
    <b v="1"/>
    <n v="21"/>
    <n v="0.9270204550652128"/>
    <n v="0.93838459083110137"/>
    <s v="STRAIN"/>
    <n v="3.5853976531942632E-2"/>
  </r>
  <r>
    <x v="332"/>
    <n v="109"/>
    <n v="226"/>
    <n v="191"/>
    <n v="5987"/>
    <n v="178"/>
    <n v="6213"/>
    <n v="5809"/>
    <n v="8.4351867791358243E-3"/>
    <s v="Backlog"/>
    <n v="0.93497505230967326"/>
    <n v="6.5448253661677125"/>
    <n v="28.049251569290199"/>
    <b v="1"/>
    <n v="22"/>
    <n v="0.93357572867035965"/>
    <n v="0.93655370628421131"/>
    <s v="STRAIN"/>
    <n v="2.8649605665539996E-2"/>
  </r>
  <r>
    <x v="333"/>
    <n v="162"/>
    <n v="239"/>
    <n v="189"/>
    <n v="5981"/>
    <n v="123"/>
    <n v="6220"/>
    <n v="5858"/>
    <n v="-1.7582792762034824E-2"/>
    <s v="No Backlog"/>
    <n v="0.94180064308681677"/>
    <n v="6.5926045016077177"/>
    <n v="28.254019292604504"/>
    <b v="1"/>
    <n v="22"/>
    <n v="0.93796426098615271"/>
    <n v="0.92971020054224818"/>
    <b v="0"/>
    <n v="1.9774919614147912E-2"/>
  </r>
  <r>
    <x v="334"/>
    <n v="109"/>
    <n v="219"/>
    <n v="155"/>
    <n v="5903"/>
    <n v="148"/>
    <n v="6122"/>
    <n v="5755"/>
    <n v="-1.9113814074717638E-2"/>
    <s v="No Backlog"/>
    <n v="0.94005227049983664"/>
    <n v="6.5803658934988567"/>
    <n v="28.201568114995098"/>
    <b v="1"/>
    <n v="22"/>
    <n v="0.94244839384238965"/>
    <n v="0.93816657738255804"/>
    <b v="0"/>
    <n v="2.4175106174452794E-2"/>
  </r>
  <r>
    <x v="335"/>
    <n v="95"/>
    <n v="211"/>
    <n v="140"/>
    <n v="5894"/>
    <n v="249"/>
    <n v="6105"/>
    <n v="5645"/>
    <n v="4.6944198405668734E-2"/>
    <s v="Backlog"/>
    <n v="0.92465192465192469"/>
    <n v="6.4725634725634729"/>
    <n v="27.739557739557739"/>
    <b v="1"/>
    <n v="22"/>
    <n v="0.9253446509544071"/>
    <n v="0.92611044369392492"/>
    <s v="STRAIN"/>
    <n v="4.0786240786240789E-2"/>
  </r>
  <r>
    <x v="336"/>
    <n v="119"/>
    <n v="230"/>
    <n v="213"/>
    <n v="6084"/>
    <n v="174"/>
    <n v="6314"/>
    <n v="5910"/>
    <n v="-7.7834179357021997E-3"/>
    <s v="No Backlog"/>
    <n v="0.93601520430788721"/>
    <n v="6.5521064301552103"/>
    <n v="28.080456129236616"/>
    <b v="1"/>
    <n v="23"/>
    <n v="0.93466891320792822"/>
    <n v="0.93369387666374748"/>
    <b v="0"/>
    <n v="2.7557808045612923E-2"/>
  </r>
  <r>
    <x v="337"/>
    <n v="135"/>
    <n v="273"/>
    <n v="207"/>
    <n v="6038"/>
    <n v="174"/>
    <n v="6311"/>
    <n v="5864"/>
    <n v="-1.5347885402455662E-3"/>
    <s v="No Backlog"/>
    <n v="0.92917128822690542"/>
    <n v="6.5041990175883377"/>
    <n v="27.875138646807162"/>
    <b v="1"/>
    <n v="23"/>
    <n v="0.940535423992794"/>
    <n v="0.93042315017063248"/>
    <b v="0"/>
    <n v="2.7570907938520045E-2"/>
  </r>
  <r>
    <x v="338"/>
    <n v="163"/>
    <n v="283"/>
    <n v="200"/>
    <n v="5998"/>
    <n v="143"/>
    <n v="6281"/>
    <n v="5855"/>
    <n v="-9.3936806148590939E-3"/>
    <s v="No Backlog"/>
    <n v="0.93217640503104604"/>
    <n v="6.5252348352173222"/>
    <n v="27.965292150931383"/>
    <b v="1"/>
    <n v="23"/>
    <n v="0.9351543826448977"/>
    <n v="0.9294716371173779"/>
    <b v="0"/>
    <n v="2.276707530647986E-2"/>
  </r>
  <r>
    <x v="339"/>
    <n v="172"/>
    <n v="259"/>
    <n v="138"/>
    <n v="5950"/>
    <n v="150"/>
    <n v="6209"/>
    <n v="5800"/>
    <n v="-4.655172413793103E-3"/>
    <s v="No Backlog"/>
    <n v="0.93412787888548876"/>
    <n v="6.5388951521984211"/>
    <n v="28.023836366564662"/>
    <b v="1"/>
    <n v="23"/>
    <n v="0.92587381844158412"/>
    <n v="0.93492329508091043"/>
    <b v="0"/>
    <n v="2.4158479626348848E-2"/>
  </r>
  <r>
    <x v="340"/>
    <n v="63"/>
    <n v="167"/>
    <n v="143"/>
    <n v="5943"/>
    <n v="170"/>
    <n v="6110"/>
    <n v="5773"/>
    <n v="1.2818292049194525E-2"/>
    <s v="Backlog"/>
    <n v="0.94484451718494267"/>
    <n v="6.6139116202945987"/>
    <n v="28.345335515548278"/>
    <b v="1"/>
    <n v="23"/>
    <n v="0.94056270072511117"/>
    <n v="0.94011693862331169"/>
    <s v="STRAIN"/>
    <n v="2.7823240589198037E-2"/>
  </r>
  <r>
    <x v="341"/>
    <n v="227"/>
    <n v="298"/>
    <n v="212"/>
    <n v="6016"/>
    <n v="169"/>
    <n v="6314"/>
    <n v="5847"/>
    <n v="-6.4990593466735073E-3"/>
    <s v="No Backlog"/>
    <n v="0.9260373772568895"/>
    <n v="6.4822616407982263"/>
    <n v="27.781121317706685"/>
    <b v="1"/>
    <n v="24"/>
    <n v="0.92680316999640733"/>
    <n v="0.93549858967977439"/>
    <b v="0"/>
    <n v="2.6765917009819448E-2"/>
  </r>
  <r>
    <x v="342"/>
    <n v="140"/>
    <n v="261"/>
    <n v="163"/>
    <n v="5963"/>
    <n v="154"/>
    <n v="6224"/>
    <n v="5809"/>
    <n v="4.9922533998967124E-3"/>
    <s v="Backlog"/>
    <n v="0.93332262210796912"/>
    <n v="6.5332583547557839"/>
    <n v="27.999678663239074"/>
    <b v="1"/>
    <n v="24"/>
    <n v="0.93234758556378849"/>
    <n v="0.93394887263033932"/>
    <s v="STRAIN"/>
    <n v="2.4742930591259642E-2"/>
  </r>
  <r>
    <x v="343"/>
    <n v="125"/>
    <n v="203"/>
    <n v="208"/>
    <n v="5930"/>
    <n v="92"/>
    <n v="6133"/>
    <n v="5838"/>
    <n v="-3.117505995203837E-2"/>
    <s v="No Backlog"/>
    <n v="0.95189955975868257"/>
    <n v="6.6632969183107775"/>
    <n v="28.556986792760476"/>
    <b v="0"/>
    <n v="24"/>
    <n v="0.94178728593652106"/>
    <n v="0.94858769067746329"/>
    <b v="0"/>
    <n v="1.5000815261699005E-2"/>
  </r>
  <r>
    <x v="344"/>
    <n v="114"/>
    <n v="210"/>
    <n v="219"/>
    <n v="5819"/>
    <n v="163"/>
    <n v="6029"/>
    <n v="5656"/>
    <n v="-2.1216407355021217E-2"/>
    <s v="No Backlog"/>
    <n v="0.93813236025874935"/>
    <n v="6.5669265218112454"/>
    <n v="28.143970807762482"/>
    <b v="0"/>
    <n v="24"/>
    <n v="0.93244961473122956"/>
    <n v="0.94452900704680043"/>
    <b v="0"/>
    <n v="2.7035992701940622E-2"/>
  </r>
  <r>
    <x v="345"/>
    <n v="152"/>
    <n v="290"/>
    <n v="199"/>
    <n v="5743"/>
    <n v="207"/>
    <n v="6033"/>
    <n v="5536"/>
    <n v="4.046242774566474E-2"/>
    <s v="Backlog"/>
    <n v="0.91761975799767947"/>
    <n v="6.4233383059837568"/>
    <n v="27.528592739930385"/>
    <b v="1"/>
    <n v="24"/>
    <n v="0.92666923463700579"/>
    <n v="0.93604934035715348"/>
    <s v="STRAIN"/>
    <n v="3.4311287916459474E-2"/>
  </r>
  <r>
    <x v="346"/>
    <n v="93"/>
    <n v="198"/>
    <n v="208"/>
    <n v="5954"/>
    <n v="194"/>
    <n v="6152"/>
    <n v="5760"/>
    <n v="-1.736111111111111E-3"/>
    <s v="No Backlog"/>
    <n v="0.93628088426527956"/>
    <n v="6.5539661898569568"/>
    <n v="28.088426527958386"/>
    <b v="0"/>
    <n v="25"/>
    <n v="0.93583512216348019"/>
    <n v="0.94634368219154996"/>
    <b v="0"/>
    <n v="3.1534460338101429E-2"/>
  </r>
  <r>
    <x v="347"/>
    <n v="137"/>
    <n v="272"/>
    <n v="166"/>
    <n v="5927"/>
    <n v="177"/>
    <n v="6199"/>
    <n v="5750"/>
    <n v="7.8260869565217397E-3"/>
    <s v="Backlog"/>
    <n v="0.92756896273592515"/>
    <n v="6.4929827391514756"/>
    <n v="27.827068882077754"/>
    <b v="1"/>
    <n v="25"/>
    <n v="0.93626438241929222"/>
    <n v="0.9361916421905695"/>
    <s v="STRAIN"/>
    <n v="2.8552992418131955E-2"/>
  </r>
  <r>
    <x v="348"/>
    <n v="120"/>
    <n v="257"/>
    <n v="126"/>
    <n v="5965"/>
    <n v="170"/>
    <n v="6222"/>
    <n v="5795"/>
    <n v="-4.6591889559965492E-3"/>
    <s v="No Backlog"/>
    <n v="0.93137254901960786"/>
    <n v="6.5196078431372548"/>
    <n v="27.941176470588236"/>
    <b v="1"/>
    <n v="25"/>
    <n v="0.93297383608615858"/>
    <n v="0.93354545352918827"/>
    <b v="0"/>
    <n v="2.7322404371584699E-2"/>
  </r>
  <r>
    <x v="349"/>
    <n v="102"/>
    <n v="189"/>
    <n v="155"/>
    <n v="6002"/>
    <n v="234"/>
    <n v="6191"/>
    <n v="5768"/>
    <n v="4.8543689320388345E-3"/>
    <s v="Backlog"/>
    <n v="0.93167501211435955"/>
    <n v="6.5217250848005168"/>
    <n v="27.950250363430786"/>
    <b v="1"/>
    <n v="25"/>
    <n v="0.93847541685530178"/>
    <n v="0.93635486962911463"/>
    <s v="STRAIN"/>
    <n v="3.7796801809077692E-2"/>
  </r>
  <r>
    <x v="350"/>
    <n v="90"/>
    <n v="196"/>
    <n v="205"/>
    <n v="6058"/>
    <n v="262"/>
    <n v="6254"/>
    <n v="5796"/>
    <n v="4.2270531400966184E-2"/>
    <s v="Backlog"/>
    <n v="0.92676686920370965"/>
    <n v="6.4873680844259676"/>
    <n v="27.803006076111288"/>
    <b v="0"/>
    <n v="25"/>
    <n v="0.93884626151928063"/>
    <n v="0.93065461623971257"/>
    <s v="STRAIN"/>
    <n v="4.1893188359449954E-2"/>
  </r>
  <r>
    <x v="351"/>
    <n v="128"/>
    <n v="228"/>
    <n v="177"/>
    <n v="6228"/>
    <n v="187"/>
    <n v="6456"/>
    <n v="6041"/>
    <n v="4.1383876841582521E-3"/>
    <s v="Backlog"/>
    <n v="0.9357187112763321"/>
    <n v="6.5500309789343252"/>
    <n v="28.071561338289964"/>
    <b v="1"/>
    <n v="26"/>
    <n v="0.9450988169964798"/>
    <n v="0.93245676554807599"/>
    <s v="STRAIN"/>
    <n v="2.8965303593556382E-2"/>
  </r>
  <r>
    <x v="352"/>
    <n v="136"/>
    <n v="246"/>
    <n v="123"/>
    <n v="6239"/>
    <n v="173"/>
    <n v="6485"/>
    <n v="6066"/>
    <n v="7.5832509066930433E-3"/>
    <s v="Backlog"/>
    <n v="0.93538936006168083"/>
    <n v="6.5477255204317659"/>
    <n v="28.061680801850425"/>
    <b v="1"/>
    <n v="26"/>
    <n v="0.9458979200897506"/>
    <n v="0.93577407917247135"/>
    <s v="STRAIN"/>
    <n v="2.6676946800308403E-2"/>
  </r>
  <r>
    <x v="353"/>
    <n v="105"/>
    <n v="185"/>
    <n v="158"/>
    <n v="6283"/>
    <n v="171"/>
    <n v="6468"/>
    <n v="6112"/>
    <n v="-6.7081151832460734E-3"/>
    <s v="No Backlog"/>
    <n v="0.94495980210265929"/>
    <n v="6.6147186147186154"/>
    <n v="28.348794063079779"/>
    <b v="1"/>
    <n v="26"/>
    <n v="0.94488706187393656"/>
    <n v="0.94435781655179607"/>
    <b v="0"/>
    <n v="2.6437847866419294E-2"/>
  </r>
  <r>
    <x v="354"/>
    <n v="116"/>
    <n v="188"/>
    <n v="164"/>
    <n v="6308"/>
    <n v="237"/>
    <n v="6496"/>
    <n v="6071"/>
    <n v="6.127491352330753E-2"/>
    <s v="Backlog"/>
    <n v="0.93457512315270941"/>
    <n v="6.5420258620689662"/>
    <n v="28.037253694581281"/>
    <b v="1"/>
    <n v="26"/>
    <n v="0.93514674059573899"/>
    <n v="0.93629582603916461"/>
    <s v="STRAIN"/>
    <n v="3.6483990147783252E-2"/>
  </r>
  <r>
    <x v="355"/>
    <n v="80"/>
    <n v="176"/>
    <n v="125"/>
    <n v="6640"/>
    <n v="197"/>
    <n v="6816"/>
    <n v="6443"/>
    <n v="4.5010088468104923E-3"/>
    <s v="Backlog"/>
    <n v="0.94527582159624413"/>
    <n v="6.616930751173709"/>
    <n v="28.358274647887324"/>
    <b v="1"/>
    <n v="26"/>
    <n v="0.94315527437005686"/>
    <n v="0.94721303893408104"/>
    <s v="STRAIN"/>
    <n v="2.8902582159624414E-2"/>
  </r>
  <r>
    <x v="356"/>
    <n v="150"/>
    <n v="157"/>
    <n v="201"/>
    <n v="6649"/>
    <n v="177"/>
    <n v="6806"/>
    <n v="6472"/>
    <n v="7.5710754017305317E-3"/>
    <s v="Backlog"/>
    <n v="0.95092565383485161"/>
    <n v="6.6564795768439611"/>
    <n v="28.52776961504555"/>
    <b v="0"/>
    <n v="27"/>
    <n v="0.94273400855528355"/>
    <n v="0.94060866582564095"/>
    <s v="STRAIN"/>
    <n v="2.6006464883925946E-2"/>
  </r>
  <r>
    <x v="357"/>
    <n v="116"/>
    <n v="181"/>
    <n v="182"/>
    <n v="6651"/>
    <n v="130"/>
    <n v="6832"/>
    <n v="6521"/>
    <n v="-4.1404692531820273E-3"/>
    <s v="No Backlog"/>
    <n v="0.9544789227166276"/>
    <n v="6.6813524590163933"/>
    <n v="28.634367681498826"/>
    <b v="0"/>
    <n v="27"/>
    <n v="0.94183687126822369"/>
    <n v="0.94585107896706611"/>
    <b v="0"/>
    <n v="1.9028103044496487E-2"/>
  </r>
  <r>
    <x v="358"/>
    <n v="141"/>
    <n v="173"/>
    <n v="129"/>
    <n v="6617"/>
    <n v="123"/>
    <n v="6790"/>
    <n v="6494"/>
    <n v="-1.6630736064059133E-2"/>
    <s v="No Backlog"/>
    <n v="0.95640648011782037"/>
    <n v="6.6948453608247425"/>
    <n v="28.692194403534611"/>
    <b v="1"/>
    <n v="27"/>
    <n v="0.94628263920054101"/>
    <n v="0.94473664217394759"/>
    <b v="0"/>
    <n v="1.8114874815905745E-2"/>
  </r>
  <r>
    <x v="359"/>
    <n v="96"/>
    <n v="160"/>
    <n v="233"/>
    <n v="6599"/>
    <n v="213"/>
    <n v="6759"/>
    <n v="6386"/>
    <n v="2.8030065768869402E-2"/>
    <s v="Backlog"/>
    <n v="0.94481432164521384"/>
    <n v="6.6137002515164971"/>
    <n v="28.344429649356414"/>
    <b v="0"/>
    <n v="27"/>
    <n v="0.94428507632307346"/>
    <n v="0.93895161545138783"/>
    <s v="STRAIN"/>
    <n v="3.151353750554816E-2"/>
  </r>
  <r>
    <x v="360"/>
    <n v="158"/>
    <n v="226"/>
    <n v="191"/>
    <n v="6790"/>
    <n v="225"/>
    <n v="7016"/>
    <n v="6565"/>
    <n v="1.1271896420411272E-2"/>
    <s v="Backlog"/>
    <n v="0.93571835803876857"/>
    <n v="6.5500285062713797"/>
    <n v="28.071550741163058"/>
    <b v="1"/>
    <n v="28"/>
    <n v="0.9368674434821942"/>
    <n v="0.93285655710013937"/>
    <s v="STRAIN"/>
    <n v="3.2069555302166479E-2"/>
  </r>
  <r>
    <x v="361"/>
    <n v="141"/>
    <n v="232"/>
    <n v="188"/>
    <n v="6823"/>
    <n v="184"/>
    <n v="7055"/>
    <n v="6639"/>
    <n v="-6.4768790480494052E-3"/>
    <s v="No Backlog"/>
    <n v="0.9410347271438696"/>
    <n v="6.5872430900070871"/>
    <n v="28.231041814316089"/>
    <b v="1"/>
    <n v="28"/>
    <n v="0.94509249170789378"/>
    <n v="0.93056721925285846"/>
    <b v="0"/>
    <n v="2.6080793763288448E-2"/>
  </r>
  <r>
    <x v="362"/>
    <n v="123"/>
    <n v="233"/>
    <n v="159"/>
    <n v="6825"/>
    <n v="229"/>
    <n v="7058"/>
    <n v="6596"/>
    <n v="7.5803517283201942E-4"/>
    <s v="Backlog"/>
    <n v="0.93454236327571549"/>
    <n v="6.5417965429300082"/>
    <n v="28.036270898271464"/>
    <b v="1"/>
    <n v="28"/>
    <n v="0.93241702054607289"/>
    <n v="0.93205362389892699"/>
    <s v="STRAIN"/>
    <n v="3.2445451969396431E-2"/>
  </r>
  <r>
    <x v="363"/>
    <n v="123"/>
    <n v="230"/>
    <n v="167"/>
    <n v="6874"/>
    <n v="273"/>
    <n v="7104"/>
    <n v="6601"/>
    <n v="5.7415543099530376E-2"/>
    <s v="Backlog"/>
    <n v="0.92919481981981977"/>
    <n v="6.5043637387387383"/>
    <n v="27.875844594594593"/>
    <b v="1"/>
    <n v="28"/>
    <n v="0.93320902751866219"/>
    <n v="0.93401128244638287"/>
    <s v="STRAIN"/>
    <n v="3.8429054054054057E-2"/>
  </r>
  <r>
    <x v="364"/>
    <n v="174"/>
    <n v="208"/>
    <n v="256"/>
    <n v="7248"/>
    <n v="268"/>
    <n v="7456"/>
    <n v="6980"/>
    <n v="1.4469914040114613E-2"/>
    <s v="Backlog"/>
    <n v="0.93615879828326176"/>
    <n v="6.5531115879828326"/>
    <n v="28.084763948497852"/>
    <b v="0"/>
    <n v="28"/>
    <n v="0.93461280125666835"/>
    <n v="0.93570208875284822"/>
    <s v="STRAIN"/>
    <n v="3.5944206008583689E-2"/>
  </r>
  <r>
    <x v="365"/>
    <n v="132"/>
    <n v="235"/>
    <n v="197"/>
    <n v="7268"/>
    <n v="187"/>
    <n v="7503"/>
    <n v="7081"/>
    <n v="-6.2138116085298685E-3"/>
    <s v="No Backlog"/>
    <n v="0.94375583100093297"/>
    <n v="6.6062908170065304"/>
    <n v="28.312674930027988"/>
    <b v="1"/>
    <n v="29"/>
    <n v="0.93842237012924734"/>
    <n v="0.93675634081887638"/>
    <b v="0"/>
    <n v="2.4923363987738239E-2"/>
  </r>
  <r>
    <x v="366"/>
    <n v="172"/>
    <n v="263"/>
    <n v="191"/>
    <n v="7239"/>
    <n v="202"/>
    <n v="7502"/>
    <n v="7037"/>
    <n v="0"/>
    <s v="No Backlog"/>
    <n v="0.93801652892561982"/>
    <n v="6.5661157024793386"/>
    <n v="28.140495867768596"/>
    <b v="1"/>
    <n v="29"/>
    <n v="0.934005642543565"/>
    <n v="0.93018397505712513"/>
    <b v="0"/>
    <n v="2.692615302585977E-2"/>
  </r>
  <r>
    <x v="367"/>
    <n v="116"/>
    <n v="175"/>
    <n v="172"/>
    <n v="7239"/>
    <n v="202"/>
    <n v="7414"/>
    <n v="7037"/>
    <n v="-1.1936904931078584E-2"/>
    <s v="No Backlog"/>
    <n v="0.94915025627191796"/>
    <n v="6.6440517939034258"/>
    <n v="28.474507688157537"/>
    <b v="1"/>
    <n v="29"/>
    <n v="0.93462498381688264"/>
    <n v="0.93961789496377601"/>
    <b v="0"/>
    <n v="2.724575128135959E-2"/>
  </r>
  <r>
    <x v="368"/>
    <n v="102"/>
    <n v="227"/>
    <n v="201"/>
    <n v="7247"/>
    <n v="294"/>
    <n v="7474"/>
    <n v="6953"/>
    <n v="3.4948942902344314E-2"/>
    <s v="Backlog"/>
    <n v="0.9302916778164303"/>
    <n v="6.5120417447150123"/>
    <n v="27.908750334492908"/>
    <b v="1"/>
    <n v="29"/>
    <n v="0.92992828116928439"/>
    <n v="0.93136037350254064"/>
    <s v="STRAIN"/>
    <n v="3.9336366069039334E-2"/>
  </r>
  <r>
    <x v="369"/>
    <n v="145"/>
    <n v="247"/>
    <n v="243"/>
    <n v="7431"/>
    <n v="235"/>
    <n v="7678"/>
    <n v="7196"/>
    <n v="5.4196775986659253E-3"/>
    <s v="Backlog"/>
    <n v="0.93722323521750461"/>
    <n v="6.5605626465225324"/>
    <n v="28.116697056525137"/>
    <b v="1"/>
    <n v="30"/>
    <n v="0.93802549014522529"/>
    <n v="0.93332566886490675"/>
    <s v="STRAIN"/>
    <n v="3.0606928887731179E-2"/>
  </r>
  <r>
    <x v="370"/>
    <n v="204"/>
    <n v="321"/>
    <n v="246"/>
    <n v="7433"/>
    <n v="198"/>
    <n v="7754"/>
    <n v="7235"/>
    <n v="-1.5065653075328266E-2"/>
    <s v="No Backlog"/>
    <n v="0.93306680423007482"/>
    <n v="6.5314676296105239"/>
    <n v="27.992004126902245"/>
    <b v="1"/>
    <n v="30"/>
    <n v="0.9341560917262548"/>
    <n v="0.93668646333952721"/>
    <b v="0"/>
    <n v="2.5535207634769151E-2"/>
  </r>
  <r>
    <x v="371"/>
    <n v="160"/>
    <n v="297"/>
    <n v="253"/>
    <n v="7340"/>
    <n v="214"/>
    <n v="7637"/>
    <n v="7126"/>
    <n v="-4.4905978108335676E-3"/>
    <s v="No Backlog"/>
    <n v="0.93308890925756183"/>
    <n v="6.5316223648029332"/>
    <n v="27.992667277726856"/>
    <b v="1"/>
    <n v="30"/>
    <n v="0.93142287994719086"/>
    <n v="0.92616862933675448"/>
    <b v="0"/>
    <n v="2.802147440094278E-2"/>
  </r>
  <r>
    <x v="372"/>
    <n v="159"/>
    <n v="310"/>
    <n v="272"/>
    <n v="7318"/>
    <n v="224"/>
    <n v="7628"/>
    <n v="7094"/>
    <n v="-1.1418099802650126E-2"/>
    <s v="No Backlog"/>
    <n v="0.92999475616151017"/>
    <n v="6.5099632931305713"/>
    <n v="27.899842684845304"/>
    <b v="1"/>
    <n v="30"/>
    <n v="0.92617308867507031"/>
    <n v="0.92760247282288089"/>
    <b v="0"/>
    <n v="2.9365495542737284E-2"/>
  </r>
  <r>
    <x v="373"/>
    <n v="204"/>
    <n v="315"/>
    <n v="233"/>
    <n v="7307"/>
    <n v="294"/>
    <n v="7622"/>
    <n v="7013"/>
    <n v="3.8785113360901187E-2"/>
    <s v="Backlog"/>
    <n v="0.92009971136184732"/>
    <n v="6.4406979795329313"/>
    <n v="27.602991340855418"/>
    <b v="1"/>
    <n v="30"/>
    <n v="0.92509262250874069"/>
    <n v="0.92213963312339819"/>
    <s v="STRAIN"/>
    <n v="3.857255313565993E-2"/>
  </r>
  <r>
    <x v="374"/>
    <n v="167"/>
    <n v="293"/>
    <n v="230"/>
    <n v="7544"/>
    <n v="259"/>
    <n v="7837"/>
    <n v="7285"/>
    <n v="7.0006863417982155E-3"/>
    <s v="Backlog"/>
    <n v="0.92956488452213859"/>
    <n v="6.5069541916549705"/>
    <n v="27.886946535664158"/>
    <b v="1"/>
    <n v="31"/>
    <n v="0.93099697685539484"/>
    <n v="0.93265522104036358"/>
    <s v="STRAIN"/>
    <n v="3.3048360341967592E-2"/>
  </r>
  <r>
    <x v="375"/>
    <n v="152"/>
    <n v="266"/>
    <n v="274"/>
    <n v="7548"/>
    <n v="212"/>
    <n v="7814"/>
    <n v="7336"/>
    <n v="1.3631406761177754E-4"/>
    <s v="Backlog"/>
    <n v="0.93882774507294597"/>
    <n v="6.5717942155106215"/>
    <n v="28.16483235218838"/>
    <b v="0"/>
    <n v="31"/>
    <n v="0.93412792379262743"/>
    <n v="0.93627079301902583"/>
    <s v="STRAIN"/>
    <n v="2.7130790888149476E-2"/>
  </r>
  <r>
    <x v="376"/>
    <n v="186"/>
    <n v="352"/>
    <n v="224"/>
    <n v="7493"/>
    <n v="156"/>
    <n v="7845"/>
    <n v="7337"/>
    <n v="-1.4992503748125937E-2"/>
    <s v="No Backlog"/>
    <n v="0.93524537922243467"/>
    <n v="6.5467176545570425"/>
    <n v="28.05736137667304"/>
    <b v="1"/>
    <n v="31"/>
    <n v="0.93777575083570719"/>
    <n v="0.93549546839051168"/>
    <b v="0"/>
    <n v="1.9885277246653919E-2"/>
  </r>
  <r>
    <x v="377"/>
    <n v="184"/>
    <n v="334"/>
    <n v="229"/>
    <n v="7439"/>
    <n v="212"/>
    <n v="7773"/>
    <n v="7227"/>
    <n v="-1.2176560121765601E-2"/>
    <s v="No Backlog"/>
    <n v="0.92975685063681979"/>
    <n v="6.5082979544577384"/>
    <n v="27.892705519104595"/>
    <b v="1"/>
    <n v="31"/>
    <n v="0.9245026000263834"/>
    <n v="0.92927827192457113"/>
    <b v="0"/>
    <n v="2.7273896822333721E-2"/>
  </r>
  <r>
    <x v="378"/>
    <n v="116"/>
    <n v="289"/>
    <n v="166"/>
    <n v="7451"/>
    <n v="312"/>
    <n v="7740"/>
    <n v="7139"/>
    <n v="5.0987533267964701E-2"/>
    <s v="Backlog"/>
    <n v="0.92235142118863045"/>
    <n v="6.456459948320413"/>
    <n v="27.670542635658915"/>
    <b v="1"/>
    <n v="31"/>
    <n v="0.92378080533644091"/>
    <n v="0.92937746498028018"/>
    <s v="STRAIN"/>
    <n v="4.0310077519379844E-2"/>
  </r>
  <r>
    <x v="379"/>
    <n v="179"/>
    <n v="326"/>
    <n v="282"/>
    <n v="7741"/>
    <n v="238"/>
    <n v="8067"/>
    <n v="7503"/>
    <n v="-1.3328002132480341E-3"/>
    <s v="No Backlog"/>
    <n v="0.93008553365563407"/>
    <n v="6.5105987355894381"/>
    <n v="27.902566009669023"/>
    <b v="1"/>
    <n v="32"/>
    <n v="0.92713254427029157"/>
    <n v="0.9349222849001062"/>
    <b v="0"/>
    <n v="2.9502913102764348E-2"/>
  </r>
  <r>
    <x v="380"/>
    <n v="173"/>
    <n v="345"/>
    <n v="291"/>
    <n v="7691"/>
    <n v="198"/>
    <n v="8036"/>
    <n v="7493"/>
    <n v="-1.7482984118510611E-2"/>
    <s v="No Backlog"/>
    <n v="0.93242906918865109"/>
    <n v="6.5270034843205575"/>
    <n v="27.972872075659534"/>
    <b v="1"/>
    <n v="32"/>
    <n v="0.93408731337361983"/>
    <n v="0.92746143042493601"/>
    <b v="0"/>
    <n v="2.4639123942259832E-2"/>
  </r>
  <r>
    <x v="381"/>
    <n v="260"/>
    <n v="356"/>
    <n v="176"/>
    <n v="7565"/>
    <n v="203"/>
    <n v="7921"/>
    <n v="7362"/>
    <n v="1.3583265417006249E-3"/>
    <s v="Backlog"/>
    <n v="0.92942810251230901"/>
    <n v="6.5059967175861626"/>
    <n v="27.882843075369269"/>
    <b v="1"/>
    <n v="32"/>
    <n v="0.93157097173870729"/>
    <n v="0.92840791589878569"/>
    <s v="STRAIN"/>
    <n v="2.5628077262971848E-2"/>
  </r>
  <r>
    <x v="382"/>
    <n v="109"/>
    <n v="244"/>
    <n v="257"/>
    <n v="7596"/>
    <n v="224"/>
    <n v="7840"/>
    <n v="7372"/>
    <n v="-1.7905588714053174E-2"/>
    <s v="No Backlog"/>
    <n v="0.9403061224489796"/>
    <n v="6.5821428571428573"/>
    <n v="28.209183673469386"/>
    <b v="0"/>
    <n v="32"/>
    <n v="0.93802584000378419"/>
    <n v="0.93522799137435009"/>
    <b v="0"/>
    <n v="2.8571428571428571E-2"/>
  </r>
  <r>
    <x v="383"/>
    <n v="159"/>
    <n v="330"/>
    <n v="322"/>
    <n v="7546"/>
    <n v="306"/>
    <n v="7876"/>
    <n v="7240"/>
    <n v="1.8370165745856353E-2"/>
    <s v="Backlog"/>
    <n v="0.91924834941594713"/>
    <n v="6.4347384459116297"/>
    <n v="27.577450482478415"/>
    <b v="1"/>
    <n v="32"/>
    <n v="0.92402402131413486"/>
    <n v="0.92164551808524919"/>
    <s v="STRAIN"/>
    <n v="3.8852209243270694E-2"/>
  </r>
  <r>
    <x v="384"/>
    <n v="167"/>
    <n v="406"/>
    <n v="339"/>
    <n v="7563"/>
    <n v="190"/>
    <n v="7969"/>
    <n v="7373"/>
    <n v="-3.1194900311949003E-3"/>
    <s v="No Backlog"/>
    <n v="0.92521018948425149"/>
    <n v="6.4764713263897606"/>
    <n v="27.756305684527543"/>
    <b v="1"/>
    <n v="33"/>
    <n v="0.93080684912809064"/>
    <n v="0.93144289806268765"/>
    <b v="0"/>
    <n v="2.3842389258376208E-2"/>
  </r>
  <r>
    <x v="385"/>
    <n v="182"/>
    <n v="462"/>
    <n v="158"/>
    <n v="7491"/>
    <n v="141"/>
    <n v="7953"/>
    <n v="7350"/>
    <n v="-1.1292517006802722E-2"/>
    <s v="No Backlog"/>
    <n v="0.92417955488494907"/>
    <n v="6.4692568841946434"/>
    <n v="27.725386646548472"/>
    <b v="1"/>
    <n v="33"/>
    <n v="0.93196929551476371"/>
    <n v="0.92693201826668581"/>
    <b v="0"/>
    <n v="1.7729158807996984E-2"/>
  </r>
  <r>
    <x v="386"/>
    <n v="153"/>
    <n v="348"/>
    <n v="239"/>
    <n v="7418"/>
    <n v="151"/>
    <n v="7766"/>
    <n v="7267"/>
    <n v="-9.4949772946195127E-3"/>
    <s v="No Backlog"/>
    <n v="0.93574555755858868"/>
    <n v="6.550218902910121"/>
    <n v="28.072366726757661"/>
    <b v="1"/>
    <n v="33"/>
    <n v="0.92911967460990474"/>
    <n v="0.93419995891933261"/>
    <b v="0"/>
    <n v="1.944372907545712E-2"/>
  </r>
  <r>
    <x v="387"/>
    <n v="156"/>
    <n v="344"/>
    <n v="252"/>
    <n v="7365"/>
    <n v="167"/>
    <n v="7709"/>
    <n v="7198"/>
    <n v="9.5859961100305639E-3"/>
    <s v="Backlog"/>
    <n v="0.93371384096510568"/>
    <n v="6.5359968867557399"/>
    <n v="28.011415228953169"/>
    <b v="1"/>
    <n v="33"/>
    <n v="0.93055078512518408"/>
    <n v="0.93066237479950642"/>
    <s v="STRAIN"/>
    <n v="2.1662991308859774E-2"/>
  </r>
  <r>
    <x v="388"/>
    <n v="193"/>
    <n v="272"/>
    <n v="314"/>
    <n v="7494"/>
    <n v="227"/>
    <n v="7766"/>
    <n v="7267"/>
    <n v="-1.3760836658868861E-4"/>
    <s v="No Backlog"/>
    <n v="0.93574555755858868"/>
    <n v="6.550218902910121"/>
    <n v="28.072366726757661"/>
    <b v="0"/>
    <n v="33"/>
    <n v="0.93294770892915468"/>
    <n v="0.9364170825767627"/>
    <b v="0"/>
    <n v="2.9229976822044812E-2"/>
  </r>
  <r>
    <x v="389"/>
    <n v="168"/>
    <n v="349"/>
    <n v="272"/>
    <n v="7474"/>
    <n v="208"/>
    <n v="7823"/>
    <n v="7266"/>
    <n v="-9.6339113680154141E-4"/>
    <s v="No Backlog"/>
    <n v="0.92879969321232259"/>
    <n v="6.5015978524862579"/>
    <n v="27.863990796369677"/>
    <b v="1"/>
    <n v="34"/>
    <n v="0.92642118998343692"/>
    <n v="0.92959378444330487"/>
    <b v="0"/>
    <n v="2.6588265371340916E-2"/>
  </r>
  <r>
    <x v="390"/>
    <n v="196"/>
    <n v="348"/>
    <n v="176"/>
    <n v="7404"/>
    <n v="145"/>
    <n v="7752"/>
    <n v="7259"/>
    <n v="-1.1434081829453093E-2"/>
    <s v="No Backlog"/>
    <n v="0.93640350877192979"/>
    <n v="6.5548245614035086"/>
    <n v="28.092105263157894"/>
    <b v="1"/>
    <n v="34"/>
    <n v="0.93703955770652692"/>
    <n v="0.92652435165471014"/>
    <b v="0"/>
    <n v="1.8704850361197109E-2"/>
  </r>
  <r>
    <x v="391"/>
    <n v="111"/>
    <n v="268"/>
    <n v="217"/>
    <n v="7368"/>
    <n v="192"/>
    <n v="7636"/>
    <n v="7176"/>
    <n v="-1.644370122630992E-2"/>
    <s v="No Backlog"/>
    <n v="0.93975903614457834"/>
    <n v="6.5783132530120483"/>
    <n v="28.192771084337352"/>
    <b v="1"/>
    <n v="34"/>
    <n v="0.93472175889650044"/>
    <n v="0.93201021411635532"/>
    <b v="0"/>
    <n v="2.5144054478784705E-2"/>
  </r>
  <r>
    <x v="392"/>
    <n v="143"/>
    <n v="295"/>
    <n v="278"/>
    <n v="7356"/>
    <n v="298"/>
    <n v="7651"/>
    <n v="7058"/>
    <n v="3.8679512609804477E-2"/>
    <s v="Backlog"/>
    <n v="0.92249379166122081"/>
    <n v="6.4574565416285452"/>
    <n v="27.674813749836623"/>
    <b v="1"/>
    <n v="34"/>
    <n v="0.92757407597064856"/>
    <n v="0.9217881167242542"/>
    <s v="STRAIN"/>
    <n v="3.8949156972944717E-2"/>
  </r>
  <r>
    <x v="393"/>
    <n v="206"/>
    <n v="340"/>
    <n v="214"/>
    <n v="7565"/>
    <n v="234"/>
    <n v="7905"/>
    <n v="7331"/>
    <n v="-9.5484927022234344E-4"/>
    <s v="No Backlog"/>
    <n v="0.92738772928526247"/>
    <n v="6.491714104996837"/>
    <n v="27.821631878557874"/>
    <b v="1"/>
    <n v="34"/>
    <n v="0.92749931895958482"/>
    <n v="0.92699079123648442"/>
    <b v="0"/>
    <n v="2.9601518026565465E-2"/>
  </r>
  <r>
    <x v="394"/>
    <n v="115"/>
    <n v="285"/>
    <n v="341"/>
    <n v="7589"/>
    <n v="265"/>
    <n v="7874"/>
    <n v="7324"/>
    <n v="4.9153468050245766E-3"/>
    <s v="Backlog"/>
    <n v="0.93014986029972058"/>
    <n v="6.5110490220980441"/>
    <n v="27.904495808991616"/>
    <b v="0"/>
    <n v="35"/>
    <n v="0.9336192339473286"/>
    <n v="0.93382900712311534"/>
    <s v="STRAIN"/>
    <n v="3.3655067310134623E-2"/>
  </r>
  <r>
    <x v="395"/>
    <n v="246"/>
    <n v="419"/>
    <n v="218"/>
    <n v="7546"/>
    <n v="186"/>
    <n v="7965"/>
    <n v="7360"/>
    <n v="-2.4456521739130437E-3"/>
    <s v="No Backlog"/>
    <n v="0.92404268675455115"/>
    <n v="6.4682988072818581"/>
    <n v="27.721280602636533"/>
    <b v="1"/>
    <n v="35"/>
    <n v="0.92721528121441921"/>
    <n v="0.92285565748738407"/>
    <b v="0"/>
    <n v="2.3352165725047083E-2"/>
  </r>
  <r>
    <x v="396"/>
    <n v="112"/>
    <n v="331"/>
    <n v="167"/>
    <n v="7499"/>
    <n v="157"/>
    <n v="7830"/>
    <n v="7342"/>
    <n v="-1.6752928357395804E-2"/>
    <s v="No Backlog"/>
    <n v="0.93767560664112393"/>
    <n v="6.5637292464878678"/>
    <n v="28.130268199233718"/>
    <b v="1"/>
    <n v="35"/>
    <n v="0.92716040058930715"/>
    <n v="0.93090494580007555"/>
    <b v="0"/>
    <n v="2.0051085568326948E-2"/>
  </r>
  <r>
    <x v="397"/>
    <n v="138"/>
    <n v="301"/>
    <n v="263"/>
    <n v="7464"/>
    <n v="245"/>
    <n v="7765"/>
    <n v="7219"/>
    <n v="1.4821997506579858E-2"/>
    <s v="Backlog"/>
    <n v="0.92968448164842243"/>
    <n v="6.507791371538957"/>
    <n v="27.890534449452673"/>
    <b v="1"/>
    <n v="36"/>
    <n v="0.92697293686827731"/>
    <n v="0.92737042758638122"/>
    <s v="STRAIN"/>
    <n v="3.1551835157759174E-2"/>
  </r>
  <r>
    <x v="398"/>
    <n v="138"/>
    <n v="285"/>
    <n v="268"/>
    <n v="7570"/>
    <n v="244"/>
    <n v="7855"/>
    <n v="7326"/>
    <n v="7.5075075075075074E-3"/>
    <s v="Backlog"/>
    <n v="0.93265436028007642"/>
    <n v="6.5285805219605351"/>
    <n v="27.979630808402291"/>
    <b v="1"/>
    <n v="36"/>
    <n v="0.92686840103368207"/>
    <n v="0.92839101568236981"/>
    <s v="STRAIN"/>
    <n v="3.106301718650541E-2"/>
  </r>
  <r>
    <x v="399"/>
    <n v="167"/>
    <n v="374"/>
    <n v="205"/>
    <n v="7583"/>
    <n v="202"/>
    <n v="7957"/>
    <n v="7381"/>
    <n v="2.9806259314456036E-3"/>
    <s v="Backlog"/>
    <n v="0.92761090863390727"/>
    <n v="6.4932763604373509"/>
    <n v="27.828327259017218"/>
    <b v="1"/>
    <n v="36"/>
    <n v="0.92710238091080677"/>
    <n v="0.91964097972191006"/>
    <s v="STRAIN"/>
    <n v="2.5386452180470025E-2"/>
  </r>
  <r>
    <x v="400"/>
    <n v="176"/>
    <n v="334"/>
    <n v="246"/>
    <n v="7566"/>
    <n v="163"/>
    <n v="7900"/>
    <n v="7403"/>
    <n v="-2.1477779278670808E-2"/>
    <s v="No Backlog"/>
    <n v="0.93708860759493673"/>
    <n v="6.5596202531645567"/>
    <n v="28.112658227848101"/>
    <b v="1"/>
    <n v="36"/>
    <n v="0.93729838077072336"/>
    <n v="0.92503553186764376"/>
    <b v="0"/>
    <n v="2.0632911392405064E-2"/>
  </r>
  <r>
    <x v="401"/>
    <n v="173"/>
    <n v="337"/>
    <n v="211"/>
    <n v="7449"/>
    <n v="205"/>
    <n v="7786"/>
    <n v="7244"/>
    <n v="-1.7807840971838764E-2"/>
    <s v="No Backlog"/>
    <n v="0.93038787567428716"/>
    <n v="6.5127151297200099"/>
    <n v="27.911636270228616"/>
    <b v="1"/>
    <n v="37"/>
    <n v="0.92602825194725213"/>
    <n v="0.92391734209246268"/>
    <b v="0"/>
    <n v="2.6329309016182894E-2"/>
  </r>
  <r>
    <x v="402"/>
    <n v="150"/>
    <n v="315"/>
    <n v="228"/>
    <n v="7447"/>
    <n v="332"/>
    <n v="7762"/>
    <n v="7115"/>
    <n v="3.7666900913562895E-2"/>
    <s v="Backlog"/>
    <n v="0.91664519453749038"/>
    <n v="6.416516361762433"/>
    <n v="27.49935583612471"/>
    <b v="1"/>
    <n v="37"/>
    <n v="0.92038973974825877"/>
    <n v="0.91618618238712179"/>
    <s v="STRAIN"/>
    <n v="4.2772481319247616E-2"/>
  </r>
  <r>
    <x v="403"/>
    <n v="206"/>
    <n v="411"/>
    <n v="293"/>
    <n v="7577"/>
    <n v="194"/>
    <n v="7988"/>
    <n v="7383"/>
    <n v="-8.8040092103480964E-3"/>
    <s v="No Backlog"/>
    <n v="0.92426139208813218"/>
    <n v="6.4698297446169253"/>
    <n v="27.727841762643965"/>
    <b v="1"/>
    <n v="37"/>
    <n v="0.92465888280623609"/>
    <n v="0.92291916573461297"/>
    <b v="0"/>
    <n v="2.42864296444667E-2"/>
  </r>
  <r>
    <x v="404"/>
    <n v="197"/>
    <n v="437"/>
    <n v="295"/>
    <n v="7508"/>
    <n v="190"/>
    <n v="7945"/>
    <n v="7318"/>
    <n v="-3.0062858704564088E-3"/>
    <s v="No Backlog"/>
    <n v="0.9210824417872876"/>
    <n v="6.447577092511013"/>
    <n v="27.632473253618627"/>
    <b v="1"/>
    <n v="37"/>
    <n v="0.92260505643597535"/>
    <n v="0.92517466877451437"/>
    <b v="0"/>
    <n v="2.3914411579609818E-2"/>
  </r>
  <r>
    <x v="405"/>
    <n v="220"/>
    <n v="443"/>
    <n v="194"/>
    <n v="7431"/>
    <n v="135"/>
    <n v="7874"/>
    <n v="7296"/>
    <n v="-1.5076754385964912E-2"/>
    <s v="No Backlog"/>
    <n v="0.92659385318770637"/>
    <n v="6.4861569723139443"/>
    <n v="27.797815595631192"/>
    <b v="1"/>
    <n v="37"/>
    <n v="0.91913245199880955"/>
    <n v="0.92438783568476235"/>
    <b v="0"/>
    <n v="1.714503429006858E-2"/>
  </r>
  <r>
    <x v="406"/>
    <n v="140"/>
    <n v="292"/>
    <n v="255"/>
    <n v="7373"/>
    <n v="187"/>
    <n v="7665"/>
    <n v="7186"/>
    <n v="-1.9204007792930699E-2"/>
    <s v="No Backlog"/>
    <n v="0.9375081539465101"/>
    <n v="6.5625570776255708"/>
    <n v="28.125244618395303"/>
    <b v="1"/>
    <n v="37"/>
    <n v="0.9252453050434305"/>
    <n v="0.93328512982619216"/>
    <b v="0"/>
    <n v="2.4396607958251795E-2"/>
  </r>
  <r>
    <x v="407"/>
    <n v="158"/>
    <n v="349"/>
    <n v="365"/>
    <n v="7298"/>
    <n v="250"/>
    <n v="7647"/>
    <n v="7048"/>
    <n v="-7.9455164585698068E-3"/>
    <s v="No Backlog"/>
    <n v="0.92166862822021711"/>
    <n v="6.4516803975415193"/>
    <n v="27.650058846606512"/>
    <b v="0"/>
    <n v="38"/>
    <n v="0.91955771836542777"/>
    <n v="0.92832016251546545"/>
    <b v="0"/>
    <n v="3.2692559173532101E-2"/>
  </r>
  <r>
    <x v="408"/>
    <n v="145"/>
    <n v="357"/>
    <n v="333"/>
    <n v="7209"/>
    <n v="217"/>
    <n v="7566"/>
    <n v="6992"/>
    <n v="-2.574370709382151E-3"/>
    <s v="No Backlog"/>
    <n v="0.92413428495902727"/>
    <n v="6.4689399947131907"/>
    <n v="27.724028548770818"/>
    <b v="1"/>
    <n v="38"/>
    <n v="0.91993072759789019"/>
    <n v="0.9372527350008224"/>
    <b v="0"/>
    <n v="2.8680941052075071E-2"/>
  </r>
  <r>
    <x v="409"/>
    <n v="253"/>
    <n v="411"/>
    <n v="307"/>
    <n v="7128"/>
    <n v="154"/>
    <n v="7539"/>
    <n v="6974"/>
    <n v="-2.0217952394608545E-2"/>
    <s v="No Backlog"/>
    <n v="0.92505637352434011"/>
    <n v="6.4753946146703809"/>
    <n v="27.751691205730204"/>
    <b v="1"/>
    <n v="38"/>
    <n v="0.92331665645271688"/>
    <n v="0.9328108135285873"/>
    <b v="0"/>
    <n v="2.0427112349117919E-2"/>
  </r>
  <r>
    <x v="410"/>
    <n v="252"/>
    <n v="427"/>
    <n v="307"/>
    <n v="6967"/>
    <n v="134"/>
    <n v="7394"/>
    <n v="6833"/>
    <n v="-3.6294453387970146E-2"/>
    <s v="No Backlog"/>
    <n v="0.9241276710846632"/>
    <n v="6.4688936975926428"/>
    <n v="27.723830132539895"/>
    <b v="1"/>
    <n v="38"/>
    <n v="0.92669728342320212"/>
    <n v="0.92619622717783923"/>
    <b v="0"/>
    <n v="1.8122802272112524E-2"/>
  </r>
  <r>
    <x v="411"/>
    <n v="176"/>
    <n v="424"/>
    <n v="251"/>
    <n v="6799"/>
    <n v="214"/>
    <n v="7223"/>
    <n v="6585"/>
    <n v="-1.2148823082763858E-2"/>
    <s v="No Backlog"/>
    <n v="0.91167105080991273"/>
    <n v="6.381697355669389"/>
    <n v="27.350131524297382"/>
    <b v="1"/>
    <n v="38"/>
    <n v="0.91692643449586542"/>
    <n v="0.92594025826986415"/>
    <b v="0"/>
    <n v="2.9627578568461859E-2"/>
  </r>
  <r>
    <x v="412"/>
    <n v="208"/>
    <n v="380"/>
    <n v="343"/>
    <n v="6745"/>
    <n v="240"/>
    <n v="7125"/>
    <n v="6505"/>
    <n v="-5.6879323597232899E-3"/>
    <s v="No Backlog"/>
    <n v="0.9129824561403509"/>
    <n v="6.3908771929824564"/>
    <n v="27.389473684210525"/>
    <b v="1"/>
    <n v="39"/>
    <n v="0.92102228092311256"/>
    <n v="0.93055405805961577"/>
    <b v="0"/>
    <n v="3.3684210526315789E-2"/>
  </r>
  <r>
    <x v="413"/>
    <n v="144"/>
    <n v="322"/>
    <n v="258"/>
    <n v="6728"/>
    <n v="260"/>
    <n v="7050"/>
    <n v="6468"/>
    <n v="4.6382189239332098E-3"/>
    <s v="Backlog"/>
    <n v="0.91744680851063831"/>
    <n v="6.4221276595744685"/>
    <n v="27.52340425531915"/>
    <b v="1"/>
    <n v="39"/>
    <n v="0.926209252660676"/>
    <n v="0.93481323252480397"/>
    <s v="STRAIN"/>
    <n v="3.6879432624113473E-2"/>
  </r>
  <r>
    <x v="414"/>
    <n v="182"/>
    <n v="371"/>
    <n v="274"/>
    <n v="6725"/>
    <n v="227"/>
    <n v="7096"/>
    <n v="6498"/>
    <n v="3.6934441366574329E-3"/>
    <s v="Backlog"/>
    <n v="0.9157271702367531"/>
    <n v="6.4100901916572717"/>
    <n v="27.471815107102593"/>
    <b v="1"/>
    <n v="39"/>
    <n v="0.93304917763968531"/>
    <n v="0.93075194110025772"/>
    <s v="STRAIN"/>
    <n v="3.1989853438556932E-2"/>
  </r>
  <r>
    <x v="415"/>
    <n v="219"/>
    <n v="392"/>
    <n v="205"/>
    <n v="6685"/>
    <n v="163"/>
    <n v="7077"/>
    <n v="6522"/>
    <n v="-4.9064704078503529E-3"/>
    <s v="No Backlog"/>
    <n v="0.92157693938109364"/>
    <n v="6.4510385756676554"/>
    <n v="27.647308181432809"/>
    <b v="1"/>
    <n v="39"/>
    <n v="0.93107109645696418"/>
    <n v="0.92477462333187288"/>
    <b v="0"/>
    <n v="2.3032358343931043E-2"/>
  </r>
  <r>
    <x v="416"/>
    <n v="144"/>
    <n v="303"/>
    <n v="176"/>
    <n v="6681"/>
    <n v="191"/>
    <n v="6984"/>
    <n v="6490"/>
    <n v="-2.3112480739599383E-2"/>
    <s v="No Backlog"/>
    <n v="0.92926689576174115"/>
    <n v="6.5048682703321878"/>
    <n v="27.878006872852236"/>
    <b v="1"/>
    <n v="39"/>
    <n v="0.92876583951637814"/>
    <n v="0.92438500067590157"/>
    <b v="0"/>
    <n v="2.7348224513172967E-2"/>
  </r>
  <r>
    <x v="417"/>
    <n v="128"/>
    <n v="245"/>
    <n v="243"/>
    <n v="6630"/>
    <n v="290"/>
    <n v="6875"/>
    <n v="6340"/>
    <n v="4.5268138801261827E-2"/>
    <s v="Backlog"/>
    <n v="0.92218181818181821"/>
    <n v="6.4552727272727273"/>
    <n v="27.665454545454548"/>
    <b v="1"/>
    <n v="40"/>
    <n v="0.93119564195581694"/>
    <n v="0.93040631251389194"/>
    <s v="STRAIN"/>
    <n v="4.2181818181818181E-2"/>
  </r>
  <r>
    <x v="418"/>
    <n v="183"/>
    <n v="221"/>
    <n v="220"/>
    <n v="6912"/>
    <n v="285"/>
    <n v="7133"/>
    <n v="6627"/>
    <n v="2.1880187113324279E-2"/>
    <s v="Backlog"/>
    <n v="0.92906210570587411"/>
    <n v="6.5034347399411185"/>
    <n v="27.871863171176223"/>
    <b v="1"/>
    <n v="40"/>
    <n v="0.93859388284237744"/>
    <n v="0.93500085151065515"/>
    <s v="STRAIN"/>
    <n v="3.995513809056498E-2"/>
  </r>
  <r>
    <x v="419"/>
    <n v="117"/>
    <n v="244"/>
    <n v="142"/>
    <n v="6999"/>
    <n v="227"/>
    <n v="7243"/>
    <n v="6772"/>
    <n v="2.0821027761370348E-2"/>
    <s v="Backlog"/>
    <n v="0.93497169681071379"/>
    <n v="6.5448018776749963"/>
    <n v="28.049150904321415"/>
    <b v="1"/>
    <n v="40"/>
    <n v="0.94357567667484177"/>
    <n v="0.93855819823952968"/>
    <s v="STRAIN"/>
    <n v="3.1340604721800357E-2"/>
  </r>
  <r>
    <x v="420"/>
    <n v="118"/>
    <n v="231"/>
    <n v="217"/>
    <n v="7043"/>
    <n v="130"/>
    <n v="7274"/>
    <n v="6913"/>
    <n v="-1.7937219730941704E-2"/>
    <s v="No Backlog"/>
    <n v="0.95037118504261753"/>
    <n v="6.6525982952983229"/>
    <n v="28.511135551278525"/>
    <b v="1"/>
    <n v="40"/>
    <n v="0.94807394850318993"/>
    <n v="0.93616807445197159"/>
    <b v="0"/>
    <n v="1.7871872422326091E-2"/>
  </r>
  <r>
    <x v="421"/>
    <n v="102"/>
    <n v="230"/>
    <n v="167"/>
    <n v="6988"/>
    <n v="199"/>
    <n v="7218"/>
    <n v="6789"/>
    <n v="-1.2667550449256149E-2"/>
    <s v="No Backlog"/>
    <n v="0.9405652535328346"/>
    <n v="6.5839567747298418"/>
    <n v="28.216957605985037"/>
    <b v="1"/>
    <n v="40"/>
    <n v="0.93426878040774342"/>
    <n v="0.94128695273391405"/>
    <b v="0"/>
    <n v="2.7569963978941535E-2"/>
  </r>
  <r>
    <x v="422"/>
    <n v="106"/>
    <n v="239"/>
    <n v="233"/>
    <n v="6982"/>
    <n v="279"/>
    <n v="7221"/>
    <n v="6703"/>
    <n v="5.8033716246456812E-2"/>
    <s v="Backlog"/>
    <n v="0.92826478327101514"/>
    <n v="6.4978534828971064"/>
    <n v="27.847943498130455"/>
    <b v="1"/>
    <n v="41"/>
    <n v="0.92388394443053867"/>
    <n v="0.94026157487913031"/>
    <s v="STRAIN"/>
    <n v="3.8637307852098048E-2"/>
  </r>
  <r>
    <x v="423"/>
    <n v="95"/>
    <n v="226"/>
    <n v="152"/>
    <n v="7317"/>
    <n v="225"/>
    <n v="7543"/>
    <n v="7092"/>
    <n v="1.2831359278059786E-2"/>
    <s v="Backlog"/>
    <n v="0.94020946572981567"/>
    <n v="6.5814662601087095"/>
    <n v="28.206283971894472"/>
    <b v="1"/>
    <n v="41"/>
    <n v="0.93942013628789067"/>
    <n v="0.94688545912189115"/>
    <s v="STRAIN"/>
    <n v="2.9828980511732734E-2"/>
  </r>
  <r>
    <x v="424"/>
    <n v="124"/>
    <n v="230"/>
    <n v="190"/>
    <n v="7346"/>
    <n v="163"/>
    <n v="7576"/>
    <n v="7183"/>
    <n v="3.4804399276068495E-3"/>
    <s v="Backlog"/>
    <n v="0.94812565997888065"/>
    <n v="6.6368796198521647"/>
    <n v="28.443769799366418"/>
    <b v="1"/>
    <n v="41"/>
    <n v="0.94453262864715848"/>
    <n v="0.94339585237750001"/>
    <s v="STRAIN"/>
    <n v="2.1515311510031679E-2"/>
  </r>
  <r>
    <x v="425"/>
    <n v="101"/>
    <n v="230"/>
    <n v="175"/>
    <n v="7340"/>
    <n v="132"/>
    <n v="7570"/>
    <n v="7208"/>
    <n v="-1.5122086570477247E-2"/>
    <s v="No Backlog"/>
    <n v="0.95217965653896963"/>
    <n v="6.6652575957727871"/>
    <n v="28.565389696169088"/>
    <b v="1"/>
    <n v="41"/>
    <n v="0.94716217810365755"/>
    <n v="0.94122361721886505"/>
    <b v="0"/>
    <n v="1.7437252311756937E-2"/>
  </r>
  <r>
    <x v="426"/>
    <n v="109"/>
    <n v="235"/>
    <n v="171"/>
    <n v="7271"/>
    <n v="172"/>
    <n v="7506"/>
    <n v="7099"/>
    <n v="-1.8171573461050854E-2"/>
    <s v="No Backlog"/>
    <n v="0.94577671196376234"/>
    <n v="6.6204369837463366"/>
    <n v="28.373301358912869"/>
    <b v="1"/>
    <n v="42"/>
    <n v="0.93387083791254399"/>
    <n v="0.93892881840962683"/>
    <b v="0"/>
    <n v="2.291500133226752E-2"/>
  </r>
  <r>
    <x v="427"/>
    <n v="105"/>
    <n v="254"/>
    <n v="151"/>
    <n v="7257"/>
    <n v="287"/>
    <n v="7511"/>
    <n v="6970"/>
    <n v="6.1979913916786228E-2"/>
    <s v="Backlog"/>
    <n v="0.92797230728265212"/>
    <n v="6.4958061509785647"/>
    <n v="27.839169218479565"/>
    <b v="1"/>
    <n v="42"/>
    <n v="0.93499047960882287"/>
    <n v="0.93145918404341832"/>
    <s v="STRAIN"/>
    <n v="3.8210624417520968E-2"/>
  </r>
  <r>
    <x v="428"/>
    <n v="161"/>
    <n v="288"/>
    <n v="248"/>
    <n v="7762"/>
    <n v="360"/>
    <n v="8050"/>
    <n v="7402"/>
    <n v="3.7287219670359362E-2"/>
    <s v="Backlog"/>
    <n v="0.9195031055900621"/>
    <n v="6.436521739130435"/>
    <n v="27.585093167701864"/>
    <b v="1"/>
    <n v="42"/>
    <n v="0.93588073603865385"/>
    <n v="0.93200721657964314"/>
    <s v="STRAIN"/>
    <n v="4.472049689440994E-2"/>
  </r>
  <r>
    <x v="429"/>
    <n v="129"/>
    <n v="287"/>
    <n v="185"/>
    <n v="7893"/>
    <n v="215"/>
    <n v="8180"/>
    <n v="7678"/>
    <n v="4.2979942693409743E-3"/>
    <s v="Backlog"/>
    <n v="0.93863080684596578"/>
    <n v="6.5704156479217604"/>
    <n v="28.158924205378973"/>
    <b v="1"/>
    <n v="42"/>
    <n v="0.94609612967996615"/>
    <n v="0.93692785255968147"/>
    <s v="STRAIN"/>
    <n v="2.628361858190709E-2"/>
  </r>
  <r>
    <x v="430"/>
    <n v="187"/>
    <n v="276"/>
    <n v="200"/>
    <n v="7919"/>
    <n v="208"/>
    <n v="8195"/>
    <n v="7711"/>
    <n v="-5.3170794968227207E-3"/>
    <s v="No Backlog"/>
    <n v="0.94093959731543619"/>
    <n v="6.5865771812080531"/>
    <n v="28.228187919463085"/>
    <b v="1"/>
    <n v="42"/>
    <n v="0.93980282104577784"/>
    <n v="0.92967481957822018"/>
    <b v="0"/>
    <n v="2.5381330079316658E-2"/>
  </r>
  <r>
    <x v="431"/>
    <n v="128"/>
    <n v="242"/>
    <n v="224"/>
    <n v="7899"/>
    <n v="229"/>
    <n v="8141"/>
    <n v="7670"/>
    <n v="-1.877444589308996E-2"/>
    <s v="No Backlog"/>
    <n v="0.94214469966834546"/>
    <n v="6.5950128976784184"/>
    <n v="28.264340990050364"/>
    <b v="1"/>
    <n v="43"/>
    <n v="0.93620613878355297"/>
    <n v="0.93198806932806078"/>
    <b v="0"/>
    <n v="2.812922245424395E-2"/>
  </r>
  <r>
    <x v="432"/>
    <n v="124"/>
    <n v="264"/>
    <n v="221"/>
    <n v="7899"/>
    <n v="373"/>
    <n v="8163"/>
    <n v="7526"/>
    <n v="7.05554079192134E-2"/>
    <s v="Backlog"/>
    <n v="0.92196496386132554"/>
    <n v="6.4537547470292784"/>
    <n v="27.658948915839765"/>
    <b v="1"/>
    <n v="43"/>
    <n v="0.92702294435840837"/>
    <n v="0.92404670408140799"/>
    <s v="STRAIN"/>
    <n v="4.5693985054514275E-2"/>
  </r>
  <r>
    <x v="433"/>
    <n v="132"/>
    <n v="261"/>
    <n v="141"/>
    <n v="8292"/>
    <n v="235"/>
    <n v="8553"/>
    <n v="8057"/>
    <n v="1.0053369740598237E-2"/>
    <s v="Backlog"/>
    <n v="0.94200865193499361"/>
    <n v="6.5940605635449554"/>
    <n v="28.260259558049807"/>
    <b v="1"/>
    <n v="43"/>
    <n v="0.93847735636958896"/>
    <n v="0.93401122846965379"/>
    <s v="STRAIN"/>
    <n v="2.7475739506605871E-2"/>
  </r>
  <r>
    <x v="434"/>
    <n v="91"/>
    <n v="181"/>
    <n v="174"/>
    <n v="8365"/>
    <n v="227"/>
    <n v="8546"/>
    <n v="8138"/>
    <n v="6.7584173015482916E-3"/>
    <s v="Backlog"/>
    <n v="0.95225836648724549"/>
    <n v="6.6658085654107184"/>
    <n v="28.567750994617363"/>
    <b v="1"/>
    <n v="43"/>
    <n v="0.94838484702823478"/>
    <n v="0.93588488179308293"/>
    <s v="STRAIN"/>
    <n v="2.6562134331851159E-2"/>
  </r>
  <r>
    <x v="435"/>
    <n v="99"/>
    <n v="202"/>
    <n v="256"/>
    <n v="8390"/>
    <n v="197"/>
    <n v="8592"/>
    <n v="8193"/>
    <n v="-1.7453924081533016E-2"/>
    <s v="No Backlog"/>
    <n v="0.95356145251396651"/>
    <n v="6.6749301675977657"/>
    <n v="28.606843575418996"/>
    <b v="0"/>
    <n v="44"/>
    <n v="0.94439317539368184"/>
    <n v="0.93142649981690373"/>
    <b v="0"/>
    <n v="2.292830540037244E-2"/>
  </r>
  <r>
    <x v="436"/>
    <n v="123"/>
    <n v="243"/>
    <n v="188"/>
    <n v="8333"/>
    <n v="283"/>
    <n v="8576"/>
    <n v="8050"/>
    <n v="-2.3602484472049689E-3"/>
    <s v="No Backlog"/>
    <n v="0.93866604477611937"/>
    <n v="6.5706623134328357"/>
    <n v="28.159981343283579"/>
    <b v="1"/>
    <n v="44"/>
    <n v="0.92853804330856171"/>
    <n v="0.92881164367950819"/>
    <b v="0"/>
    <n v="3.2999067164179108E-2"/>
  </r>
  <r>
    <x v="437"/>
    <n v="127"/>
    <n v="260"/>
    <n v="259"/>
    <n v="8373"/>
    <n v="342"/>
    <n v="8633"/>
    <n v="8031"/>
    <n v="4.4079193126634289E-2"/>
    <s v="Backlog"/>
    <n v="0.93026757789876058"/>
    <n v="6.511873045291324"/>
    <n v="27.908027336962817"/>
    <b v="1"/>
    <n v="44"/>
    <n v="0.92604950844326828"/>
    <n v="0.92664701877662714"/>
    <s v="STRAIN"/>
    <n v="3.9615429167149309E-2"/>
  </r>
  <r>
    <x v="438"/>
    <n v="166"/>
    <n v="301"/>
    <n v="252"/>
    <n v="8695"/>
    <n v="310"/>
    <n v="8996"/>
    <n v="8385"/>
    <n v="2.3255813953488372E-2"/>
    <s v="Backlog"/>
    <n v="0.93208092485549132"/>
    <n v="6.5245664739884397"/>
    <n v="27.962427745664741"/>
    <b v="1"/>
    <n v="44"/>
    <n v="0.92910468457849082"/>
    <n v="0.93416331418514664"/>
    <s v="STRAIN"/>
    <n v="3.4459759893285903E-2"/>
  </r>
  <r>
    <x v="439"/>
    <n v="165"/>
    <n v="358"/>
    <n v="167"/>
    <n v="8819"/>
    <n v="239"/>
    <n v="9177"/>
    <n v="8580"/>
    <n v="5.8275058275058279E-3"/>
    <s v="Backlog"/>
    <n v="0.93494606080418441"/>
    <n v="6.5446224256292904"/>
    <n v="28.048381824125531"/>
    <b v="1"/>
    <n v="44"/>
    <n v="0.93047993290424924"/>
    <n v="0.92410049025280472"/>
    <s v="STRAIN"/>
    <n v="2.604336929279721E-2"/>
  </r>
  <r>
    <x v="440"/>
    <n v="154"/>
    <n v="294"/>
    <n v="290"/>
    <n v="8843"/>
    <n v="213"/>
    <n v="9137"/>
    <n v="8630"/>
    <n v="-1.4600231749710313E-2"/>
    <s v="No Backlog"/>
    <n v="0.94451132756922407"/>
    <n v="6.6115792929845689"/>
    <n v="28.335339827076723"/>
    <b v="1"/>
    <n v="45"/>
    <n v="0.93201136233407222"/>
    <n v="0.92662208287081504"/>
    <b v="0"/>
    <n v="2.3311809127722447E-2"/>
  </r>
  <r>
    <x v="441"/>
    <n v="178"/>
    <n v="336"/>
    <n v="290"/>
    <n v="8757"/>
    <n v="253"/>
    <n v="9093"/>
    <n v="8504"/>
    <n v="-1.9167450611476951E-2"/>
    <s v="No Backlog"/>
    <n v="0.93522489827339716"/>
    <n v="6.5465742879137805"/>
    <n v="28.056746948201916"/>
    <b v="1"/>
    <n v="45"/>
    <n v="0.92225822269661917"/>
    <n v="0.92914237030912006"/>
    <b v="0"/>
    <n v="2.782360057186847E-2"/>
  </r>
  <r>
    <x v="442"/>
    <n v="190"/>
    <n v="368"/>
    <n v="326"/>
    <n v="8714"/>
    <n v="373"/>
    <n v="9082"/>
    <n v="8341"/>
    <n v="3.0691763577508691E-2"/>
    <s v="Backlog"/>
    <n v="0.91841004184100417"/>
    <n v="6.4288702928870292"/>
    <n v="27.552301255230127"/>
    <b v="1"/>
    <n v="45"/>
    <n v="0.91868364221195065"/>
    <n v="0.92249503536013333"/>
    <s v="STRAIN"/>
    <n v="4.1070248843866987E-2"/>
  </r>
  <r>
    <x v="443"/>
    <n v="181"/>
    <n v="424"/>
    <n v="328"/>
    <n v="8902"/>
    <n v="305"/>
    <n v="9326"/>
    <n v="8597"/>
    <n v="4.7691055019192744E-3"/>
    <s v="Backlog"/>
    <n v="0.92183143898777609"/>
    <n v="6.4528200729144327"/>
    <n v="27.654943169633281"/>
    <b v="1"/>
    <n v="45"/>
    <n v="0.92242894932113495"/>
    <n v="0.92787508007026998"/>
    <s v="STRAIN"/>
    <n v="3.2704267638859107E-2"/>
  </r>
  <r>
    <x v="444"/>
    <n v="230"/>
    <n v="457"/>
    <n v="277"/>
    <n v="8870"/>
    <n v="232"/>
    <n v="9327"/>
    <n v="8638"/>
    <n v="-6.0199120166705257E-3"/>
    <s v="No Backlog"/>
    <n v="0.92612844430149033"/>
    <n v="6.4828991101104325"/>
    <n v="27.78385332904471"/>
    <b v="1"/>
    <n v="45"/>
    <n v="0.93118707390814626"/>
    <n v="0.92681422215074516"/>
    <b v="0"/>
    <n v="2.4874021657553341E-2"/>
  </r>
  <r>
    <x v="445"/>
    <n v="246"/>
    <n v="472"/>
    <n v="345"/>
    <n v="8800"/>
    <n v="214"/>
    <n v="9272"/>
    <n v="8586"/>
    <n v="-1.8052643838807361E-2"/>
    <s v="No Backlog"/>
    <n v="0.92601380500431407"/>
    <n v="6.4820966350301985"/>
    <n v="27.780414150129424"/>
    <b v="1"/>
    <n v="46"/>
    <n v="0.91963436235286955"/>
    <n v="0.91730408230373994"/>
    <b v="0"/>
    <n v="2.3080241587575497E-2"/>
  </r>
  <r>
    <x v="446"/>
    <n v="225"/>
    <n v="509"/>
    <n v="340"/>
    <n v="8660"/>
    <n v="229"/>
    <n v="9169"/>
    <n v="8431"/>
    <n v="-2.265448938441466E-2"/>
    <s v="No Backlog"/>
    <n v="0.91951139709892027"/>
    <n v="6.4365797796924422"/>
    <n v="27.585341912967607"/>
    <b v="1"/>
    <n v="46"/>
    <n v="0.91412211763566309"/>
    <n v="0.92851277348720074"/>
    <b v="0"/>
    <n v="2.4975460791798451E-2"/>
  </r>
  <r>
    <x v="447"/>
    <n v="236"/>
    <n v="468"/>
    <n v="347"/>
    <n v="8594"/>
    <n v="354"/>
    <n v="9062"/>
    <n v="8240"/>
    <n v="2.2451456310679612E-2"/>
    <s v="Backlog"/>
    <n v="0.90929154711984106"/>
    <n v="6.3650408298388879"/>
    <n v="27.278746413595233"/>
    <b v="1"/>
    <n v="46"/>
    <n v="0.91617569473234206"/>
    <n v="0.92430276564435321"/>
    <s v="STRAIN"/>
    <n v="3.9064224233061134E-2"/>
  </r>
  <r>
    <x v="448"/>
    <n v="262"/>
    <n v="444"/>
    <n v="354"/>
    <n v="8724"/>
    <n v="299"/>
    <n v="9168"/>
    <n v="8425"/>
    <n v="2.0178041543026707E-3"/>
    <s v="Backlog"/>
    <n v="0.91895724258289702"/>
    <n v="6.4327006980802794"/>
    <n v="27.568717277486911"/>
    <b v="1"/>
    <n v="46"/>
    <n v="0.92276863573107981"/>
    <n v="0.92052063020954278"/>
    <s v="STRAIN"/>
    <n v="3.2613438045375219E-2"/>
  </r>
  <r>
    <x v="449"/>
    <n v="209"/>
    <n v="447"/>
    <n v="274"/>
    <n v="8699"/>
    <n v="257"/>
    <n v="9146"/>
    <n v="8442"/>
    <n v="2.3691068467187872E-4"/>
    <s v="Backlog"/>
    <n v="0.92302645965449381"/>
    <n v="6.4611852175814564"/>
    <n v="27.690793789634814"/>
    <b v="1"/>
    <n v="47"/>
    <n v="0.92847259040362884"/>
    <n v="0.91122738220153221"/>
    <s v="STRAIN"/>
    <n v="2.8099715722720315E-2"/>
  </r>
  <r>
    <x v="450"/>
    <n v="197"/>
    <n v="369"/>
    <n v="306"/>
    <n v="8650"/>
    <n v="206"/>
    <n v="9019"/>
    <n v="8444"/>
    <n v="-4.3699668403600192E-2"/>
    <s v="No Backlog"/>
    <n v="0.93624570351480207"/>
    <n v="6.5537199246036142"/>
    <n v="28.087371105444063"/>
    <b v="1"/>
    <n v="47"/>
    <n v="0.93187285175740109"/>
    <n v="0.92127123439812864"/>
    <b v="0"/>
    <n v="2.2840669697305686E-2"/>
  </r>
  <r>
    <x v="451"/>
    <n v="199"/>
    <n v="438"/>
    <n v="326"/>
    <n v="8404"/>
    <n v="329"/>
    <n v="8842"/>
    <n v="8075"/>
    <n v="0"/>
    <s v="No Backlog"/>
    <n v="0.91325491970142503"/>
    <n v="6.3927844379099756"/>
    <n v="27.397647591042752"/>
    <b v="1"/>
    <n v="47"/>
    <n v="0.91092463965229542"/>
    <n v="0.91744250687265616"/>
    <b v="0"/>
    <n v="3.7208776294955892E-2"/>
  </r>
  <r>
    <x v="452"/>
    <n v="244"/>
    <n v="482"/>
    <n v="366"/>
    <n v="8404"/>
    <n v="329"/>
    <n v="8886"/>
    <n v="8075"/>
    <n v="2.959752321981424E-2"/>
    <s v="Backlog"/>
    <n v="0.90873283817240602"/>
    <n v="6.3611298672068424"/>
    <n v="27.261985145172179"/>
    <b v="1"/>
    <n v="47"/>
    <n v="0.92312349402394356"/>
    <n v="0.91713112496855598"/>
    <s v="STRAIN"/>
    <n v="3.7024532973216298E-2"/>
  </r>
  <r>
    <x v="453"/>
    <n v="165"/>
    <n v="400"/>
    <n v="292"/>
    <n v="8607"/>
    <n v="293"/>
    <n v="9007"/>
    <n v="8314"/>
    <n v="3.367813326918451E-3"/>
    <s v="Backlog"/>
    <n v="0.92305984234484295"/>
    <n v="6.4614188964139005"/>
    <n v="27.691795270345288"/>
    <b v="1"/>
    <n v="47"/>
    <n v="0.93118691325685421"/>
    <n v="0.91907369665814942"/>
    <s v="STRAIN"/>
    <n v="3.2530254246697012E-2"/>
  </r>
  <r>
    <x v="454"/>
    <n v="232"/>
    <n v="430"/>
    <n v="318"/>
    <n v="8573"/>
    <n v="231"/>
    <n v="9003"/>
    <n v="8342"/>
    <n v="-5.5142651642292014E-3"/>
    <s v="No Backlog"/>
    <n v="0.9265800288792625"/>
    <n v="6.486060202154837"/>
    <n v="27.797400866377874"/>
    <b v="1"/>
    <n v="48"/>
    <n v="0.92433202335772557"/>
    <n v="0.91097697512994769"/>
    <b v="0"/>
    <n v="2.5658113962012664E-2"/>
  </r>
  <r>
    <x v="455"/>
    <n v="149"/>
    <n v="395"/>
    <n v="273"/>
    <n v="8488"/>
    <n v="192"/>
    <n v="8883"/>
    <n v="8296"/>
    <n v="-1.6152362584378015E-2"/>
    <s v="No Backlog"/>
    <n v="0.93391872115276375"/>
    <n v="6.5374310480693465"/>
    <n v="28.017561634582911"/>
    <b v="1"/>
    <n v="48"/>
    <n v="0.91667351295066724"/>
    <n v="0.92005305533183268"/>
    <b v="0"/>
    <n v="2.1614319486659914E-2"/>
  </r>
  <r>
    <x v="456"/>
    <n v="249"/>
    <n v="420"/>
    <n v="371"/>
    <n v="8380"/>
    <n v="218"/>
    <n v="8800"/>
    <n v="8162"/>
    <n v="-1.3477088948787063E-3"/>
    <s v="No Backlog"/>
    <n v="0.92749999999999999"/>
    <n v="6.4924999999999997"/>
    <n v="27.824999999999999"/>
    <b v="1"/>
    <n v="48"/>
    <n v="0.91689838264072754"/>
    <n v="0.92070249130938586"/>
    <b v="0"/>
    <n v="2.4772727272727273E-2"/>
  </r>
  <r>
    <x v="457"/>
    <n v="333"/>
    <n v="508"/>
    <n v="272"/>
    <n v="8463"/>
    <n v="312"/>
    <n v="8971"/>
    <n v="8151"/>
    <n v="1.607164765059502E-2"/>
    <s v="Backlog"/>
    <n v="0.9085943596031657"/>
    <n v="6.3601605172221598"/>
    <n v="27.257830788094971"/>
    <b v="1"/>
    <n v="48"/>
    <n v="0.91511222682352644"/>
    <n v="0.93132581941972126"/>
    <s v="STRAIN"/>
    <n v="3.4778731468063762E-2"/>
  </r>
  <r>
    <x v="458"/>
    <n v="185"/>
    <n v="322"/>
    <n v="272"/>
    <n v="8512"/>
    <n v="230"/>
    <n v="8834"/>
    <n v="8282"/>
    <n v="-1.1349915479352813E-2"/>
    <s v="No Backlog"/>
    <n v="0.9375141498754811"/>
    <n v="6.5625990491283677"/>
    <n v="28.125424496264433"/>
    <b v="1"/>
    <n v="48"/>
    <n v="0.93152178082009351"/>
    <n v="0.94072249695719068"/>
    <b v="0"/>
    <n v="2.6035770885216209E-2"/>
  </r>
  <r>
    <x v="459"/>
    <n v="227"/>
    <n v="369"/>
    <n v="349"/>
    <n v="8348"/>
    <n v="160"/>
    <n v="8717"/>
    <n v="8188"/>
    <n v="-4.0302882266731802E-2"/>
    <s v="No Backlog"/>
    <n v="0.93931398416886547"/>
    <n v="6.5751978891820579"/>
    <n v="28.179419525065963"/>
    <b v="1"/>
    <n v="49"/>
    <n v="0.92720076757016079"/>
    <n v="0.93552068897342922"/>
    <b v="0"/>
    <n v="1.8354938625673969E-2"/>
  </r>
  <r>
    <x v="460"/>
    <n v="213"/>
    <n v="430"/>
    <n v="440"/>
    <n v="8092"/>
    <n v="234"/>
    <n v="8522"/>
    <n v="7858"/>
    <n v="-1.8961567828964115E-2"/>
    <s v="No Backlog"/>
    <n v="0.92208401783618865"/>
    <n v="6.4545881248533208"/>
    <n v="27.662520535085658"/>
    <b v="0"/>
    <n v="49"/>
    <n v="0.90872896960841065"/>
    <n v="0.93224525900771082"/>
    <b v="0"/>
    <n v="2.7458343111945553E-2"/>
  </r>
  <r>
    <x v="461"/>
    <n v="205"/>
    <n v="515"/>
    <n v="226"/>
    <n v="8056"/>
    <n v="347"/>
    <n v="8571"/>
    <n v="7709"/>
    <n v="2.1273835776365286E-2"/>
    <s v="Backlog"/>
    <n v="0.89942830474857072"/>
    <n v="6.295998133239995"/>
    <n v="26.98284914245712"/>
    <b v="1"/>
    <n v="49"/>
    <n v="0.90280784712973616"/>
    <n v="0.92360806293565556"/>
    <s v="STRAIN"/>
    <n v="4.0485357601213391E-2"/>
  </r>
  <r>
    <x v="462"/>
    <n v="298"/>
    <n v="499"/>
    <n v="358"/>
    <n v="8188"/>
    <n v="315"/>
    <n v="8687"/>
    <n v="7873"/>
    <n v="8.2560650323891781E-3"/>
    <s v="Backlog"/>
    <n v="0.90629676528145509"/>
    <n v="6.3440773569701854"/>
    <n v="27.188902958443652"/>
    <b v="1"/>
    <n v="49"/>
    <n v="0.91010087395011341"/>
    <n v="0.9274337552038181"/>
    <s v="STRAIN"/>
    <n v="3.6261079774375503E-2"/>
  </r>
  <r>
    <x v="463"/>
    <n v="227"/>
    <n v="453"/>
    <n v="330"/>
    <n v="8160"/>
    <n v="222"/>
    <n v="8613"/>
    <n v="7938"/>
    <n v="-8.9443184681279927E-3"/>
    <s v="No Backlog"/>
    <n v="0.92163009404388718"/>
    <n v="6.4514106583072106"/>
    <n v="27.648902821316614"/>
    <b v="1"/>
    <n v="49"/>
    <n v="0.937843686640082"/>
    <n v="0.9324651560599857"/>
    <b v="0"/>
    <n v="2.5774991292232673E-2"/>
  </r>
  <r>
    <x v="464"/>
    <n v="291"/>
    <n v="455"/>
    <n v="323"/>
    <n v="8045"/>
    <n v="178"/>
    <n v="8500"/>
    <n v="7867"/>
    <n v="-3.0125842125333674E-2"/>
    <s v="No Backlog"/>
    <n v="0.92552941176470593"/>
    <n v="6.4787058823529415"/>
    <n v="27.765882352941176"/>
    <b v="1"/>
    <n v="50"/>
    <n v="0.9347301279018031"/>
    <n v="0.9286919028427647"/>
    <b v="0"/>
    <n v="2.0941176470588234E-2"/>
  </r>
  <r>
    <x v="465"/>
    <n v="157"/>
    <n v="466"/>
    <n v="345"/>
    <n v="7872"/>
    <n v="242"/>
    <n v="8338"/>
    <n v="7630"/>
    <n v="-2.0838794233289645E-2"/>
    <s v="No Backlog"/>
    <n v="0.915087550971456"/>
    <n v="6.4056128568001922"/>
    <n v="27.452626529143679"/>
    <b v="1"/>
    <n v="50"/>
    <n v="0.92340747237472454"/>
    <n v="0.92431169772145094"/>
    <b v="0"/>
    <n v="2.9023746701846966E-2"/>
  </r>
  <r>
    <x v="466"/>
    <n v="253"/>
    <n v="531"/>
    <n v="248"/>
    <n v="7813"/>
    <n v="342"/>
    <n v="8344"/>
    <n v="7471"/>
    <n v="2.9179494043635391E-2"/>
    <s v="Backlog"/>
    <n v="0.89537392138063276"/>
    <n v="6.2676174496644297"/>
    <n v="26.861217641418982"/>
    <b v="1"/>
    <n v="50"/>
    <n v="0.91889021077993283"/>
    <n v="0.91561858047693134"/>
    <s v="STRAIN"/>
    <n v="4.0987535953978908E-2"/>
  </r>
  <r>
    <x v="467"/>
    <n v="222"/>
    <n v="459"/>
    <n v="289"/>
    <n v="8026"/>
    <n v="337"/>
    <n v="8485"/>
    <n v="7689"/>
    <n v="2.575107296137339E-2"/>
    <s v="Backlog"/>
    <n v="0.90618738951090161"/>
    <n v="6.343311726576311"/>
    <n v="27.18562168532705"/>
    <b v="1"/>
    <n v="50"/>
    <n v="0.9269876053168209"/>
    <n v="0.93861068326681729"/>
    <s v="STRAIN"/>
    <n v="3.9717147908073069E-2"/>
  </r>
  <r>
    <x v="468"/>
    <n v="203"/>
    <n v="477"/>
    <n v="258"/>
    <n v="8153"/>
    <n v="266"/>
    <n v="8630"/>
    <n v="7887"/>
    <n v="1.3693419551160137E-2"/>
    <s v="Backlog"/>
    <n v="0.91390498261877173"/>
    <n v="6.3973348783314021"/>
    <n v="27.417149478563154"/>
    <b v="1"/>
    <n v="50"/>
    <n v="0.93123786387247642"/>
    <n v="0.93920576857874027"/>
    <s v="STRAIN"/>
    <n v="3.0822711471610659E-2"/>
  </r>
  <r>
    <x v="469"/>
    <n v="93"/>
    <n v="198"/>
    <n v="208"/>
    <n v="8182"/>
    <n v="187"/>
    <n v="8380"/>
    <n v="7995"/>
    <n v="-1.6635397123202E-2"/>
    <s v="No Backlog"/>
    <n v="0.95405727923627681"/>
    <n v="6.678400954653938"/>
    <n v="28.621718377088303"/>
    <b v="0"/>
    <n v="51"/>
    <n v="0.94867874865618051"/>
    <n v="0.94735521619471497"/>
    <b v="0"/>
    <n v="2.2315035799522674E-2"/>
  </r>
  <r>
    <x v="470"/>
    <n v="137"/>
    <n v="272"/>
    <n v="166"/>
    <n v="8057"/>
    <n v="195"/>
    <n v="8329"/>
    <n v="7862"/>
    <n v="-2.0987026201984227E-2"/>
    <s v="No Backlog"/>
    <n v="0.94393084403890026"/>
    <n v="6.6075159082723021"/>
    <n v="28.317925321167007"/>
    <b v="1"/>
    <n v="51"/>
    <n v="0.93789261897986198"/>
    <n v="0.94896943546993284"/>
    <b v="0"/>
    <n v="2.3412174330651941E-2"/>
  </r>
  <r>
    <x v="471"/>
    <n v="120"/>
    <n v="257"/>
    <n v="126"/>
    <n v="8004"/>
    <n v="307"/>
    <n v="8261"/>
    <n v="7697"/>
    <n v="2.4684942185266987E-2"/>
    <s v="Backlog"/>
    <n v="0.93172739377799296"/>
    <n v="6.5220917564459508"/>
    <n v="27.951821813339787"/>
    <b v="1"/>
    <n v="51"/>
    <n v="0.93263161912471948"/>
    <n v="0.94550867988219378"/>
    <s v="STRAIN"/>
    <n v="3.7162571117298149E-2"/>
  </r>
  <r>
    <x v="472"/>
    <n v="102"/>
    <n v="189"/>
    <n v="155"/>
    <n v="8180"/>
    <n v="293"/>
    <n v="8369"/>
    <n v="7887"/>
    <n v="1.0396855585140105E-2"/>
    <s v="Backlog"/>
    <n v="0.94240650017923289"/>
    <n v="6.5968455012546299"/>
    <n v="28.272195005376986"/>
    <b v="1"/>
    <n v="51"/>
    <n v="0.9391348698762314"/>
    <n v="0.94906435549335599"/>
    <s v="STRAIN"/>
    <n v="3.5010156530051378E-2"/>
  </r>
  <r>
    <x v="473"/>
    <n v="90"/>
    <n v="196"/>
    <n v="205"/>
    <n v="8212"/>
    <n v="243"/>
    <n v="8408"/>
    <n v="7969"/>
    <n v="-4.7684778516752417E-3"/>
    <s v="No Backlog"/>
    <n v="0.94778782112274029"/>
    <n v="6.6345147478591819"/>
    <n v="28.43363463368221"/>
    <b v="0"/>
    <n v="51"/>
    <n v="0.95941089907273658"/>
    <n v="0.94911867557976004"/>
    <b v="0"/>
    <n v="2.890104662226451E-2"/>
  </r>
  <r>
    <x v="474"/>
    <n v="128"/>
    <n v="228"/>
    <n v="177"/>
    <n v="8133"/>
    <n v="202"/>
    <n v="8361"/>
    <n v="7931"/>
    <n v="-1.8282688185600807E-2"/>
    <s v="No Backlog"/>
    <n v="0.94857074512618111"/>
    <n v="6.6399952158832676"/>
    <n v="28.457122353785433"/>
    <b v="1"/>
    <n v="52"/>
    <n v="0.95653864983244508"/>
    <n v="0.95028910739035477"/>
    <b v="0"/>
    <n v="2.4159789498863771E-2"/>
  </r>
  <r>
    <x v="475"/>
    <n v="136"/>
    <n v="246"/>
    <n v="123"/>
    <n v="8008"/>
    <n v="222"/>
    <n v="8254"/>
    <n v="7786"/>
    <n v="-2.3503724633958386E-2"/>
    <s v="No Backlog"/>
    <n v="0.94330021807608433"/>
    <n v="6.6031015265325905"/>
    <n v="28.29900654228253"/>
    <b v="1"/>
    <n v="52"/>
    <n v="0.94197668561461878"/>
    <n v="0.95062207165486456"/>
    <b v="0"/>
    <n v="2.6896050399806155E-2"/>
  </r>
  <r>
    <x v="476"/>
    <n v="105"/>
    <n v="185"/>
    <n v="158"/>
    <n v="7974"/>
    <n v="371"/>
    <n v="8159"/>
    <n v="7603"/>
    <n v="1.0522162304353544E-2"/>
    <s v="Backlog"/>
    <n v="0.93185439392082359"/>
    <n v="6.5229807574457652"/>
    <n v="27.955631817624706"/>
    <b v="1"/>
    <n v="52"/>
    <n v="0.94293121041089445"/>
    <n v="0.94406477471379635"/>
    <s v="STRAIN"/>
    <n v="4.5471258732687828E-2"/>
  </r>
  <r>
    <x v="477"/>
    <n v="116"/>
    <n v="188"/>
    <n v="164"/>
    <n v="8042"/>
    <n v="359"/>
    <n v="8230"/>
    <n v="7683"/>
    <n v="4.6856696602889493E-3"/>
    <s v="Backlog"/>
    <n v="0.93353584447144589"/>
    <n v="6.5347509113001214"/>
    <n v="28.006075334143375"/>
    <b v="1"/>
    <n v="52"/>
    <n v="0.9464129052289203"/>
    <n v="0.94793947035287773"/>
    <s v="STRAIN"/>
    <n v="4.3620899149453218E-2"/>
  </r>
  <r>
    <x v="478"/>
    <n v="80"/>
    <n v="176"/>
    <n v="125"/>
    <n v="8072"/>
    <n v="353"/>
    <n v="8248"/>
    <n v="7719"/>
    <n v="2.9278403938333981E-2"/>
    <s v="Backlog"/>
    <n v="0.93586323957322992"/>
    <n v="6.5510426770126093"/>
    <n v="28.075897187196897"/>
    <b v="1"/>
    <n v="52"/>
    <n v="0.9457927251903544"/>
    <n v="0.94746765224670138"/>
    <s v="STRAIN"/>
    <n v="4.2798254122211443E-2"/>
  </r>
  <r>
    <x v="479"/>
    <n v="32"/>
    <n v="49"/>
    <n v="39"/>
    <n v="8133"/>
    <n v="188"/>
    <n v="8182"/>
    <n v="7945"/>
    <n v="-1.8376337319068597E-2"/>
    <s v="No Backlog"/>
    <n v="0.97103397702273286"/>
    <n v="6.7972378391591297"/>
    <n v="29.131019310681985"/>
    <b v="1"/>
    <n v="53"/>
    <n v="0.96074175352975622"/>
    <n v="0.96615188107481154"/>
    <b v="0"/>
    <n v="2.2977267171840624E-2"/>
  </r>
  <r>
    <x v="480"/>
    <n v="33"/>
    <n v="53"/>
    <n v="34"/>
    <n v="8033"/>
    <n v="234"/>
    <n v="8086"/>
    <n v="7799"/>
    <n v="7.1034748044621107E-2"/>
    <s v="Backlog"/>
    <n v="0.96450655453870893"/>
    <n v="6.7515458817709622"/>
    <n v="28.935196636161269"/>
    <b v="1"/>
    <n v="53"/>
    <n v="0.95825701209661873"/>
    <n v="0.96588014690383539"/>
    <s v="STRAIN"/>
    <n v="2.8938906752411574E-2"/>
  </r>
  <r>
    <x v="481"/>
    <n v="29"/>
    <n v="51"/>
    <n v="11"/>
    <n v="8829"/>
    <n v="476"/>
    <n v="8880"/>
    <n v="8353"/>
    <n v="5.2915120316054109E-2"/>
    <s v="Backlog"/>
    <n v="0.94065315315315312"/>
    <n v="6.5845720720720715"/>
    <n v="28.219594594594593"/>
    <b v="1"/>
    <n v="1"/>
    <n v="0.94929853919339902"/>
    <n v="0.94638477763477757"/>
    <s v="STRAIN"/>
    <n v="5.3603603603603604E-2"/>
  </r>
  <r>
    <x v="482"/>
    <n v="91"/>
    <n v="75"/>
    <n v="97"/>
    <n v="9144"/>
    <n v="349"/>
    <n v="9219"/>
    <n v="8795"/>
    <n v="2.6151222285389426E-2"/>
    <s v="Backlog"/>
    <n v="0.95400802690096542"/>
    <n v="6.6780561883067584"/>
    <n v="28.620240807028964"/>
    <b v="0"/>
    <n v="1"/>
    <n v="0.95514159120386721"/>
    <n v="0.94576209325742921"/>
    <s v="STRAIN"/>
    <n v="3.7856600498969523E-2"/>
  </r>
  <r>
    <x v="483"/>
    <n v="62"/>
    <n v="97"/>
    <n v="52"/>
    <n v="9311"/>
    <n v="286"/>
    <n v="9408"/>
    <n v="9025"/>
    <n v="3.080332409972299E-2"/>
    <s v="Backlog"/>
    <n v="0.9592899659863946"/>
    <n v="6.7150297619047619"/>
    <n v="28.778698979591837"/>
    <b v="1"/>
    <n v="2"/>
    <n v="0.96081653111035203"/>
    <n v="0.95260876466298128"/>
    <s v="STRAIN"/>
    <n v="3.0399659863945577E-2"/>
  </r>
  <r>
    <x v="484"/>
    <n v="59"/>
    <n v="64"/>
    <n v="117"/>
    <n v="9670"/>
    <n v="367"/>
    <n v="9734"/>
    <n v="9303"/>
    <n v="0"/>
    <s v="No Backlog"/>
    <n v="0.95572221080747899"/>
    <n v="6.6900554756523531"/>
    <n v="28.671666324224368"/>
    <b v="0"/>
    <n v="2"/>
    <n v="0.95739713786382596"/>
    <n v="0.95794998654699492"/>
    <b v="0"/>
    <n v="3.7702897061845077E-2"/>
  </r>
  <r>
    <x v="485"/>
    <n v="84"/>
    <n v="118"/>
    <n v="136"/>
    <n v="9670"/>
    <n v="367"/>
    <n v="9788"/>
    <n v="9303"/>
    <n v="9.5990540685800277E-2"/>
    <s v="Backlog"/>
    <n v="0.95044953003677968"/>
    <n v="6.6531467102574577"/>
    <n v="28.51348590110339"/>
    <b v="0"/>
    <n v="2"/>
    <n v="0.95585965758183489"/>
    <n v="0.95087970018642376"/>
    <s v="STRAIN"/>
    <n v="3.7494891704127502E-2"/>
  </r>
  <r>
    <x v="486"/>
    <n v="86"/>
    <n v="152"/>
    <n v="168"/>
    <n v="10558"/>
    <n v="362"/>
    <n v="10710"/>
    <n v="10196"/>
    <n v="2.5402118477834443E-2"/>
    <s v="Backlog"/>
    <n v="0.95200746965452843"/>
    <n v="6.6640522875816988"/>
    <n v="28.560224089635852"/>
    <b v="0"/>
    <n v="2"/>
    <n v="0.95963060446174508"/>
    <n v="0.94795971636791032"/>
    <s v="STRAIN"/>
    <n v="3.380018674136321E-2"/>
  </r>
  <r>
    <x v="487"/>
    <n v="106"/>
    <n v="196"/>
    <n v="131"/>
    <n v="10718"/>
    <n v="263"/>
    <n v="10914"/>
    <n v="10455"/>
    <n v="-9.5648015303682451E-5"/>
    <s v="No Backlog"/>
    <n v="0.95794392523364491"/>
    <n v="6.7056074766355147"/>
    <n v="28.738317757009348"/>
    <b v="1"/>
    <n v="2"/>
    <n v="0.95503016367502358"/>
    <n v="0.954715448887548"/>
    <b v="0"/>
    <n v="2.409748946307495E-2"/>
  </r>
  <r>
    <x v="488"/>
    <n v="113"/>
    <n v="162"/>
    <n v="107"/>
    <n v="10770"/>
    <n v="316"/>
    <n v="10932"/>
    <n v="10454"/>
    <n v="1.2052802754926343E-2"/>
    <s v="Backlog"/>
    <n v="0.95627515550676911"/>
    <n v="6.6939260885473839"/>
    <n v="28.688254665203072"/>
    <b v="1"/>
    <n v="3"/>
    <n v="0.94689565756033112"/>
    <n v="0.9554522704466053"/>
    <s v="STRAIN"/>
    <n v="2.8905964141968533E-2"/>
  </r>
  <r>
    <x v="489"/>
    <n v="92"/>
    <n v="124"/>
    <n v="93"/>
    <n v="10870"/>
    <n v="290"/>
    <n v="10994"/>
    <n v="10580"/>
    <n v="2.76937618147448E-2"/>
    <s v="Backlog"/>
    <n v="0.96234309623430958"/>
    <n v="6.7364016736401666"/>
    <n v="28.870292887029287"/>
    <b v="1"/>
    <n v="3"/>
    <n v="0.95413532978693882"/>
    <n v="0.9619715481171548"/>
    <s v="STRAIN"/>
    <n v="2.6378024376932874E-2"/>
  </r>
  <r>
    <x v="490"/>
    <n v="68"/>
    <n v="107"/>
    <n v="102"/>
    <n v="11230"/>
    <n v="357"/>
    <n v="11337"/>
    <n v="10873"/>
    <n v="-1.8394187436769982E-4"/>
    <s v="No Backlog"/>
    <n v="0.95907206492017294"/>
    <n v="6.7135044544412104"/>
    <n v="28.772161947605188"/>
    <b v="1"/>
    <n v="3"/>
    <n v="0.9596249136033419"/>
    <n v="0.95874377578326264"/>
    <b v="0"/>
    <n v="3.1489812119608364E-2"/>
  </r>
  <r>
    <x v="491"/>
    <n v="74"/>
    <n v="103"/>
    <n v="80"/>
    <n v="11206"/>
    <n v="335"/>
    <n v="11309"/>
    <n v="10871"/>
    <n v="5.335295740962193E-3"/>
    <s v="Backlog"/>
    <n v="0.9612697851268901"/>
    <n v="6.7288884958882305"/>
    <n v="28.838093553806704"/>
    <b v="1"/>
    <n v="3"/>
    <n v="0.95628982773147886"/>
    <n v="0.95193344172087491"/>
    <s v="STRAIN"/>
    <n v="2.9622424617561233E-2"/>
  </r>
  <r>
    <x v="492"/>
    <n v="56"/>
    <n v="82"/>
    <n v="68"/>
    <n v="11217"/>
    <n v="288"/>
    <n v="11299"/>
    <n v="10929"/>
    <n v="-1.2077957727147955E-2"/>
    <s v="No Backlog"/>
    <n v="0.96725373926896185"/>
    <n v="6.7707761748827329"/>
    <n v="29.017612178068855"/>
    <b v="1"/>
    <n v="3"/>
    <n v="0.95558285117512698"/>
    <n v="0.952267358447492"/>
    <b v="0"/>
    <n v="2.5488981325781042E-2"/>
  </r>
  <r>
    <x v="493"/>
    <n v="90"/>
    <n v="196"/>
    <n v="205"/>
    <n v="11144"/>
    <n v="347"/>
    <n v="11340"/>
    <n v="10797"/>
    <n v="7.5020839121978326E-3"/>
    <s v="Backlog"/>
    <n v="0.95211640211640214"/>
    <n v="6.6648148148148145"/>
    <n v="28.563492063492063"/>
    <b v="0"/>
    <n v="4"/>
    <n v="0.95180168732892656"/>
    <n v="0.94853899635869809"/>
    <s v="STRAIN"/>
    <n v="3.0599647266313933E-2"/>
  </r>
  <r>
    <x v="494"/>
    <n v="128"/>
    <n v="228"/>
    <n v="177"/>
    <n v="11375"/>
    <n v="497"/>
    <n v="11603"/>
    <n v="10878"/>
    <n v="2.2798308512594227E-2"/>
    <s v="Backlog"/>
    <n v="0.93751615961389301"/>
    <n v="6.5626131172972508"/>
    <n v="28.125484788416792"/>
    <b v="1"/>
    <n v="4"/>
    <n v="0.9460727725001673"/>
    <n v="0.94642162270568186"/>
    <s v="STRAIN"/>
    <n v="4.2833749892269242E-2"/>
  </r>
  <r>
    <x v="495"/>
    <n v="136"/>
    <n v="246"/>
    <n v="123"/>
    <n v="11516"/>
    <n v="390"/>
    <n v="11762"/>
    <n v="11126"/>
    <n v="-9.6171130684882256E-3"/>
    <s v="No Backlog"/>
    <n v="0.94592756333956807"/>
    <n v="6.6214929433769765"/>
    <n v="28.377826900187042"/>
    <b v="1"/>
    <n v="4"/>
    <n v="0.95376378166978404"/>
    <n v="0.95078357324038265"/>
    <b v="0"/>
    <n v="3.3157626254038432E-2"/>
  </r>
  <r>
    <x v="496"/>
    <n v="105"/>
    <n v="185"/>
    <n v="158"/>
    <n v="11291"/>
    <n v="272"/>
    <n v="11476"/>
    <n v="11019"/>
    <n v="-2.1236046828205825E-2"/>
    <s v="No Backlog"/>
    <n v="0.96017776228651097"/>
    <n v="6.7212443360055767"/>
    <n v="28.805332868595329"/>
    <b v="1"/>
    <n v="4"/>
    <n v="0.9592966244664316"/>
    <n v="0.94994277424479057"/>
    <b v="0"/>
    <n v="2.3701638201463926E-2"/>
  </r>
  <r>
    <x v="497"/>
    <n v="116"/>
    <n v="188"/>
    <n v="164"/>
    <n v="11149"/>
    <n v="364"/>
    <n v="11337"/>
    <n v="10785"/>
    <n v="-1.3815484469170143E-2"/>
    <s v="No Backlog"/>
    <n v="0.95130987033606773"/>
    <n v="6.6591690923524745"/>
    <n v="28.539296110082031"/>
    <b v="1"/>
    <n v="4"/>
    <n v="0.94695348432546378"/>
    <n v="0.95482941922056663"/>
    <b v="0"/>
    <n v="3.2107259416071274E-2"/>
  </r>
  <r>
    <x v="498"/>
    <n v="80"/>
    <n v="176"/>
    <n v="125"/>
    <n v="11092"/>
    <n v="456"/>
    <n v="11268"/>
    <n v="10636"/>
    <n v="1.9744264761188415E-2"/>
    <s v="Backlog"/>
    <n v="0.9439119630812921"/>
    <n v="6.6073837415690448"/>
    <n v="28.317358892438762"/>
    <b v="1"/>
    <n v="5"/>
    <n v="0.94059647035365712"/>
    <n v="0.95334579591475355"/>
    <s v="STRAIN"/>
    <n v="4.0468583599574018E-2"/>
  </r>
  <r>
    <x v="499"/>
    <n v="150"/>
    <n v="157"/>
    <n v="201"/>
    <n v="11242"/>
    <n v="396"/>
    <n v="11399"/>
    <n v="10846"/>
    <n v="1.0141987829614604E-3"/>
    <s v="Backlog"/>
    <n v="0.95148697254145098"/>
    <n v="6.6604088077901569"/>
    <n v="28.544609176243529"/>
    <b v="0"/>
    <n v="5"/>
    <n v="0.94822428157122252"/>
    <n v="0.95995809018317946"/>
    <s v="STRAIN"/>
    <n v="3.4739889463988066E-2"/>
  </r>
  <r>
    <x v="500"/>
    <n v="116"/>
    <n v="181"/>
    <n v="182"/>
    <n v="11192"/>
    <n v="335"/>
    <n v="11373"/>
    <n v="10857"/>
    <n v="-3.592152528322741E-3"/>
    <s v="No Backlog"/>
    <n v="0.9546293853864416"/>
    <n v="6.6824056977050912"/>
    <n v="28.638881561593248"/>
    <b v="0"/>
    <n v="5"/>
    <n v="0.95497823559195605"/>
    <n v="0.96281199793574901"/>
    <b v="0"/>
    <n v="2.9455728479732702E-2"/>
  </r>
  <r>
    <x v="501"/>
    <n v="141"/>
    <n v="173"/>
    <n v="129"/>
    <n v="11077"/>
    <n v="259"/>
    <n v="11250"/>
    <n v="10818"/>
    <n v="-1.1462377518949898E-2"/>
    <s v="No Backlog"/>
    <n v="0.96160000000000001"/>
    <n v="6.7312000000000003"/>
    <n v="28.847999999999999"/>
    <b v="1"/>
    <n v="5"/>
    <n v="0.95861979157059851"/>
    <n v="0.95550371476944529"/>
    <b v="0"/>
    <n v="2.3022222222222222E-2"/>
  </r>
  <r>
    <x v="502"/>
    <n v="96"/>
    <n v="160"/>
    <n v="233"/>
    <n v="10998"/>
    <n v="304"/>
    <n v="11158"/>
    <n v="10694"/>
    <n v="-2.1881428838601086E-2"/>
    <s v="No Backlog"/>
    <n v="0.95841548664635234"/>
    <n v="6.7089084065244666"/>
    <n v="28.752464599390571"/>
    <b v="0"/>
    <n v="5"/>
    <n v="0.9490616364247112"/>
    <n v="0.95382526766253639"/>
    <b v="0"/>
    <n v="2.7245025990320845E-2"/>
  </r>
  <r>
    <x v="503"/>
    <n v="158"/>
    <n v="226"/>
    <n v="191"/>
    <n v="10871"/>
    <n v="411"/>
    <n v="11097"/>
    <n v="10460"/>
    <n v="-2.7724665391969409E-3"/>
    <s v="No Backlog"/>
    <n v="0.94259709831485983"/>
    <n v="6.5981796882040191"/>
    <n v="28.277912949445795"/>
    <b v="1"/>
    <n v="6"/>
    <n v="0.95047303320996268"/>
    <n v="0.94662193224200708"/>
    <b v="0"/>
    <n v="3.7037037037037035E-2"/>
  </r>
  <r>
    <x v="504"/>
    <n v="141"/>
    <n v="232"/>
    <n v="188"/>
    <n v="10897"/>
    <n v="466"/>
    <n v="11129"/>
    <n v="10431"/>
    <n v="2.3967021378583069E-3"/>
    <s v="Backlog"/>
    <n v="0.93728097762602214"/>
    <n v="6.5609668433821549"/>
    <n v="28.118429328780664"/>
    <b v="1"/>
    <n v="6"/>
    <n v="0.95003030318711867"/>
    <n v="0.94405533152908561"/>
    <s v="STRAIN"/>
    <n v="4.1872585137927937E-2"/>
  </r>
  <r>
    <x v="505"/>
    <n v="123"/>
    <n v="233"/>
    <n v="159"/>
    <n v="10832"/>
    <n v="376"/>
    <n v="11065"/>
    <n v="10456"/>
    <n v="4.2081101759755164E-3"/>
    <s v="Backlog"/>
    <n v="0.94496159060099416"/>
    <n v="6.6147311342069592"/>
    <n v="28.348847718029823"/>
    <b v="1"/>
    <n v="6"/>
    <n v="0.9566953992129511"/>
    <n v="0.94056808143921233"/>
    <s v="STRAIN"/>
    <n v="3.3981021238138273E-2"/>
  </r>
  <r>
    <x v="506"/>
    <n v="123"/>
    <n v="230"/>
    <n v="167"/>
    <n v="10761"/>
    <n v="261"/>
    <n v="10991"/>
    <n v="10500"/>
    <n v="-1.3142857142857144E-2"/>
    <s v="No Backlog"/>
    <n v="0.95532708579747061"/>
    <n v="6.6872896005822939"/>
    <n v="28.659812573924118"/>
    <b v="1"/>
    <n v="6"/>
    <n v="0.96316084814126346"/>
    <n v="0.94999197920382694"/>
    <b v="0"/>
    <n v="2.3746701846965697E-2"/>
  </r>
  <r>
    <x v="507"/>
    <n v="174"/>
    <n v="208"/>
    <n v="256"/>
    <n v="10635"/>
    <n v="273"/>
    <n v="10843"/>
    <n v="10362"/>
    <n v="-1.9301293186643507E-2"/>
    <s v="No Backlog"/>
    <n v="0.95563958314119712"/>
    <n v="6.6894770819883798"/>
    <n v="28.669187494235914"/>
    <b v="0"/>
    <n v="6"/>
    <n v="0.9525235063400439"/>
    <n v="0.95397666222288202"/>
    <b v="0"/>
    <n v="2.5177533892834086E-2"/>
  </r>
  <r>
    <x v="508"/>
    <n v="132"/>
    <n v="235"/>
    <n v="197"/>
    <n v="10579"/>
    <n v="417"/>
    <n v="10814"/>
    <n v="10162"/>
    <n v="5.3139145837433578E-3"/>
    <s v="Backlog"/>
    <n v="0.93970778620307005"/>
    <n v="6.5779545034214904"/>
    <n v="28.191233586092103"/>
    <b v="1"/>
    <n v="7"/>
    <n v="0.94447141744089524"/>
    <n v="0.94811917849661931"/>
    <s v="STRAIN"/>
    <n v="3.856112446828186E-2"/>
  </r>
  <r>
    <x v="509"/>
    <n v="92"/>
    <n v="124"/>
    <n v="93"/>
    <n v="10536"/>
    <n v="320"/>
    <n v="10660"/>
    <n v="10216"/>
    <n v="-9.9843382928739236E-3"/>
    <s v="No Backlog"/>
    <n v="0.95834896810506565"/>
    <n v="6.7084427767354597"/>
    <n v="28.75046904315197"/>
    <b v="1"/>
    <n v="7"/>
    <n v="0.95449786713710993"/>
    <n v="0.95542151493139271"/>
    <b v="0"/>
    <n v="3.0018761726078799E-2"/>
  </r>
  <r>
    <x v="510"/>
    <n v="68"/>
    <n v="107"/>
    <n v="102"/>
    <n v="10398"/>
    <n v="284"/>
    <n v="10505"/>
    <n v="10114"/>
    <n v="-1.1271504844769626E-2"/>
    <s v="No Backlog"/>
    <n v="0.9627796287482151"/>
    <n v="6.7394574012375053"/>
    <n v="28.883388862446452"/>
    <b v="1"/>
    <n v="7"/>
    <n v="0.95680465709018203"/>
    <n v="0.95684898216491376"/>
    <b v="0"/>
    <n v="2.7034745359352689E-2"/>
  </r>
  <r>
    <x v="511"/>
    <n v="74"/>
    <n v="103"/>
    <n v="80"/>
    <n v="10223"/>
    <n v="223"/>
    <n v="10326"/>
    <n v="10000"/>
    <n v="-9.1000000000000004E-3"/>
    <s v="No Backlog"/>
    <n v="0.96842920782490804"/>
    <n v="6.7790044547743564"/>
    <n v="29.052876234747242"/>
    <b v="1"/>
    <n v="7"/>
    <n v="0.95230189005116928"/>
    <n v="0.9570340765290869"/>
    <b v="0"/>
    <n v="2.1595971334495447E-2"/>
  </r>
  <r>
    <x v="512"/>
    <n v="56"/>
    <n v="82"/>
    <n v="68"/>
    <n v="10123"/>
    <n v="214"/>
    <n v="10205"/>
    <n v="9909"/>
    <n v="-3.794530225047936E-2"/>
    <s v="No Backlog"/>
    <n v="0.97099461048505631"/>
    <n v="6.796962273395394"/>
    <n v="29.129838314551691"/>
    <b v="1"/>
    <n v="7"/>
    <n v="0.95782574154761968"/>
    <n v="0.96166817503151425"/>
    <b v="0"/>
    <n v="2.0970112689857913E-2"/>
  </r>
  <r>
    <x v="513"/>
    <n v="90"/>
    <n v="196"/>
    <n v="205"/>
    <n v="9845"/>
    <n v="312"/>
    <n v="10041"/>
    <n v="9533"/>
    <n v="2.307772999055911E-3"/>
    <s v="Backlog"/>
    <n v="0.94940742953889057"/>
    <n v="6.645852006772234"/>
    <n v="28.482222886166717"/>
    <b v="0"/>
    <n v="8"/>
    <n v="0.9508605854217288"/>
    <n v="0.94586665205277343"/>
    <s v="STRAIN"/>
    <n v="3.1072602330445176E-2"/>
  </r>
  <r>
    <x v="514"/>
    <n v="128"/>
    <n v="228"/>
    <n v="177"/>
    <n v="9838"/>
    <n v="283"/>
    <n v="10066"/>
    <n v="9555"/>
    <n v="-1.0465724751439037E-4"/>
    <s v="No Backlog"/>
    <n v="0.94923504867872044"/>
    <n v="6.6446453407510431"/>
    <n v="28.477051460361615"/>
    <b v="1"/>
    <n v="8"/>
    <n v="0.9528828097344445"/>
    <n v="0.94304854612195521"/>
    <b v="0"/>
    <n v="2.8114444665209615E-2"/>
  </r>
  <r>
    <x v="515"/>
    <n v="136"/>
    <n v="246"/>
    <n v="123"/>
    <n v="9804"/>
    <n v="250"/>
    <n v="10050"/>
    <n v="9554"/>
    <n v="-2.2398995185262716E-2"/>
    <s v="No Backlog"/>
    <n v="0.95064676616915422"/>
    <n v="6.65452736318408"/>
    <n v="28.519402985074628"/>
    <b v="1"/>
    <n v="8"/>
    <n v="0.95157041396343689"/>
    <n v="0.94744773541618332"/>
    <b v="0"/>
    <n v="2.4875621890547265E-2"/>
  </r>
  <r>
    <x v="516"/>
    <n v="105"/>
    <n v="185"/>
    <n v="158"/>
    <n v="9638"/>
    <n v="298"/>
    <n v="9823"/>
    <n v="9340"/>
    <n v="-2.1627408993576017E-2"/>
    <s v="No Backlog"/>
    <n v="0.95082968543214907"/>
    <n v="6.6558077980250436"/>
    <n v="28.524890562964472"/>
    <b v="1"/>
    <n v="8"/>
    <n v="0.95087401050688081"/>
    <n v="0.94831942890479359"/>
    <b v="0"/>
    <n v="3.0336964267535377E-2"/>
  </r>
  <r>
    <x v="517"/>
    <n v="116"/>
    <n v="188"/>
    <n v="164"/>
    <n v="9573"/>
    <n v="435"/>
    <n v="9761"/>
    <n v="9138"/>
    <n v="2.7358284088421975E-2"/>
    <s v="Backlog"/>
    <n v="0.93617457227743062"/>
    <n v="6.5532220059420148"/>
    <n v="28.085237168322919"/>
    <b v="1"/>
    <n v="9"/>
    <n v="0.94090675875534813"/>
    <n v="0.94901879298803038"/>
    <s v="STRAIN"/>
    <n v="4.4565106034217802E-2"/>
  </r>
  <r>
    <x v="518"/>
    <n v="80"/>
    <n v="176"/>
    <n v="125"/>
    <n v="9762"/>
    <n v="374"/>
    <n v="9938"/>
    <n v="9388"/>
    <n v="6.1780997017469108E-3"/>
    <s v="Backlog"/>
    <n v="0.94465687261018316"/>
    <n v="6.6125981082712819"/>
    <n v="28.339706178305494"/>
    <b v="1"/>
    <n v="9"/>
    <n v="0.94849930609407762"/>
    <n v="0.95420570853159814"/>
    <s v="STRAIN"/>
    <n v="3.7633326625075465E-2"/>
  </r>
  <r>
    <x v="519"/>
    <n v="150"/>
    <n v="157"/>
    <n v="201"/>
    <n v="9762"/>
    <n v="316"/>
    <n v="9919"/>
    <n v="9446"/>
    <n v="-2.9642176582680498E-3"/>
    <s v="No Backlog"/>
    <n v="0.95231374130456703"/>
    <n v="6.666196189131969"/>
    <n v="28.569412239137012"/>
    <b v="0"/>
    <n v="9"/>
    <n v="0.94731980793561155"/>
    <n v="0.94876798176339461"/>
    <b v="0"/>
    <n v="3.1858050206674059E-2"/>
  </r>
  <r>
    <x v="520"/>
    <n v="116"/>
    <n v="181"/>
    <n v="182"/>
    <n v="9665"/>
    <n v="247"/>
    <n v="9846"/>
    <n v="9418"/>
    <n v="-2.0705032915693353E-2"/>
    <s v="No Backlog"/>
    <n v="0.95653057079016857"/>
    <n v="6.6957139955311797"/>
    <n v="28.695917123705058"/>
    <b v="0"/>
    <n v="9"/>
    <n v="0.94669630717767927"/>
    <n v="0.95217227210747168"/>
    <b v="0"/>
    <n v="2.5086329473898029E-2"/>
  </r>
  <r>
    <x v="521"/>
    <n v="141"/>
    <n v="173"/>
    <n v="129"/>
    <n v="9510"/>
    <n v="287"/>
    <n v="9683"/>
    <n v="9223"/>
    <n v="-6.3970508511330369E-3"/>
    <s v="No Backlog"/>
    <n v="0.95249406175771967"/>
    <n v="6.6674584323040378"/>
    <n v="28.574821852731588"/>
    <b v="1"/>
    <n v="9"/>
    <n v="0.9483713832104661"/>
    <n v="0.95728792307216837"/>
    <b v="0"/>
    <n v="2.9639574512031395E-2"/>
  </r>
  <r>
    <x v="522"/>
    <n v="96"/>
    <n v="160"/>
    <n v="233"/>
    <n v="9477"/>
    <n v="313"/>
    <n v="9637"/>
    <n v="9164"/>
    <n v="1.7459624618070713E-2"/>
    <s v="Backlog"/>
    <n v="0.95091833558161254"/>
    <n v="6.6564283490712874"/>
    <n v="28.527550067448377"/>
    <b v="0"/>
    <n v="10"/>
    <n v="0.94836375397952533"/>
    <n v="0.95349154113535117"/>
    <s v="STRAIN"/>
    <n v="3.2478987236691917E-2"/>
  </r>
  <r>
    <x v="523"/>
    <n v="158"/>
    <n v="226"/>
    <n v="191"/>
    <n v="9634"/>
    <n v="310"/>
    <n v="9860"/>
    <n v="9324"/>
    <n v="-7.7220077220077222E-3"/>
    <s v="No Backlog"/>
    <n v="0.94563894523326575"/>
    <n v="6.6194726166328604"/>
    <n v="28.369168356997971"/>
    <b v="1"/>
    <n v="10"/>
    <n v="0.953750979465948"/>
    <n v="0.94784033202422568"/>
    <b v="0"/>
    <n v="3.1440162271805273E-2"/>
  </r>
  <r>
    <x v="524"/>
    <n v="141"/>
    <n v="232"/>
    <n v="188"/>
    <n v="9483"/>
    <n v="231"/>
    <n v="9715"/>
    <n v="9252"/>
    <n v="-3.0479896238651102E-2"/>
    <s v="No Backlog"/>
    <n v="0.95234173957797219"/>
    <n v="6.6663921770458057"/>
    <n v="28.570252187339165"/>
    <b v="1"/>
    <n v="10"/>
    <n v="0.95804814201549271"/>
    <n v="0.94267262200502411"/>
    <b v="0"/>
    <n v="2.3777663407102419E-2"/>
  </r>
  <r>
    <x v="525"/>
    <n v="123"/>
    <n v="233"/>
    <n v="159"/>
    <n v="9286"/>
    <n v="316"/>
    <n v="9519"/>
    <n v="8970"/>
    <n v="-7.4693422519509474E-3"/>
    <s v="No Backlog"/>
    <n v="0.94232587456665617"/>
    <n v="6.5962811219665936"/>
    <n v="28.269776236999686"/>
    <b v="1"/>
    <n v="10"/>
    <n v="0.94377404839443924"/>
    <n v="0.9440662862004161"/>
    <b v="0"/>
    <n v="3.3196764366004834E-2"/>
  </r>
  <r>
    <x v="526"/>
    <n v="123"/>
    <n v="230"/>
    <n v="167"/>
    <n v="9273"/>
    <n v="370"/>
    <n v="9503"/>
    <n v="8903"/>
    <n v="2.3475233067505336E-2"/>
    <s v="Backlog"/>
    <n v="0.93686204356518998"/>
    <n v="6.5580343049563297"/>
    <n v="28.105861306955699"/>
    <b v="1"/>
    <n v="10"/>
    <n v="0.94233800849498239"/>
    <n v="0.94412448675673699"/>
    <s v="STRAIN"/>
    <n v="3.893507313479954E-2"/>
  </r>
  <r>
    <x v="527"/>
    <n v="174"/>
    <n v="208"/>
    <n v="256"/>
    <n v="9442"/>
    <n v="330"/>
    <n v="9650"/>
    <n v="9112"/>
    <n v="-1.5474100087796313E-2"/>
    <s v="No Backlog"/>
    <n v="0.94424870466321242"/>
    <n v="6.6097409326424872"/>
    <n v="28.327461139896371"/>
    <b v="0"/>
    <n v="11"/>
    <n v="0.9531652445249148"/>
    <n v="0.95247268054246592"/>
    <b v="0"/>
    <n v="3.4196891191709843E-2"/>
  </r>
  <r>
    <x v="528"/>
    <n v="132"/>
    <n v="235"/>
    <n v="197"/>
    <n v="9250"/>
    <n v="279"/>
    <n v="9485"/>
    <n v="8971"/>
    <n v="-2.1625236874372979E-2"/>
    <s v="No Backlog"/>
    <n v="0.94580917237743811"/>
    <n v="6.6206642066420667"/>
    <n v="28.374275171323145"/>
    <b v="1"/>
    <n v="11"/>
    <n v="0.95093695953326396"/>
    <n v="0.95268468309516707"/>
    <b v="0"/>
    <n v="2.9414865577227202E-2"/>
  </r>
  <r>
    <x v="529"/>
    <n v="33"/>
    <n v="53"/>
    <n v="34"/>
    <n v="9072"/>
    <n v="295"/>
    <n v="9125"/>
    <n v="8777"/>
    <n v="-3.3040902358436822E-3"/>
    <s v="No Backlog"/>
    <n v="0.96186301369863014"/>
    <n v="6.7330410958904112"/>
    <n v="28.855890410958903"/>
    <b v="1"/>
    <n v="11"/>
    <n v="0.95595236625690783"/>
    <n v="0.95671297685776335"/>
    <b v="0"/>
    <n v="3.2328767123287673E-2"/>
  </r>
  <r>
    <x v="530"/>
    <n v="29"/>
    <n v="51"/>
    <n v="11"/>
    <n v="9026"/>
    <n v="278"/>
    <n v="9077"/>
    <n v="8748"/>
    <n v="-2.754915409236397E-2"/>
    <s v="No Backlog"/>
    <n v="0.96375454445301312"/>
    <n v="6.7462818111710918"/>
    <n v="28.912636333590392"/>
    <b v="1"/>
    <n v="11"/>
    <n v="0.94837902444254452"/>
    <n v="0.96029128956754706"/>
    <b v="0"/>
    <n v="3.0626859094414455E-2"/>
  </r>
  <r>
    <x v="531"/>
    <n v="91"/>
    <n v="75"/>
    <n v="97"/>
    <n v="8925"/>
    <n v="418"/>
    <n v="9000"/>
    <n v="8507"/>
    <n v="3.9731985423768663E-2"/>
    <s v="Backlog"/>
    <n v="0.94522222222222219"/>
    <n v="6.6165555555555553"/>
    <n v="28.356666666666666"/>
    <b v="0"/>
    <n v="11"/>
    <n v="0.94551446002819917"/>
    <n v="0.95680924567599379"/>
    <s v="STRAIN"/>
    <n v="4.6444444444444441E-2"/>
  </r>
  <r>
    <x v="532"/>
    <n v="62"/>
    <n v="97"/>
    <n v="52"/>
    <n v="9235"/>
    <n v="390"/>
    <n v="9332"/>
    <n v="8845"/>
    <n v="2.4081401921989824E-2"/>
    <s v="Backlog"/>
    <n v="0.94781397342477491"/>
    <n v="6.6346978139734247"/>
    <n v="28.434419202743246"/>
    <b v="1"/>
    <n v="12"/>
    <n v="0.94960045168652951"/>
    <n v="0.95945849081448409"/>
    <s v="STRAIN"/>
    <n v="4.1791684526360909E-2"/>
  </r>
  <r>
    <x v="533"/>
    <n v="59"/>
    <n v="64"/>
    <n v="117"/>
    <n v="9351"/>
    <n v="293"/>
    <n v="9415"/>
    <n v="9058"/>
    <n v="4.1951865754029588E-3"/>
    <s v="Backlog"/>
    <n v="0.96208178438661707"/>
    <n v="6.7345724907063191"/>
    <n v="28.862453531598511"/>
    <b v="0"/>
    <n v="12"/>
    <n v="0.96138922040416819"/>
    <n v="0.96473854098096468"/>
    <s v="STRAIN"/>
    <n v="3.1120552310143389E-2"/>
  </r>
  <r>
    <x v="534"/>
    <n v="84"/>
    <n v="118"/>
    <n v="136"/>
    <n v="9396"/>
    <n v="300"/>
    <n v="9514"/>
    <n v="9096"/>
    <n v="1.4291996481970097E-3"/>
    <s v="Backlog"/>
    <n v="0.95606474668908981"/>
    <n v="6.6924532268236288"/>
    <n v="28.681942400672693"/>
    <b v="0"/>
    <n v="12"/>
    <n v="0.95781247025099292"/>
    <n v="0.95584487334454482"/>
    <s v="STRAIN"/>
    <n v="3.1532478452806392E-2"/>
  </r>
  <r>
    <x v="535"/>
    <n v="86"/>
    <n v="152"/>
    <n v="168"/>
    <n v="9436"/>
    <n v="327"/>
    <n v="9588"/>
    <n v="9109"/>
    <n v="-6.2575474805137777E-3"/>
    <s v="No Backlog"/>
    <n v="0.95004171881518562"/>
    <n v="6.6502920317062992"/>
    <n v="28.501251564455568"/>
    <b v="0"/>
    <n v="12"/>
    <n v="0.95080232941604115"/>
    <n v="0.9570681891745707"/>
    <b v="0"/>
    <n v="3.4105131414267832E-2"/>
  </r>
  <r>
    <x v="536"/>
    <n v="106"/>
    <n v="196"/>
    <n v="131"/>
    <n v="9506"/>
    <n v="454"/>
    <n v="9702"/>
    <n v="9052"/>
    <n v="9.5117101193106499E-2"/>
    <s v="Backlog"/>
    <n v="0.93300350443207591"/>
    <n v="6.5310245310245314"/>
    <n v="27.990105132962277"/>
    <b v="1"/>
    <n v="12"/>
    <n v="0.94491576955707846"/>
    <n v="0.94631768077444867"/>
    <s v="STRAIN"/>
    <n v="4.6794475365903934E-2"/>
  </r>
  <r>
    <x v="537"/>
    <n v="113"/>
    <n v="162"/>
    <n v="107"/>
    <n v="10319"/>
    <n v="406"/>
    <n v="10481"/>
    <n v="9913"/>
    <n v="2.0679915262786241E-2"/>
    <s v="Backlog"/>
    <n v="0.94580669783417615"/>
    <n v="6.6206468848392328"/>
    <n v="28.374200935025286"/>
    <b v="1"/>
    <n v="13"/>
    <n v="0.95710148348197088"/>
    <n v="0.95206619084842647"/>
    <s v="STRAIN"/>
    <n v="3.8736761759374107E-2"/>
  </r>
  <r>
    <x v="538"/>
    <n v="92"/>
    <n v="124"/>
    <n v="93"/>
    <n v="10511"/>
    <n v="393"/>
    <n v="10635"/>
    <n v="10118"/>
    <n v="1.9470251037754498E-2"/>
    <s v="Backlog"/>
    <n v="0.951386929948284"/>
    <n v="6.659708509637988"/>
    <n v="28.541607898448518"/>
    <b v="1"/>
    <n v="13"/>
    <n v="0.96124496907623858"/>
    <n v="0.94700876348160468"/>
    <s v="STRAIN"/>
    <n v="3.6953455571227083E-2"/>
  </r>
  <r>
    <x v="539"/>
    <n v="68"/>
    <n v="107"/>
    <n v="102"/>
    <n v="10630"/>
    <n v="315"/>
    <n v="10737"/>
    <n v="10315"/>
    <n v="-1.6480853126514784E-3"/>
    <s v="No Backlog"/>
    <n v="0.96069665642171931"/>
    <n v="6.7248765949520353"/>
    <n v="28.820899692651579"/>
    <b v="1"/>
    <n v="13"/>
    <n v="0.9640459769985158"/>
    <n v="0.95302911055430117"/>
    <b v="0"/>
    <n v="2.9337803855825649E-2"/>
  </r>
  <r>
    <x v="540"/>
    <n v="74"/>
    <n v="103"/>
    <n v="80"/>
    <n v="10629"/>
    <n v="331"/>
    <n v="10732"/>
    <n v="10298"/>
    <n v="-1.5634103709458148E-2"/>
    <s v="No Backlog"/>
    <n v="0.95956019381289603"/>
    <n v="6.7169213566902721"/>
    <n v="28.786805814386881"/>
    <b v="1"/>
    <n v="13"/>
    <n v="0.95759259690644805"/>
    <n v="0.95173487121967115"/>
    <b v="0"/>
    <n v="3.0842340663436451E-2"/>
  </r>
  <r>
    <x v="541"/>
    <n v="56"/>
    <n v="82"/>
    <n v="68"/>
    <n v="10571"/>
    <n v="434"/>
    <n v="10653"/>
    <n v="10137"/>
    <n v="4.508237151030877E-2"/>
    <s v="Backlog"/>
    <n v="0.95156294001689667"/>
    <n v="6.6609405801182771"/>
    <n v="28.546888200506899"/>
    <b v="1"/>
    <n v="13"/>
    <n v="0.95782879977542623"/>
    <n v="0.94801354949744765"/>
    <s v="STRAIN"/>
    <n v="4.0739697737726462E-2"/>
  </r>
  <r>
    <x v="542"/>
    <n v="38"/>
    <n v="80"/>
    <n v="82"/>
    <n v="10992"/>
    <n v="398"/>
    <n v="11072"/>
    <n v="10594"/>
    <n v="9.4393052671323391E-3"/>
    <s v="Backlog"/>
    <n v="0.95682803468208089"/>
    <n v="6.6977962427745661"/>
    <n v="28.704841040462426"/>
    <b v="0"/>
    <n v="14"/>
    <n v="0.95822994589945121"/>
    <n v="0.9541281743204042"/>
    <s v="STRAIN"/>
    <n v="3.5946531791907516E-2"/>
  </r>
  <r>
    <x v="543"/>
    <n v="65"/>
    <n v="83"/>
    <n v="65"/>
    <n v="10960"/>
    <n v="266"/>
    <n v="11043"/>
    <n v="10694"/>
    <n v="-3.8339255657377971E-3"/>
    <s v="No Backlog"/>
    <n v="0.96839626912976551"/>
    <n v="6.7787738839083582"/>
    <n v="29.051888073892965"/>
    <b v="1"/>
    <n v="14"/>
    <n v="0.9633609764962211"/>
    <n v="0.9476707053787945"/>
    <b v="0"/>
    <n v="2.408765733949108E-2"/>
  </r>
  <r>
    <x v="544"/>
    <n v="41"/>
    <n v="60"/>
    <n v="71"/>
    <n v="10910"/>
    <n v="257"/>
    <n v="10970"/>
    <n v="10653"/>
    <n v="-1.1264432554210082E-2"/>
    <s v="No Backlog"/>
    <n v="0.97110300820419326"/>
    <n v="6.797721057429353"/>
    <n v="29.133090246125796"/>
    <b v="0"/>
    <n v="14"/>
    <n v="0.95686680260955925"/>
    <n v="0.95414734624445041"/>
    <b v="0"/>
    <n v="2.342752962625342E-2"/>
  </r>
  <r>
    <x v="545"/>
    <n v="43"/>
    <n v="73"/>
    <n v="64"/>
    <n v="10815"/>
    <n v="282"/>
    <n v="10888"/>
    <n v="10533"/>
    <n v="1.6139751257951199E-2"/>
    <s v="Backlog"/>
    <n v="0.96739529757531229"/>
    <n v="6.7717670830271857"/>
    <n v="29.02185892725937"/>
    <b v="1"/>
    <n v="14"/>
    <n v="0.95637843113109766"/>
    <n v="0.95406867041593113"/>
    <s v="STRAIN"/>
    <n v="2.5900073475385747E-2"/>
  </r>
  <r>
    <x v="546"/>
    <n v="35"/>
    <n v="70"/>
    <n v="53"/>
    <n v="11130"/>
    <n v="427"/>
    <n v="11200"/>
    <n v="10703"/>
    <n v="-6.5402223675604968E-3"/>
    <s v="No Backlog"/>
    <n v="0.95562499999999995"/>
    <n v="6.6893750000000001"/>
    <n v="28.668749999999999"/>
    <b v="1"/>
    <n v="14"/>
    <n v="0.94976727431322316"/>
    <n v="0.95378333113688285"/>
    <b v="0"/>
    <n v="3.8124999999999999E-2"/>
  </r>
  <r>
    <x v="547"/>
    <n v="25"/>
    <n v="66"/>
    <n v="94"/>
    <n v="10963"/>
    <n v="330"/>
    <n v="11029"/>
    <n v="10633"/>
    <n v="-9.5927772030471176E-3"/>
    <s v="No Backlog"/>
    <n v="0.9640946595339559"/>
    <n v="6.7486626167376915"/>
    <n v="28.922839786018677"/>
    <b v="0"/>
    <n v="15"/>
    <n v="0.95427940925597721"/>
    <n v="0.95310441410218139"/>
    <b v="0"/>
    <n v="2.9921117055036722E-2"/>
  </r>
  <r>
    <x v="548"/>
    <n v="99"/>
    <n v="156"/>
    <n v="139"/>
    <n v="10818"/>
    <n v="287"/>
    <n v="10974"/>
    <n v="10531"/>
    <n v="-8.6411546861646562E-3"/>
    <s v="No Backlog"/>
    <n v="0.95963185711682153"/>
    <n v="6.7174229998177504"/>
    <n v="28.788955713504645"/>
    <b v="1"/>
    <n v="15"/>
    <n v="0.95553008553777463"/>
    <n v="0.94905226587292391"/>
    <b v="0"/>
    <n v="2.6152724621833424E-2"/>
  </r>
  <r>
    <x v="549"/>
    <n v="107"/>
    <n v="170"/>
    <n v="133"/>
    <n v="10724"/>
    <n v="284"/>
    <n v="10894"/>
    <n v="10440"/>
    <n v="-3.2088122605363985E-2"/>
    <s v="No Backlog"/>
    <n v="0.95832568386267669"/>
    <n v="6.7082797870387365"/>
    <n v="28.7497705158803"/>
    <b v="1"/>
    <n v="15"/>
    <n v="0.94263541274525009"/>
    <n v="0.94489117079639651"/>
    <b v="0"/>
    <n v="2.6069395997796951E-2"/>
  </r>
  <r>
    <x v="550"/>
    <n v="80"/>
    <n v="122"/>
    <n v="152"/>
    <n v="10598"/>
    <n v="493"/>
    <n v="10720"/>
    <n v="10105"/>
    <n v="4.2751113310242457E-2"/>
    <s v="Backlog"/>
    <n v="0.94263059701492535"/>
    <n v="6.598414179104477"/>
    <n v="28.27891791044776"/>
    <b v="0"/>
    <n v="15"/>
    <n v="0.9399111406498164"/>
    <n v="0.94091726143003629"/>
    <s v="STRAIN"/>
    <n v="4.5988805970149253E-2"/>
  </r>
  <r>
    <x v="551"/>
    <n v="57"/>
    <n v="162"/>
    <n v="193"/>
    <n v="10984"/>
    <n v="447"/>
    <n v="11146"/>
    <n v="10537"/>
    <n v="1.4140647243048306E-2"/>
    <s v="Backlog"/>
    <n v="0.94536156468688315"/>
    <n v="6.617530952808182"/>
    <n v="28.360846940606493"/>
    <b v="0"/>
    <n v="15"/>
    <n v="0.94305180397171662"/>
    <n v="0.94390478818072721"/>
    <s v="STRAIN"/>
    <n v="4.0104073210120224E-2"/>
  </r>
  <r>
    <x v="552"/>
    <n v="161"/>
    <n v="304"/>
    <n v="211"/>
    <n v="11017"/>
    <n v="331"/>
    <n v="11321"/>
    <n v="10686"/>
    <n v="-3.7432154220475387E-3"/>
    <s v="No Backlog"/>
    <n v="0.94390954862644638"/>
    <n v="6.6073668403851249"/>
    <n v="28.31728645879339"/>
    <b v="1"/>
    <n v="15"/>
    <n v="0.94792560545010596"/>
    <n v="0.94773493267372622"/>
    <b v="0"/>
    <n v="2.9237699849836585E-2"/>
  </r>
  <r>
    <x v="553"/>
    <n v="205"/>
    <n v="294"/>
    <n v="177"/>
    <n v="10978"/>
    <n v="332"/>
    <n v="11272"/>
    <n v="10646"/>
    <n v="-8.2660154048468902E-3"/>
    <s v="No Backlog"/>
    <n v="0.94446415897799862"/>
    <n v="6.6112491128459903"/>
    <n v="28.333924769339959"/>
    <b v="1"/>
    <n v="16"/>
    <n v="0.9432891638242028"/>
    <n v="0.94076023850461699"/>
    <b v="0"/>
    <n v="2.9453513129879347E-2"/>
  </r>
  <r>
    <x v="554"/>
    <n v="100"/>
    <n v="255"/>
    <n v="236"/>
    <n v="10842"/>
    <n v="284"/>
    <n v="11097"/>
    <n v="10558"/>
    <n v="-2.0553135063458988E-2"/>
    <s v="No Backlog"/>
    <n v="0.95142831395872762"/>
    <n v="6.6599981977110936"/>
    <n v="28.542849418761829"/>
    <b v="1"/>
    <n v="16"/>
    <n v="0.94495049429387701"/>
    <n v="0.94556599493885374"/>
    <b v="0"/>
    <n v="2.5592502478147247E-2"/>
  </r>
  <r>
    <x v="555"/>
    <n v="269"/>
    <n v="412"/>
    <n v="204"/>
    <n v="10744"/>
    <n v="403"/>
    <n v="11156"/>
    <n v="10341"/>
    <n v="2.8817329078425685E-2"/>
    <s v="Backlog"/>
    <n v="0.9269451416278236"/>
    <n v="6.4886159913947647"/>
    <n v="27.808354248834707"/>
    <b v="1"/>
    <n v="16"/>
    <n v="0.9292008996789699"/>
    <n v="0.93886459801965527"/>
    <s v="STRAIN"/>
    <n v="3.6124058802438151E-2"/>
  </r>
  <r>
    <x v="556"/>
    <n v="168"/>
    <n v="285"/>
    <n v="210"/>
    <n v="11067"/>
    <n v="428"/>
    <n v="11352"/>
    <n v="10639"/>
    <n v="5.733621580975656E-3"/>
    <s v="Backlog"/>
    <n v="0.93719168428470756"/>
    <n v="6.560341789992953"/>
    <n v="28.115750528541227"/>
    <b v="1"/>
    <n v="16"/>
    <n v="0.93819780506492734"/>
    <n v="0.94123717140133012"/>
    <s v="STRAIN"/>
    <n v="3.7702607470049332E-2"/>
  </r>
  <r>
    <x v="557"/>
    <n v="187"/>
    <n v="310"/>
    <n v="247"/>
    <n v="11064"/>
    <n v="364"/>
    <n v="11374"/>
    <n v="10700"/>
    <n v="1.2616822429906542E-2"/>
    <s v="Backlog"/>
    <n v="0.94074204325654998"/>
    <n v="6.5851943027958502"/>
    <n v="28.222261297696498"/>
    <b v="1"/>
    <n v="16"/>
    <n v="0.94159502746556067"/>
    <n v="0.94127640340406671"/>
    <s v="STRAIN"/>
    <n v="3.2002813434148056E-2"/>
  </r>
  <r>
    <x v="558"/>
    <n v="133"/>
    <n v="287"/>
    <n v="189"/>
    <n v="11095"/>
    <n v="260"/>
    <n v="11382"/>
    <n v="10835"/>
    <n v="-2.3627134287032763E-2"/>
    <s v="No Backlog"/>
    <n v="0.95194166227376564"/>
    <n v="6.6635916359163598"/>
    <n v="28.558249868212968"/>
    <b v="1"/>
    <n v="17"/>
    <n v="0.9517509894973859"/>
    <n v="0.93830288487968505"/>
    <b v="0"/>
    <n v="2.2843085573712878E-2"/>
  </r>
  <r>
    <x v="559"/>
    <n v="180"/>
    <n v="337"/>
    <n v="219"/>
    <n v="10892"/>
    <n v="313"/>
    <n v="11229"/>
    <n v="10579"/>
    <n v="-1.9567066830513281E-2"/>
    <s v="No Backlog"/>
    <n v="0.94211416867040698"/>
    <n v="6.5947991806928492"/>
    <n v="28.263425060112208"/>
    <b v="1"/>
    <n v="17"/>
    <n v="0.93958524335082116"/>
    <n v="0.93663424222005376"/>
    <b v="0"/>
    <n v="2.7874254163327099E-2"/>
  </r>
  <r>
    <x v="560"/>
    <n v="153"/>
    <n v="253"/>
    <n v="286"/>
    <n v="10799"/>
    <n v="427"/>
    <n v="11052"/>
    <n v="10372"/>
    <n v="4.9170844581565756E-3"/>
    <s v="Backlog"/>
    <n v="0.93847267462902639"/>
    <n v="6.5693087224031848"/>
    <n v="28.154180238870794"/>
    <b v="0"/>
    <n v="17"/>
    <n v="0.93908817527400301"/>
    <n v="0.94254288151657972"/>
    <s v="STRAIN"/>
    <n v="3.8635541078537824E-2"/>
  </r>
  <r>
    <x v="561"/>
    <n v="209"/>
    <n v="353"/>
    <n v="232"/>
    <n v="10837"/>
    <n v="414"/>
    <n v="11190"/>
    <n v="10423"/>
    <n v="-8.4428667370238901E-3"/>
    <s v="No Backlog"/>
    <n v="0.93145665773011621"/>
    <n v="6.5201966041108133"/>
    <n v="27.943699731903486"/>
    <b v="1"/>
    <n v="17"/>
    <n v="0.94112035607080147"/>
    <n v="0.93250493183333827"/>
    <b v="0"/>
    <n v="3.6997319034852545E-2"/>
  </r>
  <r>
    <x v="562"/>
    <n v="167"/>
    <n v="326"/>
    <n v="213"/>
    <n v="10678"/>
    <n v="343"/>
    <n v="11004"/>
    <n v="10335"/>
    <n v="-1.9351717464925012E-4"/>
    <s v="No Backlog"/>
    <n v="0.93920392584514723"/>
    <n v="6.5744274809160306"/>
    <n v="28.176117775354417"/>
    <b v="1"/>
    <n v="17"/>
    <n v="0.94224329218155001"/>
    <n v="0.93164410549839083"/>
    <b v="0"/>
    <n v="3.1170483460559797E-2"/>
  </r>
  <r>
    <x v="563"/>
    <n v="224"/>
    <n v="315"/>
    <n v="152"/>
    <n v="10649"/>
    <n v="316"/>
    <n v="10964"/>
    <n v="10333"/>
    <n v="-1.1419723216877963E-2"/>
    <s v="No Backlog"/>
    <n v="0.94244801167457137"/>
    <n v="6.5971360817219997"/>
    <n v="28.273440350237141"/>
    <b v="1"/>
    <n v="18"/>
    <n v="0.94212938761307741"/>
    <n v="0.93914392771228572"/>
    <b v="0"/>
    <n v="2.8821597956950017E-2"/>
  </r>
  <r>
    <x v="564"/>
    <n v="132"/>
    <n v="243"/>
    <n v="183"/>
    <n v="10492"/>
    <n v="277"/>
    <n v="10735"/>
    <n v="10215"/>
    <n v="-3.0837004405286344E-2"/>
    <s v="No Backlog"/>
    <n v="0.95156031672100605"/>
    <n v="6.6609222170470428"/>
    <n v="28.546809501630182"/>
    <b v="1"/>
    <n v="18"/>
    <n v="0.93811221210330531"/>
    <n v="0.95161405897316476"/>
    <b v="0"/>
    <n v="2.5803446669771773E-2"/>
  </r>
  <r>
    <x v="565"/>
    <n v="218"/>
    <n v="283"/>
    <n v="208"/>
    <n v="10282"/>
    <n v="382"/>
    <n v="10565"/>
    <n v="9900"/>
    <n v="1.2222222222222223E-2"/>
    <s v="Backlog"/>
    <n v="0.93705631803123524"/>
    <n v="6.5593942262186467"/>
    <n v="28.111689540937057"/>
    <b v="1"/>
    <n v="18"/>
    <n v="0.93410531690046783"/>
    <n v="0.94685984707089899"/>
    <s v="STRAIN"/>
    <n v="3.6157122574538569E-2"/>
  </r>
  <r>
    <x v="566"/>
    <n v="118"/>
    <n v="245"/>
    <n v="160"/>
    <n v="10419"/>
    <n v="398"/>
    <n v="10664"/>
    <n v="10021"/>
    <n v="4.3907793633369925E-3"/>
    <s v="Backlog"/>
    <n v="0.93970367591897974"/>
    <n v="6.5779257314328579"/>
    <n v="28.191110277569393"/>
    <b v="1"/>
    <n v="18"/>
    <n v="0.94315838216155645"/>
    <n v="0.94533557820870473"/>
    <s v="STRAIN"/>
    <n v="3.7321830457614405E-2"/>
  </r>
  <r>
    <x v="567"/>
    <n v="81"/>
    <n v="230"/>
    <n v="242"/>
    <n v="10356"/>
    <n v="291"/>
    <n v="10586"/>
    <n v="10065"/>
    <n v="-1.6492796820665675E-2"/>
    <s v="No Backlog"/>
    <n v="0.95078405441148683"/>
    <n v="6.6554883808804082"/>
    <n v="28.523521632344604"/>
    <b v="0"/>
    <n v="18"/>
    <n v="0.94216863017402352"/>
    <n v="0.9444418569798072"/>
    <b v="0"/>
    <n v="2.7489136595503495E-2"/>
  </r>
  <r>
    <x v="568"/>
    <n v="236"/>
    <n v="330"/>
    <n v="222"/>
    <n v="10142"/>
    <n v="243"/>
    <n v="10472"/>
    <n v="9899"/>
    <n v="-2.0608142236589553E-2"/>
    <s v="No Backlog"/>
    <n v="0.94528265851795268"/>
    <n v="6.6169786096256686"/>
    <n v="28.358479755538582"/>
    <b v="1"/>
    <n v="19"/>
    <n v="0.93468347183479361"/>
    <n v="0.94106662936994168"/>
    <b v="0"/>
    <n v="2.3204736440030557E-2"/>
  </r>
  <r>
    <x v="569"/>
    <n v="196"/>
    <n v="306"/>
    <n v="187"/>
    <n v="9988"/>
    <n v="293"/>
    <n v="10294"/>
    <n v="9695"/>
    <n v="-6.1887570912841673E-3"/>
    <s v="No Backlog"/>
    <n v="0.94181076355158344"/>
    <n v="6.5926753448610844"/>
    <n v="28.254322906547504"/>
    <b v="1"/>
    <n v="19"/>
    <n v="0.93882530365079164"/>
    <n v="0.94392896715892771"/>
    <b v="0"/>
    <n v="2.84631824363707E-2"/>
  </r>
  <r>
    <x v="570"/>
    <n v="113"/>
    <n v="280"/>
    <n v="237"/>
    <n v="10140"/>
    <n v="505"/>
    <n v="10420"/>
    <n v="9635"/>
    <n v="2.8956927867151011E-2"/>
    <s v="Backlog"/>
    <n v="0.92466410748560457"/>
    <n v="6.4726487523992322"/>
    <n v="27.739923224568138"/>
    <b v="1"/>
    <n v="19"/>
    <n v="0.9381659543554639"/>
    <n v="0.93019739421717107"/>
    <s v="STRAIN"/>
    <n v="4.8464491362763915E-2"/>
  </r>
  <r>
    <x v="571"/>
    <n v="239"/>
    <n v="367"/>
    <n v="224"/>
    <n v="10280"/>
    <n v="366"/>
    <n v="10647"/>
    <n v="9914"/>
    <n v="-2.0173492031470646E-3"/>
    <s v="No Backlog"/>
    <n v="0.93115431576970042"/>
    <n v="6.518080210387903"/>
    <n v="27.934629473091015"/>
    <b v="1"/>
    <n v="19"/>
    <n v="0.94390884594013158"/>
    <n v="0.94397529680143377"/>
    <b v="0"/>
    <n v="3.4375880529726684E-2"/>
  </r>
  <r>
    <x v="572"/>
    <n v="152"/>
    <n v="272"/>
    <n v="214"/>
    <n v="10180"/>
    <n v="286"/>
    <n v="10452"/>
    <n v="9894"/>
    <n v="-2.7289266221952699E-2"/>
    <s v="No Backlog"/>
    <n v="0.94661308840413316"/>
    <n v="6.6262916188289323"/>
    <n v="28.398392652123995"/>
    <b v="1"/>
    <n v="19"/>
    <n v="0.94879028445128144"/>
    <n v="0.94880057122004136"/>
    <b v="0"/>
    <n v="2.736318407960199E-2"/>
  </r>
  <r>
    <x v="573"/>
    <n v="170"/>
    <n v="297"/>
    <n v="196"/>
    <n v="10012"/>
    <n v="388"/>
    <n v="10309"/>
    <n v="9624"/>
    <n v="-2.4833748960931004E-2"/>
    <s v="No Backlog"/>
    <n v="0.93355320593656033"/>
    <n v="6.5348724415559225"/>
    <n v="28.00659617809681"/>
    <b v="1"/>
    <n v="20"/>
    <n v="0.93582643274234389"/>
    <n v="0.94060218303457344"/>
    <b v="0"/>
    <n v="3.7637016199437386E-2"/>
  </r>
  <r>
    <x v="574"/>
    <n v="191"/>
    <n v="283"/>
    <n v="192"/>
    <n v="9873"/>
    <n v="488"/>
    <n v="10156"/>
    <n v="9385"/>
    <n v="2.1097496004262119E-2"/>
    <s v="Backlog"/>
    <n v="0.92408428515163454"/>
    <n v="6.4685899960614419"/>
    <n v="27.722528554549037"/>
    <b v="1"/>
    <n v="20"/>
    <n v="0.93046744268678272"/>
    <n v="0.9288570787808974"/>
    <s v="STRAIN"/>
    <n v="4.8050413548641195E-2"/>
  </r>
  <r>
    <x v="575"/>
    <n v="109"/>
    <n v="214"/>
    <n v="173"/>
    <n v="10026"/>
    <n v="443"/>
    <n v="10240"/>
    <n v="9583"/>
    <n v="2.1183345507669833E-2"/>
    <s v="Backlog"/>
    <n v="0.93583984374999996"/>
    <n v="6.5508789062499995"/>
    <n v="28.0751953125"/>
    <b v="1"/>
    <n v="20"/>
    <n v="0.94094350725813591"/>
    <n v="0.9356960009059303"/>
    <s v="STRAIN"/>
    <n v="4.3261718749999997E-2"/>
  </r>
  <r>
    <x v="576"/>
    <n v="155"/>
    <n v="212"/>
    <n v="181"/>
    <n v="10071"/>
    <n v="285"/>
    <n v="10283"/>
    <n v="9786"/>
    <n v="-9.7077457592479044E-3"/>
    <s v="No Backlog"/>
    <n v="0.95166780122532335"/>
    <n v="6.6616746085772638"/>
    <n v="28.550034036759701"/>
    <b v="1"/>
    <n v="20"/>
    <n v="0.9436992410870304"/>
    <n v="0.94962422319330686"/>
    <b v="0"/>
    <n v="2.7715647184673734E-2"/>
  </r>
  <r>
    <x v="577"/>
    <n v="119"/>
    <n v="209"/>
    <n v="152"/>
    <n v="9921"/>
    <n v="230"/>
    <n v="10130"/>
    <n v="9691"/>
    <n v="-3.1369311732535342E-2"/>
    <s v="No Backlog"/>
    <n v="0.95666337611056274"/>
    <n v="6.6966436327739389"/>
    <n v="28.699901283316883"/>
    <b v="1"/>
    <n v="20"/>
    <n v="0.95672982697186493"/>
    <n v="0.95353829962552927"/>
    <b v="0"/>
    <n v="2.2704837117472853E-2"/>
  </r>
  <r>
    <x v="578"/>
    <n v="143"/>
    <n v="203"/>
    <n v="163"/>
    <n v="9668"/>
    <n v="281"/>
    <n v="9871"/>
    <n v="9387"/>
    <n v="-3.1319910514541388E-2"/>
    <s v="No Backlog"/>
    <n v="0.95096748049842972"/>
    <n v="6.6567723634890079"/>
    <n v="28.529024414952893"/>
    <b v="1"/>
    <n v="21"/>
    <n v="0.95097776726718963"/>
    <n v="0.94477546882771901"/>
    <b v="0"/>
    <n v="2.8467227231283559E-2"/>
  </r>
  <r>
    <x v="579"/>
    <n v="105"/>
    <n v="210"/>
    <n v="149"/>
    <n v="9483"/>
    <n v="390"/>
    <n v="9693"/>
    <n v="9093"/>
    <n v="2.1335092928626415E-2"/>
    <s v="Backlog"/>
    <n v="0.93809965954812746"/>
    <n v="6.5666976168368922"/>
    <n v="28.142989786443824"/>
    <b v="1"/>
    <n v="21"/>
    <n v="0.942875409840357"/>
    <n v="0.93243684537547289"/>
    <s v="STRAIN"/>
    <n v="4.0235221293717115E-2"/>
  </r>
  <r>
    <x v="580"/>
    <n v="119"/>
    <n v="219"/>
    <n v="210"/>
    <n v="9694"/>
    <n v="407"/>
    <n v="9913"/>
    <n v="9287"/>
    <n v="6.3529665123290618E-3"/>
    <s v="Backlog"/>
    <n v="0.93685060022193078"/>
    <n v="6.5579542015535157"/>
    <n v="28.105518006657924"/>
    <b v="1"/>
    <n v="21"/>
    <n v="0.93524023631604558"/>
    <n v="0.93534531007857069"/>
    <s v="STRAIN"/>
    <n v="4.1057197619287805E-2"/>
  </r>
  <r>
    <x v="581"/>
    <n v="148"/>
    <n v="245"/>
    <n v="175"/>
    <n v="9634"/>
    <n v="288"/>
    <n v="9879"/>
    <n v="9346"/>
    <n v="-8.3993152150652686E-2"/>
    <s v="No Backlog"/>
    <n v="0.94604717076627187"/>
    <n v="6.6223301953639027"/>
    <n v="28.381415122988155"/>
    <b v="1"/>
    <n v="21"/>
    <n v="0.94079966441406615"/>
    <n v="0.9398577562374073"/>
    <b v="0"/>
    <n v="2.915274825387185E-2"/>
  </r>
  <r>
    <x v="582"/>
    <n v="142"/>
    <n v="235"/>
    <n v="139"/>
    <n v="8914"/>
    <n v="353"/>
    <n v="9149"/>
    <n v="8561"/>
    <n v="8.8774675855624336E-3"/>
    <s v="Backlog"/>
    <n v="0.93573068094873757"/>
    <n v="6.5501147666411628"/>
    <n v="28.071920428462128"/>
    <b v="1"/>
    <n v="22"/>
    <n v="0.94165566305501391"/>
    <n v="0.94031536610225186"/>
    <s v="STRAIN"/>
    <n v="3.8583451743359927E-2"/>
  </r>
  <r>
    <x v="583"/>
    <n v="118"/>
    <n v="139"/>
    <n v="168"/>
    <n v="8888"/>
    <n v="251"/>
    <n v="9027"/>
    <n v="8637"/>
    <n v="-1.3777932152367721E-2"/>
    <s v="No Backlog"/>
    <n v="0.95679627783316712"/>
    <n v="6.6975739448321701"/>
    <n v="28.703888334995014"/>
    <b v="0"/>
    <n v="22"/>
    <n v="0.95360475048683147"/>
    <n v="0.94726480558325021"/>
    <b v="0"/>
    <n v="2.7805472471474465E-2"/>
  </r>
  <r>
    <x v="584"/>
    <n v="125"/>
    <n v="232"/>
    <n v="192"/>
    <n v="8725"/>
    <n v="207"/>
    <n v="8957"/>
    <n v="8518"/>
    <n v="-2.66494482272834E-2"/>
    <s v="No Backlog"/>
    <n v="0.95098805403594955"/>
    <n v="6.6569163782516467"/>
    <n v="28.529641621078486"/>
    <b v="1"/>
    <n v="22"/>
    <n v="0.94478575559647893"/>
    <n v="0.94139061667694068"/>
    <b v="0"/>
    <n v="2.3110416434073907E-2"/>
  </r>
  <r>
    <x v="585"/>
    <n v="156"/>
    <n v="256"/>
    <n v="176"/>
    <n v="8493"/>
    <n v="202"/>
    <n v="8749"/>
    <n v="8291"/>
    <n v="-3.7993004462670364E-2"/>
    <s v="No Backlog"/>
    <n v="0.94765116013258655"/>
    <n v="6.6335581209281056"/>
    <n v="28.429534803977596"/>
    <b v="1"/>
    <n v="23"/>
    <n v="0.93721259566770243"/>
    <n v="0.93614971426542748"/>
    <b v="0"/>
    <n v="2.3088352954623387E-2"/>
  </r>
  <r>
    <x v="586"/>
    <n v="109"/>
    <n v="245"/>
    <n v="159"/>
    <n v="8298"/>
    <n v="322"/>
    <n v="8543"/>
    <n v="7976"/>
    <n v="-2.632898696088265E-3"/>
    <s v="No Backlog"/>
    <n v="0.93362987241016038"/>
    <n v="6.5354091068711231"/>
    <n v="28.008896172304812"/>
    <b v="1"/>
    <n v="23"/>
    <n v="0.93373494617268549"/>
    <n v="0.93528402761705642"/>
    <b v="0"/>
    <n v="3.7691677396699048E-2"/>
  </r>
  <r>
    <x v="587"/>
    <n v="167"/>
    <n v="209"/>
    <n v="157"/>
    <n v="8294"/>
    <n v="339"/>
    <n v="8503"/>
    <n v="7955"/>
    <n v="4.3997485857950975E-3"/>
    <s v="Backlog"/>
    <n v="0.93555215806186054"/>
    <n v="6.5488651064330234"/>
    <n v="28.066564741855817"/>
    <b v="1"/>
    <n v="23"/>
    <n v="0.93461024988520158"/>
    <n v="0.93522963399670767"/>
    <s v="STRAIN"/>
    <n v="3.9868281782900153E-2"/>
  </r>
  <r>
    <x v="588"/>
    <n v="84"/>
    <n v="171"/>
    <n v="157"/>
    <n v="8261"/>
    <n v="271"/>
    <n v="8432"/>
    <n v="7990"/>
    <n v="-6.8836045056320403E-3"/>
    <s v="No Backlog"/>
    <n v="0.94758064516129037"/>
    <n v="6.6330645161290329"/>
    <n v="28.427419354838712"/>
    <b v="1"/>
    <n v="23"/>
    <n v="0.94624034820852831"/>
    <n v="0.94688973778532359"/>
    <b v="0"/>
    <n v="3.213946869070209E-2"/>
  </r>
  <r>
    <x v="589"/>
    <n v="87"/>
    <n v="246"/>
    <n v="173"/>
    <n v="8103"/>
    <n v="168"/>
    <n v="8349"/>
    <n v="7935"/>
    <n v="-4.4738500315059861E-2"/>
    <s v="No Backlog"/>
    <n v="0.95041322314049592"/>
    <n v="6.6528925619834718"/>
    <n v="28.512396694214878"/>
    <b v="1"/>
    <n v="23"/>
    <n v="0.94407327823691456"/>
    <n v="0.94288096056755411"/>
    <b v="0"/>
    <n v="2.0122170319798779E-2"/>
  </r>
  <r>
    <x v="590"/>
    <n v="136"/>
    <n v="276"/>
    <n v="178"/>
    <n v="7800"/>
    <n v="220"/>
    <n v="8076"/>
    <n v="7580"/>
    <n v="-2.8232189973614777E-2"/>
    <s v="No Backlog"/>
    <n v="0.93858345715700842"/>
    <n v="6.5700842000990587"/>
    <n v="28.157503714710252"/>
    <b v="1"/>
    <n v="24"/>
    <n v="0.93518831823747006"/>
    <n v="0.936134064986058"/>
    <b v="0"/>
    <n v="2.7241208519068846E-2"/>
  </r>
  <r>
    <x v="591"/>
    <n v="166"/>
    <n v="277"/>
    <n v="229"/>
    <n v="7671"/>
    <n v="305"/>
    <n v="7948"/>
    <n v="7366"/>
    <n v="1.7512897094759707E-2"/>
    <s v="Backlog"/>
    <n v="0.92677403120281832"/>
    <n v="6.4874182184197284"/>
    <n v="27.80322093608455"/>
    <b v="1"/>
    <n v="24"/>
    <n v="0.92571114980054336"/>
    <n v="0.93583798131483931"/>
    <s v="STRAIN"/>
    <n v="3.8374433819828885E-2"/>
  </r>
  <r>
    <x v="592"/>
    <n v="110"/>
    <n v="272"/>
    <n v="193"/>
    <n v="7754"/>
    <n v="259"/>
    <n v="8026"/>
    <n v="7495"/>
    <n v="-8.4056037358238821E-3"/>
    <s v="No Backlog"/>
    <n v="0.9338400199352106"/>
    <n v="6.536880139546474"/>
    <n v="28.015200598056317"/>
    <b v="1"/>
    <n v="24"/>
    <n v="0.93538910137958153"/>
    <n v="0.94018482974717044"/>
    <b v="0"/>
    <n v="3.2270122103164718E-2"/>
  </r>
  <r>
    <x v="593"/>
    <n v="202"/>
    <n v="313"/>
    <n v="158"/>
    <n v="7647"/>
    <n v="215"/>
    <n v="7960"/>
    <n v="7432"/>
    <n v="-7.8040904198062432E-3"/>
    <s v="No Backlog"/>
    <n v="0.93366834170854274"/>
    <n v="6.5356783919597987"/>
    <n v="28.010050251256281"/>
    <b v="1"/>
    <n v="25"/>
    <n v="0.93428772582004871"/>
    <n v="0.93631025285882719"/>
    <b v="0"/>
    <n v="2.701005025125628E-2"/>
  </r>
  <r>
    <x v="594"/>
    <n v="134"/>
    <n v="294"/>
    <n v="186"/>
    <n v="7510"/>
    <n v="136"/>
    <n v="7804"/>
    <n v="7374"/>
    <n v="-4.62435584486032E-2"/>
    <s v="No Backlog"/>
    <n v="0.94490005125576626"/>
    <n v="6.6143003587903637"/>
    <n v="28.347001537672988"/>
    <b v="1"/>
    <n v="25"/>
    <n v="0.94554944083256154"/>
    <n v="0.94231261151170576"/>
    <b v="0"/>
    <n v="1.7426960533059969E-2"/>
  </r>
  <r>
    <x v="595"/>
    <n v="180"/>
    <n v="280"/>
    <n v="146"/>
    <n v="7220"/>
    <n v="187"/>
    <n v="7500"/>
    <n v="7033"/>
    <n v="-3.6542016209299019E-2"/>
    <s v="No Backlog"/>
    <n v="0.93773333333333331"/>
    <n v="6.5641333333333334"/>
    <n v="28.131999999999998"/>
    <b v="1"/>
    <n v="26"/>
    <n v="0.93654101566397285"/>
    <n v="0.94019927094724776"/>
    <b v="0"/>
    <n v="2.4933333333333332E-2"/>
  </r>
  <r>
    <x v="596"/>
    <n v="108"/>
    <n v="220"/>
    <n v="213"/>
    <n v="7052"/>
    <n v="276"/>
    <n v="7272"/>
    <n v="6776"/>
    <n v="8.7072018890200706E-3"/>
    <s v="Backlog"/>
    <n v="0.93179317931793182"/>
    <n v="6.5225522552255226"/>
    <n v="27.953795379537954"/>
    <b v="1"/>
    <n v="26"/>
    <n v="0.93273892606651976"/>
    <n v="0.93609009777382235"/>
    <s v="STRAIN"/>
    <n v="3.7953795379537955E-2"/>
  </r>
  <r>
    <x v="597"/>
    <n v="147"/>
    <n v="276"/>
    <n v="214"/>
    <n v="7116"/>
    <n v="281"/>
    <n v="7392"/>
    <n v="6835"/>
    <n v="-8.778346744696415E-3"/>
    <s v="No Backlog"/>
    <n v="0.92464826839826841"/>
    <n v="6.4725378787878789"/>
    <n v="27.739448051948052"/>
    <b v="1"/>
    <n v="26"/>
    <n v="0.93477509991256436"/>
    <n v="0.92832320266676338"/>
    <b v="0"/>
    <n v="3.8014069264069264E-2"/>
  </r>
  <r>
    <x v="598"/>
    <n v="104"/>
    <n v="230"/>
    <n v="206"/>
    <n v="7001"/>
    <n v="226"/>
    <n v="7231"/>
    <n v="6775"/>
    <n v="-1.2103321033210332E-2"/>
    <s v="No Backlog"/>
    <n v="0.93693818282395247"/>
    <n v="6.5585672797676668"/>
    <n v="28.108145484718573"/>
    <b v="1"/>
    <n v="26"/>
    <n v="0.94173391119154126"/>
    <n v="0.92047296988644289"/>
    <b v="0"/>
    <n v="3.1254321670584978E-2"/>
  </r>
  <r>
    <x v="599"/>
    <n v="174"/>
    <n v="285"/>
    <n v="150"/>
    <n v="6874"/>
    <n v="181"/>
    <n v="7159"/>
    <n v="6693"/>
    <n v="-3.3019572687882866E-2"/>
    <s v="No Backlog"/>
    <n v="0.93490710993155468"/>
    <n v="6.544349769520883"/>
    <n v="28.047213297946641"/>
    <b v="1"/>
    <n v="26"/>
    <n v="0.93692963697033316"/>
    <n v="0.9334876803046388"/>
    <b v="0"/>
    <n v="2.5282860734739489E-2"/>
  </r>
  <r>
    <x v="600"/>
    <n v="113"/>
    <n v="208"/>
    <n v="159"/>
    <n v="6632"/>
    <n v="160"/>
    <n v="6840"/>
    <n v="6472"/>
    <n v="-3.4301606922126082E-2"/>
    <s v="No Backlog"/>
    <n v="0.94619883040935671"/>
    <n v="6.6233918128654974"/>
    <n v="28.385964912280702"/>
    <b v="1"/>
    <n v="27"/>
    <n v="0.94296200108850092"/>
    <n v="0.94300906347831503"/>
    <b v="0"/>
    <n v="2.3391812865497075E-2"/>
  </r>
  <r>
    <x v="601"/>
    <n v="88"/>
    <n v="214"/>
    <n v="160"/>
    <n v="6468"/>
    <n v="218"/>
    <n v="6682"/>
    <n v="6250"/>
    <n v="2.0480000000000002E-2"/>
    <s v="Backlog"/>
    <n v="0.9353486979946124"/>
    <n v="6.5474408859622866"/>
    <n v="28.060460939838372"/>
    <b v="1"/>
    <n v="27"/>
    <n v="0.9390069532778873"/>
    <n v="0.93673979999046808"/>
    <s v="STRAIN"/>
    <n v="3.2624962586052082E-2"/>
  </r>
  <r>
    <x v="602"/>
    <n v="130"/>
    <n v="227"/>
    <n v="192"/>
    <n v="6604"/>
    <n v="226"/>
    <n v="6831"/>
    <n v="6378"/>
    <n v="-1.050486045782377E-2"/>
    <s v="No Backlog"/>
    <n v="0.93368467281510759"/>
    <n v="6.5357927097057527"/>
    <n v="28.010540184453227"/>
    <b v="1"/>
    <n v="27"/>
    <n v="0.93703584452241029"/>
    <n v="0.93122206658195328"/>
    <b v="0"/>
    <n v="3.3084467867076563E-2"/>
  </r>
  <r>
    <x v="603"/>
    <n v="84"/>
    <n v="158"/>
    <n v="193"/>
    <n v="6521"/>
    <n v="210"/>
    <n v="6679"/>
    <n v="6311"/>
    <n v="6.9719537315797815E-3"/>
    <s v="Backlog"/>
    <n v="0.9449019314268603"/>
    <n v="6.6143135199880216"/>
    <n v="28.347057942805808"/>
    <b v="0"/>
    <n v="27"/>
    <n v="0.93845003418105932"/>
    <n v="0.9334159514731889"/>
    <s v="STRAIN"/>
    <n v="3.1441832609672107E-2"/>
  </r>
  <r>
    <x v="604"/>
    <n v="115"/>
    <n v="216"/>
    <n v="169"/>
    <n v="6498"/>
    <n v="143"/>
    <n v="6714"/>
    <n v="6355"/>
    <n v="-2.7065302911093627E-2"/>
    <s v="No Backlog"/>
    <n v="0.94652963955913016"/>
    <n v="6.6257074769139113"/>
    <n v="28.395889186773903"/>
    <b v="1"/>
    <n v="28"/>
    <n v="0.9252686982540318"/>
    <n v="0.93764284885872495"/>
    <b v="0"/>
    <n v="2.1298778671432827E-2"/>
  </r>
  <r>
    <x v="605"/>
    <n v="167"/>
    <n v="239"/>
    <n v="166"/>
    <n v="6346"/>
    <n v="163"/>
    <n v="6585"/>
    <n v="6183"/>
    <n v="-2.6686074721009218E-2"/>
    <s v="No Backlog"/>
    <n v="0.93895216400911163"/>
    <n v="6.5726651480637814"/>
    <n v="28.168564920273347"/>
    <b v="1"/>
    <n v="28"/>
    <n v="0.93551020734341717"/>
    <n v="0.94128059328275127"/>
    <b v="0"/>
    <n v="2.4753227031131361E-2"/>
  </r>
  <r>
    <x v="606"/>
    <n v="99"/>
    <n v="190"/>
    <n v="176"/>
    <n v="6214"/>
    <n v="196"/>
    <n v="6404"/>
    <n v="6018"/>
    <n v="2.6586905948820204E-3"/>
    <s v="Backlog"/>
    <n v="0.93972517176764525"/>
    <n v="6.5780762023735164"/>
    <n v="28.191755153029359"/>
    <b v="1"/>
    <n v="28"/>
    <n v="0.93977223415745925"/>
    <n v="0.95416676584017646"/>
    <s v="STRAIN"/>
    <n v="3.0605871330418487E-2"/>
  </r>
  <r>
    <x v="607"/>
    <n v="101"/>
    <n v="162"/>
    <n v="178"/>
    <n v="6239"/>
    <n v="205"/>
    <n v="6401"/>
    <n v="6034"/>
    <n v="-1.325820351342393E-3"/>
    <s v="No Backlog"/>
    <n v="0.94266520856116232"/>
    <n v="6.5986564599281365"/>
    <n v="28.279956256834868"/>
    <b v="0"/>
    <n v="28"/>
    <n v="0.94039805527374298"/>
    <n v="0.95449141754410649"/>
    <b v="0"/>
    <n v="3.2026245899078272E-2"/>
  </r>
  <r>
    <x v="608"/>
    <n v="107"/>
    <n v="215"/>
    <n v="230"/>
    <n v="6193"/>
    <n v="167"/>
    <n v="6408"/>
    <n v="6026"/>
    <n v="-3.8167938931297708E-3"/>
    <s v="No Backlog"/>
    <n v="0.94038701622971288"/>
    <n v="6.58270911360799"/>
    <n v="28.211610486891388"/>
    <b v="0"/>
    <n v="28"/>
    <n v="0.93457323828925598"/>
    <n v="0.94181137168429863"/>
    <b v="0"/>
    <n v="2.6061173533083647E-2"/>
  </r>
  <r>
    <x v="609"/>
    <n v="184"/>
    <n v="314"/>
    <n v="217"/>
    <n v="6127"/>
    <n v="124"/>
    <n v="6441"/>
    <n v="6003"/>
    <n v="-6.8132600366483428E-2"/>
    <s v="No Backlog"/>
    <n v="0.93199813693525846"/>
    <n v="6.5239869585468089"/>
    <n v="27.959944108057755"/>
    <b v="1"/>
    <n v="29"/>
    <n v="0.92696405422738803"/>
    <n v="0.94457745210930399"/>
    <b v="0"/>
    <n v="1.9251668995497594E-2"/>
  </r>
  <r>
    <x v="610"/>
    <n v="209"/>
    <n v="285"/>
    <n v="184"/>
    <n v="5903"/>
    <n v="309"/>
    <n v="6188"/>
    <n v="5594"/>
    <n v="4.4869503038970325E-2"/>
    <s v="Backlog"/>
    <n v="0.90400775694893343"/>
    <n v="6.3280542986425337"/>
    <n v="27.120232708468002"/>
    <b v="1"/>
    <n v="29"/>
    <n v="0.91638190755362658"/>
    <n v="0.93486102133160953"/>
    <s v="STRAIN"/>
    <n v="4.9935358758888174E-2"/>
  </r>
  <r>
    <x v="611"/>
    <n v="81"/>
    <n v="213"/>
    <n v="153"/>
    <n v="6058"/>
    <n v="213"/>
    <n v="6271"/>
    <n v="5845"/>
    <n v="-3.4217279726261761E-3"/>
    <s v="No Backlog"/>
    <n v="0.93206825067772281"/>
    <n v="6.5244777547440593"/>
    <n v="27.962047520331684"/>
    <b v="1"/>
    <n v="29"/>
    <n v="0.93783863661705691"/>
    <n v="0.94200741089025408"/>
    <b v="0"/>
    <n v="3.3965874661138575E-2"/>
  </r>
  <r>
    <x v="612"/>
    <n v="91"/>
    <n v="199"/>
    <n v="172"/>
    <n v="5999"/>
    <n v="174"/>
    <n v="6198"/>
    <n v="5825"/>
    <n v="-1.0815450643776824E-2"/>
    <s v="No Backlog"/>
    <n v="0.93981929654727336"/>
    <n v="6.5787350758309131"/>
    <n v="28.1945788964182"/>
    <b v="1"/>
    <n v="29"/>
    <n v="0.95421382822999057"/>
    <n v="0.93824866434767462"/>
    <b v="0"/>
    <n v="2.8073572120038724E-2"/>
  </r>
  <r>
    <x v="613"/>
    <n v="154"/>
    <n v="225"/>
    <n v="220"/>
    <n v="5917"/>
    <n v="155"/>
    <n v="6142"/>
    <n v="5762"/>
    <n v="-2.0305449496702533E-2"/>
    <s v="No Backlog"/>
    <n v="0.93813090198632365"/>
    <n v="6.5669163139042652"/>
    <n v="28.143927059589711"/>
    <b v="1"/>
    <n v="29"/>
    <n v="0.95222426425668716"/>
    <n v="0.93511483370921122"/>
    <b v="0"/>
    <n v="2.5236079452946925E-2"/>
  </r>
  <r>
    <x v="614"/>
    <n v="186"/>
    <n v="259"/>
    <n v="172"/>
    <n v="5819"/>
    <n v="174"/>
    <n v="6078"/>
    <n v="5645"/>
    <n v="-2.5155004428697964E-2"/>
    <s v="No Backlog"/>
    <n v="0.92875946034879897"/>
    <n v="6.5013162224415932"/>
    <n v="27.86278381046397"/>
    <b v="1"/>
    <n v="30"/>
    <n v="0.93599759374384162"/>
    <n v="0.93653924860931292"/>
    <b v="0"/>
    <n v="2.8627838104639685E-2"/>
  </r>
  <r>
    <x v="615"/>
    <n v="92"/>
    <n v="203"/>
    <n v="173"/>
    <n v="5766"/>
    <n v="263"/>
    <n v="5969"/>
    <n v="5503"/>
    <n v="4.4702889333091043E-2"/>
    <s v="Backlog"/>
    <n v="0.9219299715195175"/>
    <n v="6.4535098006366223"/>
    <n v="27.657899145585525"/>
    <b v="1"/>
    <n v="30"/>
    <n v="0.93954336940143346"/>
    <n v="0.93751806175493368"/>
    <s v="STRAIN"/>
    <n v="4.4060981738984754E-2"/>
  </r>
  <r>
    <x v="616"/>
    <n v="124"/>
    <n v="234"/>
    <n v="161"/>
    <n v="5956"/>
    <n v="207"/>
    <n v="6190"/>
    <n v="5749"/>
    <n v="4.1746390676639412E-3"/>
    <s v="Backlog"/>
    <n v="0.92875605815831985"/>
    <n v="6.501292407108239"/>
    <n v="27.862681744749594"/>
    <b v="1"/>
    <n v="30"/>
    <n v="0.9472351719363028"/>
    <n v="0.94205525381520827"/>
    <s v="STRAIN"/>
    <n v="3.3441033925686592E-2"/>
  </r>
  <r>
    <x v="617"/>
    <n v="93"/>
    <n v="196"/>
    <n v="169"/>
    <n v="5922"/>
    <n v="149"/>
    <n v="6118"/>
    <n v="5773"/>
    <n v="-5.1966048848085919E-4"/>
    <s v="No Backlog"/>
    <n v="0.94360902255639101"/>
    <n v="6.6052631578947372"/>
    <n v="28.30827067669173"/>
    <b v="1"/>
    <n v="30"/>
    <n v="0.94777779682958818"/>
    <n v="0.94214094864677467"/>
    <b v="0"/>
    <n v="2.4354364171297809E-2"/>
  </r>
  <r>
    <x v="618"/>
    <n v="33"/>
    <n v="53"/>
    <n v="34"/>
    <n v="5904"/>
    <n v="134"/>
    <n v="5957"/>
    <n v="5770"/>
    <n v="-4.0381282495667248E-2"/>
    <s v="No Backlog"/>
    <n v="0.96860835991270777"/>
    <n v="6.7802585193889549"/>
    <n v="29.058250797381234"/>
    <b v="1"/>
    <n v="31"/>
    <n v="0.95264319603039183"/>
    <n v="0.95825957239000714"/>
    <b v="0"/>
    <n v="2.2494544233674668E-2"/>
  </r>
  <r>
    <x v="619"/>
    <n v="29"/>
    <n v="51"/>
    <n v="11"/>
    <n v="5679"/>
    <n v="142"/>
    <n v="5730"/>
    <n v="5537"/>
    <n v="4.1358136174823909E-2"/>
    <s v="Backlog"/>
    <n v="0.96631762652705067"/>
    <n v="6.7642233856893546"/>
    <n v="28.98952879581152"/>
    <b v="1"/>
    <n v="31"/>
    <n v="0.94920819597957473"/>
    <n v="0.96283076055078176"/>
    <s v="STRAIN"/>
    <n v="2.4781849912739965E-2"/>
  </r>
  <r>
    <x v="620"/>
    <n v="91"/>
    <n v="75"/>
    <n v="97"/>
    <n v="6038"/>
    <n v="272"/>
    <n v="6113"/>
    <n v="5766"/>
    <n v="2.2892819979188347E-2"/>
    <s v="Backlog"/>
    <n v="0.94323572713888437"/>
    <n v="6.6026500899721903"/>
    <n v="28.297071814166532"/>
    <b v="0"/>
    <n v="31"/>
    <n v="0.94377738200435568"/>
    <n v="0.95401371151445558"/>
    <s v="STRAIN"/>
    <n v="4.4495337804678556E-2"/>
  </r>
  <r>
    <x v="621"/>
    <n v="62"/>
    <n v="97"/>
    <n v="52"/>
    <n v="6065"/>
    <n v="167"/>
    <n v="6162"/>
    <n v="5898"/>
    <n v="2.8823329942353339E-3"/>
    <s v="Backlog"/>
    <n v="0.95715676728334953"/>
    <n v="6.700097370983447"/>
    <n v="28.714703018500487"/>
    <b v="1"/>
    <n v="31"/>
    <n v="0.95513145963684964"/>
    <n v="0.95965831561446391"/>
    <s v="STRAIN"/>
    <n v="2.7101590392729632E-2"/>
  </r>
  <r>
    <x v="622"/>
    <n v="59"/>
    <n v="64"/>
    <n v="117"/>
    <n v="6061"/>
    <n v="146"/>
    <n v="6125"/>
    <n v="5915"/>
    <n v="-1.2003381234150465E-2"/>
    <s v="No Backlog"/>
    <n v="0.96571428571428575"/>
    <n v="6.76"/>
    <n v="28.971428571428572"/>
    <b v="0"/>
    <n v="31"/>
    <n v="0.96053436759319122"/>
    <n v="0.95129132057075361"/>
    <b v="0"/>
    <n v="2.3836734693877551E-2"/>
  </r>
  <r>
    <x v="623"/>
    <n v="84"/>
    <n v="118"/>
    <n v="136"/>
    <n v="6021"/>
    <n v="177"/>
    <n v="6139"/>
    <n v="5844"/>
    <n v="-1.2833675564681724E-2"/>
    <s v="No Backlog"/>
    <n v="0.95194657110278547"/>
    <n v="6.6636259977194978"/>
    <n v="28.558397133083563"/>
    <b v="0"/>
    <n v="32"/>
    <n v="0.94630972291997195"/>
    <n v="0.953733923165482"/>
    <b v="0"/>
    <n v="2.8832057338328717E-2"/>
  </r>
  <r>
    <x v="624"/>
    <n v="86"/>
    <n v="152"/>
    <n v="168"/>
    <n v="6007"/>
    <n v="238"/>
    <n v="6159"/>
    <n v="5769"/>
    <n v="7.3149592650372686E-2"/>
    <s v="Backlog"/>
    <n v="0.93667803214807599"/>
    <n v="6.556746225036532"/>
    <n v="28.100340964442278"/>
    <b v="0"/>
    <n v="32"/>
    <n v="0.94229440850769131"/>
    <n v="0.94847652562331231"/>
    <s v="STRAIN"/>
    <n v="3.864263679168696E-2"/>
  </r>
  <r>
    <x v="625"/>
    <n v="106"/>
    <n v="196"/>
    <n v="131"/>
    <n v="6446"/>
    <n v="255"/>
    <n v="6642"/>
    <n v="6191"/>
    <n v="1.3568082700694557E-2"/>
    <s v="Backlog"/>
    <n v="0.9320987654320988"/>
    <n v="6.5246913580246915"/>
    <n v="27.962962962962965"/>
    <b v="1"/>
    <n v="32"/>
    <n v="0.94572133000330583"/>
    <n v="0.94131175153164159"/>
    <s v="STRAIN"/>
    <n v="3.8392050587172537E-2"/>
  </r>
  <r>
    <x v="626"/>
    <n v="113"/>
    <n v="162"/>
    <n v="107"/>
    <n v="6483"/>
    <n v="208"/>
    <n v="6645"/>
    <n v="6275"/>
    <n v="7.3306772908366532E-3"/>
    <s v="Backlog"/>
    <n v="0.94431903686982699"/>
    <n v="6.6102332580887886"/>
    <n v="28.329571106094811"/>
    <b v="1"/>
    <n v="32"/>
    <n v="0.95455536637992688"/>
    <n v="0.94008097916527866"/>
    <s v="STRAIN"/>
    <n v="3.1301730624529719E-2"/>
  </r>
  <r>
    <x v="627"/>
    <n v="92"/>
    <n v="124"/>
    <n v="93"/>
    <n v="6508"/>
    <n v="187"/>
    <n v="6632"/>
    <n v="6321"/>
    <n v="2.0566366081316246E-3"/>
    <s v="Backlog"/>
    <n v="0.95310615199034987"/>
    <n v="6.6717430639324489"/>
    <n v="28.593184559710497"/>
    <b v="1"/>
    <n v="32"/>
    <n v="0.95763300796796402"/>
    <n v="0.94904027934557045"/>
    <s v="STRAIN"/>
    <n v="2.8196622436670687E-2"/>
  </r>
  <r>
    <x v="628"/>
    <n v="68"/>
    <n v="107"/>
    <n v="102"/>
    <n v="6523"/>
    <n v="189"/>
    <n v="6630"/>
    <n v="6334"/>
    <n v="-1.1209346384591095E-2"/>
    <s v="No Backlog"/>
    <n v="0.95535444947209658"/>
    <n v="6.6874811463046759"/>
    <n v="28.660633484162897"/>
    <b v="1"/>
    <n v="33"/>
    <n v="0.94611140244965908"/>
    <n v="0.95081890381061018"/>
    <b v="0"/>
    <n v="2.8506787330316741E-2"/>
  </r>
  <r>
    <x v="629"/>
    <n v="74"/>
    <n v="103"/>
    <n v="80"/>
    <n v="6555"/>
    <n v="292"/>
    <n v="6658"/>
    <n v="6263"/>
    <n v="7.2169886635797542E-2"/>
    <s v="Backlog"/>
    <n v="0.94067287473715833"/>
    <n v="6.5847101231601082"/>
    <n v="28.22018624211475"/>
    <b v="1"/>
    <n v="33"/>
    <n v="0.94809707498266838"/>
    <n v="0.93788938914866027"/>
    <s v="STRAIN"/>
    <n v="4.3857014118353861E-2"/>
  </r>
  <r>
    <x v="630"/>
    <n v="56"/>
    <n v="82"/>
    <n v="68"/>
    <n v="7002"/>
    <n v="287"/>
    <n v="7084"/>
    <n v="6715"/>
    <n v="1.9061801935964261E-2"/>
    <s v="Backlog"/>
    <n v="0.94791078486730662"/>
    <n v="6.6353754940711465"/>
    <n v="28.437323546019197"/>
    <b v="1"/>
    <n v="33"/>
    <n v="0.95409290198292762"/>
    <n v="0.94175009068520432"/>
    <s v="STRAIN"/>
    <n v="4.0513833992094864E-2"/>
  </r>
  <r>
    <x v="631"/>
    <n v="38"/>
    <n v="80"/>
    <n v="82"/>
    <n v="7053"/>
    <n v="210"/>
    <n v="7133"/>
    <n v="6843"/>
    <n v="5.1147157679380393E-3"/>
    <s v="Backlog"/>
    <n v="0.95934389457451286"/>
    <n v="6.7154072620215901"/>
    <n v="28.780316837235386"/>
    <b v="0"/>
    <n v="33"/>
    <n v="0.95493431610284862"/>
    <n v="0.94846505073553233"/>
    <s v="STRAIN"/>
    <n v="2.9440628066732092E-2"/>
  </r>
  <r>
    <x v="632"/>
    <n v="65"/>
    <n v="83"/>
    <n v="65"/>
    <n v="7046"/>
    <n v="168"/>
    <n v="7129"/>
    <n v="6878"/>
    <n v="-1.2939808083745275E-2"/>
    <s v="No Backlog"/>
    <n v="0.96479169589002667"/>
    <n v="6.7535418712301869"/>
    <n v="28.9437508767008"/>
    <b v="1"/>
    <n v="33"/>
    <n v="0.95031730867537845"/>
    <n v="0.938142215184115"/>
    <b v="0"/>
    <n v="2.3565717491934354E-2"/>
  </r>
  <r>
    <x v="633"/>
    <n v="41"/>
    <n v="60"/>
    <n v="71"/>
    <n v="6996"/>
    <n v="207"/>
    <n v="7056"/>
    <n v="6789"/>
    <n v="5.1406687288260422E-2"/>
    <s v="Backlog"/>
    <n v="0.96215986394557829"/>
    <n v="6.7351190476190483"/>
    <n v="28.864795918367349"/>
    <b v="0"/>
    <n v="34"/>
    <n v="0.95356713532318471"/>
    <n v="0.94823362369708097"/>
    <s v="STRAIN"/>
    <n v="2.9336734693877552E-2"/>
  </r>
  <r>
    <x v="634"/>
    <n v="43"/>
    <n v="73"/>
    <n v="64"/>
    <n v="7546"/>
    <n v="408"/>
    <n v="7619"/>
    <n v="7138"/>
    <n v="4.132810311011488E-2"/>
    <s v="Backlog"/>
    <n v="0.93686835542722147"/>
    <n v="6.5580784879905503"/>
    <n v="28.106050662816642"/>
    <b v="1"/>
    <n v="34"/>
    <n v="0.94157585678817268"/>
    <n v="0.93702996057588073"/>
    <s v="STRAIN"/>
    <n v="5.3550334689591812E-2"/>
  </r>
  <r>
    <x v="635"/>
    <n v="35"/>
    <n v="70"/>
    <n v="53"/>
    <n v="7709"/>
    <n v="276"/>
    <n v="7779"/>
    <n v="7433"/>
    <n v="1.4664334723530204E-2"/>
    <s v="Backlog"/>
    <n v="0.95552127522817842"/>
    <n v="6.6886489265972493"/>
    <n v="28.665638256845352"/>
    <b v="1"/>
    <n v="34"/>
    <n v="0.94531358939417032"/>
    <n v="0.94689435395970145"/>
    <s v="STRAIN"/>
    <n v="3.5480138835325879E-2"/>
  </r>
  <r>
    <x v="636"/>
    <n v="25"/>
    <n v="66"/>
    <n v="94"/>
    <n v="7788"/>
    <n v="246"/>
    <n v="7854"/>
    <n v="7542"/>
    <n v="8.7509944311853615E-3"/>
    <s v="Backlog"/>
    <n v="0.96027501909854851"/>
    <n v="6.7219251336898393"/>
    <n v="28.808250572956457"/>
    <b v="0"/>
    <n v="34"/>
    <n v="0.94793220780082532"/>
    <n v="0.93978384824798211"/>
    <s v="STRAIN"/>
    <n v="3.1321619556913677E-2"/>
  </r>
  <r>
    <x v="637"/>
    <n v="99"/>
    <n v="156"/>
    <n v="139"/>
    <n v="7848"/>
    <n v="240"/>
    <n v="8004"/>
    <n v="7608"/>
    <n v="-1.6430073606729757E-2"/>
    <s v="No Backlog"/>
    <n v="0.95052473763118439"/>
    <n v="6.6536731634182908"/>
    <n v="28.515742128935532"/>
    <b v="1"/>
    <n v="34"/>
    <n v="0.9440554722638681"/>
    <n v="0.94291690823835017"/>
    <b v="0"/>
    <n v="2.9985007496251874E-2"/>
  </r>
  <r>
    <x v="638"/>
    <n v="107"/>
    <n v="170"/>
    <n v="133"/>
    <n v="7826"/>
    <n v="343"/>
    <n v="7996"/>
    <n v="7483"/>
    <n v="8.552719497527729E-2"/>
    <s v="Backlog"/>
    <n v="0.93584292146073034"/>
    <n v="6.5509004502251127"/>
    <n v="28.075287643821909"/>
    <b v="1"/>
    <n v="35"/>
    <n v="0.92366782796946689"/>
    <n v="0.93369379152422627"/>
    <s v="STRAIN"/>
    <n v="4.2896448224112059E-2"/>
  </r>
  <r>
    <x v="639"/>
    <n v="80"/>
    <n v="122"/>
    <n v="152"/>
    <n v="8474"/>
    <n v="351"/>
    <n v="8596"/>
    <n v="8123"/>
    <n v="1.7111904468792318E-2"/>
    <s v="Backlog"/>
    <n v="0.94497440670079103"/>
    <n v="6.6148208469055376"/>
    <n v="28.349232201023732"/>
    <b v="0"/>
    <n v="35"/>
    <n v="0.93964089507468729"/>
    <n v="0.9406943302991706"/>
    <s v="STRAIN"/>
    <n v="4.0832945556072593E-2"/>
  </r>
  <r>
    <x v="640"/>
    <n v="57"/>
    <n v="162"/>
    <n v="193"/>
    <n v="8569"/>
    <n v="307"/>
    <n v="8731"/>
    <n v="8262"/>
    <n v="4.5993706124425075E-3"/>
    <s v="Backlog"/>
    <n v="0.94628335814912379"/>
    <n v="6.6239835070438664"/>
    <n v="28.388500744473713"/>
    <b v="0"/>
    <n v="35"/>
    <n v="0.94173746193683194"/>
    <n v="0.94180297122853029"/>
    <s v="STRAIN"/>
    <n v="3.516206620089337E-2"/>
  </r>
  <r>
    <x v="641"/>
    <n v="161"/>
    <n v="304"/>
    <n v="211"/>
    <n v="8572"/>
    <n v="272"/>
    <n v="8876"/>
    <n v="8300"/>
    <n v="-7.2289156626506026E-4"/>
    <s v="No Backlog"/>
    <n v="0.93510590356016221"/>
    <n v="6.5457413249211358"/>
    <n v="28.053177106804867"/>
    <b v="1"/>
    <n v="35"/>
    <n v="0.93668666812569334"/>
    <n v="0.93637203264104674"/>
    <b v="0"/>
    <n v="3.064443442992339E-2"/>
  </r>
  <r>
    <x v="642"/>
    <n v="205"/>
    <n v="294"/>
    <n v="177"/>
    <n v="8571"/>
    <n v="277"/>
    <n v="8865"/>
    <n v="8294"/>
    <n v="-1.6517964793826861E-2"/>
    <s v="No Backlog"/>
    <n v="0.93558939650310213"/>
    <n v="6.5491257755217145"/>
    <n v="28.067681895093063"/>
    <b v="1"/>
    <n v="35"/>
    <n v="0.92744103695025881"/>
    <n v="0.93267268924894497"/>
    <b v="0"/>
    <n v="3.1246474901297238E-2"/>
  </r>
  <r>
    <x v="643"/>
    <n v="100"/>
    <n v="255"/>
    <n v="236"/>
    <n v="8445"/>
    <n v="288"/>
    <n v="8700"/>
    <n v="8157"/>
    <n v="1.5079073188672305E-2"/>
    <s v="Backlog"/>
    <n v="0.9375862068965517"/>
    <n v="6.5631034482758617"/>
    <n v="28.127586206896552"/>
    <b v="1"/>
    <n v="36"/>
    <n v="0.93644764287103377"/>
    <n v="0.93883615534973486"/>
    <s v="STRAIN"/>
    <n v="3.310344827586207E-2"/>
  </r>
  <r>
    <x v="644"/>
    <n v="269"/>
    <n v="412"/>
    <n v="204"/>
    <n v="8672"/>
    <n v="392"/>
    <n v="9084"/>
    <n v="8280"/>
    <n v="1.1714975845410628E-2"/>
    <s v="Backlog"/>
    <n v="0.91149273447820345"/>
    <n v="6.380449141347424"/>
    <n v="27.344782034346103"/>
    <b v="1"/>
    <n v="36"/>
    <n v="0.92151869803296282"/>
    <n v="0.9295550249328085"/>
    <s v="STRAIN"/>
    <n v="4.3152796125055043E-2"/>
  </r>
  <r>
    <x v="645"/>
    <n v="168"/>
    <n v="285"/>
    <n v="210"/>
    <n v="8681"/>
    <n v="304"/>
    <n v="8966"/>
    <n v="8377"/>
    <n v="-2.5068640324698581E-3"/>
    <s v="No Backlog"/>
    <n v="0.93430738344858355"/>
    <n v="6.5401516841400849"/>
    <n v="28.029221503457507"/>
    <b v="1"/>
    <n v="36"/>
    <n v="0.93536081867306686"/>
    <n v="0.93374241926551749"/>
    <b v="0"/>
    <n v="3.3905866607182693E-2"/>
  </r>
  <r>
    <x v="646"/>
    <n v="187"/>
    <n v="310"/>
    <n v="247"/>
    <n v="8606"/>
    <n v="250"/>
    <n v="8916"/>
    <n v="8356"/>
    <n v="-3.2312111057922451E-3"/>
    <s v="No Backlog"/>
    <n v="0.9371915657245401"/>
    <n v="6.5603409600717804"/>
    <n v="28.115746971736204"/>
    <b v="1"/>
    <n v="36"/>
    <n v="0.93725707501623856"/>
    <n v="0.93211619102553533"/>
    <b v="0"/>
    <n v="2.8039479587258862E-2"/>
  </r>
  <r>
    <x v="647"/>
    <n v="133"/>
    <n v="287"/>
    <n v="189"/>
    <n v="8590"/>
    <n v="261"/>
    <n v="8877"/>
    <n v="8329"/>
    <n v="-2.6293672709809101E-2"/>
    <s v="No Backlog"/>
    <n v="0.93826743269122448"/>
    <n v="6.567872028838571"/>
    <n v="28.148022980736734"/>
    <b v="1"/>
    <n v="37"/>
    <n v="0.93795279720657798"/>
    <n v="0.93052367773557365"/>
    <b v="0"/>
    <n v="2.9401824940858398E-2"/>
  </r>
  <r>
    <x v="648"/>
    <n v="180"/>
    <n v="337"/>
    <n v="219"/>
    <n v="8485"/>
    <n v="375"/>
    <n v="8822"/>
    <n v="8110"/>
    <n v="4.2909987669543771E-2"/>
    <s v="Backlog"/>
    <n v="0.9192926773974156"/>
    <n v="6.4350487417819089"/>
    <n v="27.578780321922469"/>
    <b v="1"/>
    <n v="37"/>
    <n v="0.92452432969610177"/>
    <n v="0.92106029700506542"/>
    <s v="STRAIN"/>
    <n v="4.2507367943776922E-2"/>
  </r>
  <r>
    <x v="649"/>
    <n v="153"/>
    <n v="253"/>
    <n v="286"/>
    <n v="8790"/>
    <n v="332"/>
    <n v="9043"/>
    <n v="8458"/>
    <n v="-2.4828564672499409E-3"/>
    <s v="No Backlog"/>
    <n v="0.93530907884551584"/>
    <n v="6.5471635519186107"/>
    <n v="28.059272365365477"/>
    <b v="0"/>
    <n v="37"/>
    <n v="0.93769759132421693"/>
    <n v="0.93457399548970355"/>
    <b v="0"/>
    <n v="3.6713480039809801E-2"/>
  </r>
  <r>
    <x v="650"/>
    <n v="209"/>
    <n v="353"/>
    <n v="232"/>
    <n v="8704"/>
    <n v="267"/>
    <n v="9057"/>
    <n v="8437"/>
    <n v="-3.3187151831219628E-3"/>
    <s v="No Backlog"/>
    <n v="0.9315446615877222"/>
    <n v="6.5208126311140555"/>
    <n v="27.946339847631666"/>
    <b v="1"/>
    <n v="37"/>
    <n v="0.93958098848756788"/>
    <n v="0.93010945944194379"/>
    <b v="0"/>
    <n v="2.9479960251738987E-2"/>
  </r>
  <r>
    <x v="651"/>
    <n v="167"/>
    <n v="326"/>
    <n v="213"/>
    <n v="8654"/>
    <n v="245"/>
    <n v="8980"/>
    <n v="8409"/>
    <n v="-1.831371149958378E-2"/>
    <s v="No Backlog"/>
    <n v="0.93641425389755006"/>
    <n v="6.5548997772828503"/>
    <n v="28.092427616926503"/>
    <b v="1"/>
    <n v="37"/>
    <n v="0.9347958544900008"/>
    <n v="0.93199415552766052"/>
    <b v="0"/>
    <n v="2.7282850779510023E-2"/>
  </r>
  <r>
    <x v="652"/>
    <n v="224"/>
    <n v="315"/>
    <n v="152"/>
    <n v="8492"/>
    <n v="237"/>
    <n v="8807"/>
    <n v="8255"/>
    <n v="-2.3743185947910358E-2"/>
    <s v="No Backlog"/>
    <n v="0.93732258430793691"/>
    <n v="6.5612580901555582"/>
    <n v="28.119677529238107"/>
    <b v="1"/>
    <n v="38"/>
    <n v="0.93218170031723369"/>
    <n v="0.93220230851056729"/>
    <b v="0"/>
    <n v="2.69104121721358E-2"/>
  </r>
  <r>
    <x v="653"/>
    <n v="132"/>
    <n v="243"/>
    <n v="183"/>
    <n v="8352"/>
    <n v="293"/>
    <n v="8595"/>
    <n v="8059"/>
    <n v="-2.6057823551309096E-2"/>
    <s v="No Backlog"/>
    <n v="0.93763816172193137"/>
    <n v="6.5634671320535194"/>
    <n v="28.129144851657941"/>
    <b v="1"/>
    <n v="38"/>
    <n v="0.93020904225092704"/>
    <n v="0.93821819065325052"/>
    <b v="0"/>
    <n v="3.4089586969168119E-2"/>
  </r>
  <r>
    <x v="654"/>
    <n v="218"/>
    <n v="283"/>
    <n v="208"/>
    <n v="8159"/>
    <n v="310"/>
    <n v="8442"/>
    <n v="7849"/>
    <n v="1.5288571792585043E-3"/>
    <s v="Backlog"/>
    <n v="0.92975598199478793"/>
    <n v="6.5082918739635156"/>
    <n v="27.892679459843638"/>
    <b v="1"/>
    <n v="38"/>
    <n v="0.92629194930375158"/>
    <n v="0.94052674268845293"/>
    <s v="STRAIN"/>
    <n v="3.6721156124141202E-2"/>
  </r>
  <r>
    <x v="655"/>
    <n v="118"/>
    <n v="245"/>
    <n v="160"/>
    <n v="8117"/>
    <n v="256"/>
    <n v="8362"/>
    <n v="7861"/>
    <n v="-5.851672815163465E-3"/>
    <s v="No Backlog"/>
    <n v="0.94008610380291802"/>
    <n v="6.5806027266204259"/>
    <n v="28.202583114087542"/>
    <b v="1"/>
    <n v="38"/>
    <n v="0.93696250796840463"/>
    <n v="0.94089870017646215"/>
    <b v="0"/>
    <n v="3.0614685481942121E-2"/>
  </r>
  <r>
    <x v="656"/>
    <n v="81"/>
    <n v="230"/>
    <n v="242"/>
    <n v="8017"/>
    <n v="202"/>
    <n v="8247"/>
    <n v="7815"/>
    <n v="-2.9686500319897634E-2"/>
    <s v="No Backlog"/>
    <n v="0.94761731538741356"/>
    <n v="6.6333212077118953"/>
    <n v="28.428519461622408"/>
    <b v="0"/>
    <n v="38"/>
    <n v="0.93814578634178947"/>
    <n v="0.94057807816226413"/>
    <b v="0"/>
    <n v="2.449375530495938E-2"/>
  </r>
  <r>
    <x v="657"/>
    <n v="236"/>
    <n v="330"/>
    <n v="222"/>
    <n v="7796"/>
    <n v="213"/>
    <n v="8126"/>
    <n v="7583"/>
    <n v="-4.1540287485164182E-2"/>
    <s v="No Backlog"/>
    <n v="0.93317745508245142"/>
    <n v="6.53224218557716"/>
    <n v="27.995323652473544"/>
    <b v="1"/>
    <n v="39"/>
    <n v="0.93037575612011125"/>
    <n v="0.93663755450323594"/>
    <b v="0"/>
    <n v="2.621215850356879E-2"/>
  </r>
  <r>
    <x v="658"/>
    <n v="196"/>
    <n v="306"/>
    <n v="187"/>
    <n v="7534"/>
    <n v="266"/>
    <n v="7840"/>
    <n v="7268"/>
    <n v="-1.3483764446890478E-2"/>
    <s v="No Backlog"/>
    <n v="0.92704081632653057"/>
    <n v="6.4892857142857139"/>
    <n v="27.811224489795919"/>
    <b v="1"/>
    <n v="39"/>
    <n v="0.92706142451986406"/>
    <n v="0.93353228464782578"/>
    <b v="0"/>
    <n v="3.3928571428571426E-2"/>
  </r>
  <r>
    <x v="659"/>
    <n v="113"/>
    <n v="280"/>
    <n v="237"/>
    <n v="7490"/>
    <n v="320"/>
    <n v="7770"/>
    <n v="7170"/>
    <n v="-5.9972105997210604E-3"/>
    <s v="No Backlog"/>
    <n v="0.92277992277992282"/>
    <n v="6.4594594594594597"/>
    <n v="27.683397683397686"/>
    <b v="1"/>
    <n v="39"/>
    <n v="0.9307890711822463"/>
    <n v="0.93164167763710104"/>
    <b v="0"/>
    <n v="4.1184041184041183E-2"/>
  </r>
  <r>
    <x v="660"/>
    <n v="239"/>
    <n v="367"/>
    <n v="224"/>
    <n v="7356"/>
    <n v="229"/>
    <n v="7723"/>
    <n v="7127"/>
    <n v="2.1046723726673216E-3"/>
    <s v="Backlog"/>
    <n v="0.92282791661271524"/>
    <n v="6.4597954162890066"/>
    <n v="27.684837498381459"/>
    <b v="1"/>
    <n v="39"/>
    <n v="0.93706270999741648"/>
    <n v="0.93559923842353077"/>
    <s v="STRAIN"/>
    <n v="2.9651689757866116E-2"/>
  </r>
  <r>
    <x v="661"/>
    <n v="152"/>
    <n v="272"/>
    <n v="214"/>
    <n v="7376"/>
    <n v="234"/>
    <n v="7648"/>
    <n v="7142"/>
    <n v="-6.4407728927471297E-3"/>
    <s v="No Backlog"/>
    <n v="0.93383891213389125"/>
    <n v="6.5368723849372383"/>
    <n v="28.015167364016737"/>
    <b v="1"/>
    <n v="39"/>
    <n v="0.93777510434194866"/>
    <n v="0.93428826161911904"/>
    <b v="0"/>
    <n v="3.0596234309623431E-2"/>
  </r>
  <r>
    <x v="662"/>
    <n v="170"/>
    <n v="297"/>
    <n v="196"/>
    <n v="7344"/>
    <n v="248"/>
    <n v="7641"/>
    <n v="7096"/>
    <n v="1.6910935738444193E-3"/>
    <s v="Backlog"/>
    <n v="0.92867425729616537"/>
    <n v="6.5007198010731573"/>
    <n v="27.860227718884961"/>
    <b v="1"/>
    <n v="40"/>
    <n v="0.93110654911664004"/>
    <n v="0.92779089617838939"/>
    <s v="STRAIN"/>
    <n v="3.2456484753304544E-2"/>
  </r>
  <r>
    <x v="663"/>
    <n v="191"/>
    <n v="283"/>
    <n v="192"/>
    <n v="7380"/>
    <n v="272"/>
    <n v="7663"/>
    <n v="7108"/>
    <n v="4.4597636465953855E-2"/>
    <s v="Backlog"/>
    <n v="0.92757405715777108"/>
    <n v="6.4930184001043978"/>
    <n v="27.827221714733131"/>
    <b v="1"/>
    <n v="40"/>
    <n v="0.93383585554089577"/>
    <n v="0.9335019226993162"/>
    <s v="STRAIN"/>
    <n v="3.5495236852407672E-2"/>
  </r>
  <r>
    <x v="664"/>
    <n v="109"/>
    <n v="214"/>
    <n v="173"/>
    <n v="7795"/>
    <n v="370"/>
    <n v="8009"/>
    <n v="7425"/>
    <n v="2.2626262626262626E-2"/>
    <s v="Backlog"/>
    <n v="0.92708203271319767"/>
    <n v="6.4895742289923835"/>
    <n v="27.81246098139593"/>
    <b v="1"/>
    <n v="40"/>
    <n v="0.93355289284115939"/>
    <n v="0.93747924029482277"/>
    <s v="STRAIN"/>
    <n v="4.6198027219378199E-2"/>
  </r>
  <r>
    <x v="665"/>
    <n v="155"/>
    <n v="212"/>
    <n v="181"/>
    <n v="7876"/>
    <n v="283"/>
    <n v="8088"/>
    <n v="7593"/>
    <n v="1.8701435532727514E-2"/>
    <s v="Backlog"/>
    <n v="0.93879821958456977"/>
    <n v="6.5715875370919887"/>
    <n v="28.163946587537094"/>
    <b v="1"/>
    <n v="40"/>
    <n v="0.93965082603942451"/>
    <n v="0.94453689301335042"/>
    <s v="STRAIN"/>
    <n v="3.4990108803165186E-2"/>
  </r>
  <r>
    <x v="666"/>
    <n v="119"/>
    <n v="209"/>
    <n v="152"/>
    <n v="7922"/>
    <n v="187"/>
    <n v="8131"/>
    <n v="7735"/>
    <n v="-2.2495151906916613E-2"/>
    <s v="No Backlog"/>
    <n v="0.95129750338211783"/>
    <n v="6.659082523674825"/>
    <n v="28.538925101463533"/>
    <b v="1"/>
    <n v="40"/>
    <n v="0.94983403180823212"/>
    <n v="0.9387032432269542"/>
    <b v="0"/>
    <n v="2.2998401180666584E-2"/>
  </r>
  <r>
    <x v="667"/>
    <n v="143"/>
    <n v="203"/>
    <n v="163"/>
    <n v="7826"/>
    <n v="265"/>
    <n v="8029"/>
    <n v="7561"/>
    <n v="1.3225763787858748E-3"/>
    <s v="Backlog"/>
    <n v="0.94171129655000618"/>
    <n v="6.5919790758500429"/>
    <n v="28.251338896500187"/>
    <b v="1"/>
    <n v="41"/>
    <n v="0.93822445382717645"/>
    <n v="0.93462981872141038"/>
    <s v="STRAIN"/>
    <n v="3.3005355586000748E-2"/>
  </r>
  <r>
    <x v="668"/>
    <n v="105"/>
    <n v="210"/>
    <n v="149"/>
    <n v="7900"/>
    <n v="329"/>
    <n v="8110"/>
    <n v="7571"/>
    <n v="4.2662792233522651E-2"/>
    <s v="Backlog"/>
    <n v="0.9335388409371147"/>
    <n v="6.5347718865598026"/>
    <n v="28.006165228113442"/>
    <b v="1"/>
    <n v="41"/>
    <n v="0.93022318799886405"/>
    <n v="0.93554181120177926"/>
    <s v="STRAIN"/>
    <n v="4.05672009864365E-2"/>
  </r>
  <r>
    <x v="669"/>
    <n v="119"/>
    <n v="219"/>
    <n v="210"/>
    <n v="8178"/>
    <n v="284"/>
    <n v="8397"/>
    <n v="7894"/>
    <n v="2.6602482898403852E-3"/>
    <s v="Backlog"/>
    <n v="0.94009765392402045"/>
    <n v="6.5806835774681431"/>
    <n v="28.202929617720613"/>
    <b v="1"/>
    <n v="41"/>
    <n v="0.93976372108244077"/>
    <n v="0.94042854337633375"/>
    <s v="STRAIN"/>
    <n v="3.3821602953435753E-2"/>
  </r>
  <r>
    <x v="670"/>
    <n v="148"/>
    <n v="245"/>
    <n v="175"/>
    <n v="8175"/>
    <n v="260"/>
    <n v="8420"/>
    <n v="7915"/>
    <n v="-1.3392293114339862E-2"/>
    <s v="No Backlog"/>
    <n v="0.94002375296912111"/>
    <n v="6.580166270783848"/>
    <n v="28.200712589073632"/>
    <b v="1"/>
    <n v="41"/>
    <n v="0.94395010042278449"/>
    <n v="0.93410697595083914"/>
    <b v="0"/>
    <n v="3.0878859857482184E-2"/>
  </r>
  <r>
    <x v="671"/>
    <n v="142"/>
    <n v="235"/>
    <n v="139"/>
    <n v="8068"/>
    <n v="259"/>
    <n v="8303"/>
    <n v="7809"/>
    <n v="-4.9942374183634267E-3"/>
    <s v="No Backlog"/>
    <n v="0.94050343249427915"/>
    <n v="6.583524027459954"/>
    <n v="28.215102974828376"/>
    <b v="1"/>
    <n v="41"/>
    <n v="0.94538949946820505"/>
    <n v="0.93357241559913862"/>
    <b v="0"/>
    <n v="3.1193544501987233E-2"/>
  </r>
  <r>
    <x v="672"/>
    <n v="118"/>
    <n v="139"/>
    <n v="168"/>
    <n v="8054"/>
    <n v="284"/>
    <n v="8193"/>
    <n v="7770"/>
    <n v="-1.1969111969111969E-2"/>
    <s v="No Backlog"/>
    <n v="0.9483705602343464"/>
    <n v="6.6385939216404246"/>
    <n v="28.451116807030392"/>
    <b v="0"/>
    <n v="42"/>
    <n v="0.93723977165306849"/>
    <n v="0.93863079952701722"/>
    <b v="0"/>
    <n v="3.4663737336750884E-2"/>
  </r>
  <r>
    <x v="673"/>
    <n v="125"/>
    <n v="232"/>
    <n v="192"/>
    <n v="7981"/>
    <n v="304"/>
    <n v="8213"/>
    <n v="7677"/>
    <n v="1.5891624332421517E-2"/>
    <s v="Backlog"/>
    <n v="0.93473761110434672"/>
    <n v="6.5431632777304269"/>
    <n v="28.042128333130403"/>
    <b v="1"/>
    <n v="42"/>
    <n v="0.93114297599858054"/>
    <n v="0.93626862116372833"/>
    <s v="STRAIN"/>
    <n v="3.7014489224400343E-2"/>
  </r>
  <r>
    <x v="674"/>
    <n v="156"/>
    <n v="256"/>
    <n v="176"/>
    <n v="8158"/>
    <n v="359"/>
    <n v="8414"/>
    <n v="7799"/>
    <n v="1.820746249519169E-2"/>
    <s v="Backlog"/>
    <n v="0.9269075350606133"/>
    <n v="6.4883527454242929"/>
    <n v="27.8072260518184"/>
    <b v="1"/>
    <n v="42"/>
    <n v="0.9322261582635285"/>
    <n v="0.93519504875711834"/>
    <s v="STRAIN"/>
    <n v="4.2666983598763968E-2"/>
  </r>
  <r>
    <x v="675"/>
    <n v="109"/>
    <n v="245"/>
    <n v="159"/>
    <n v="8208"/>
    <n v="267"/>
    <n v="8453"/>
    <n v="7941"/>
    <n v="-1.0703941569071906E-2"/>
    <s v="No Backlog"/>
    <n v="0.93942978824086121"/>
    <n v="6.5760085176860281"/>
    <n v="28.182893647225836"/>
    <b v="1"/>
    <n v="42"/>
    <n v="0.94009461053475407"/>
    <n v="0.93899795170668177"/>
    <b v="0"/>
    <n v="3.158641902283213E-2"/>
  </r>
  <r>
    <x v="676"/>
    <n v="167"/>
    <n v="209"/>
    <n v="157"/>
    <n v="8079"/>
    <n v="223"/>
    <n v="8288"/>
    <n v="7856"/>
    <n v="-1.2347250509164969E-2"/>
    <s v="No Backlog"/>
    <n v="0.94787644787644787"/>
    <n v="6.6351351351351351"/>
    <n v="28.436293436293436"/>
    <b v="1"/>
    <n v="43"/>
    <n v="0.93803332340450241"/>
    <n v="0.93521935390972688"/>
    <b v="0"/>
    <n v="2.6906370656370655E-2"/>
  </r>
  <r>
    <x v="677"/>
    <n v="84"/>
    <n v="171"/>
    <n v="157"/>
    <n v="7994"/>
    <n v="235"/>
    <n v="8165"/>
    <n v="7759"/>
    <n v="-3.4025003222064698E-2"/>
    <s v="No Backlog"/>
    <n v="0.95027556644213107"/>
    <n v="6.6519289650949176"/>
    <n v="28.508266993263931"/>
    <b v="1"/>
    <n v="43"/>
    <n v="0.93845848257306463"/>
    <n v="0.94430867164315868"/>
    <b v="0"/>
    <n v="2.878138395590937E-2"/>
  </r>
  <r>
    <x v="678"/>
    <n v="87"/>
    <n v="246"/>
    <n v="173"/>
    <n v="7847"/>
    <n v="352"/>
    <n v="8093"/>
    <n v="7495"/>
    <n v="3.6824549699799869E-2"/>
    <s v="Backlog"/>
    <n v="0.92610898307179046"/>
    <n v="6.4827628815025333"/>
    <n v="27.783269492153714"/>
    <b v="1"/>
    <n v="43"/>
    <n v="0.9275000109457392"/>
    <n v="0.93375931006680069"/>
    <s v="STRAIN"/>
    <n v="4.3494377857407639E-2"/>
  </r>
  <r>
    <x v="679"/>
    <n v="136"/>
    <n v="276"/>
    <n v="178"/>
    <n v="8102"/>
    <n v="331"/>
    <n v="8378"/>
    <n v="7771"/>
    <n v="1.0294685368678419E-2"/>
    <s v="Backlog"/>
    <n v="0.92754834089281446"/>
    <n v="6.4928383862497014"/>
    <n v="27.826450226784434"/>
    <b v="1"/>
    <n v="43"/>
    <n v="0.93267398605796226"/>
    <n v="0.92906995901007283"/>
    <s v="STRAIN"/>
    <n v="3.950823585581284E-2"/>
  </r>
  <r>
    <x v="680"/>
    <n v="166"/>
    <n v="277"/>
    <n v="229"/>
    <n v="8097"/>
    <n v="246"/>
    <n v="8374"/>
    <n v="7851"/>
    <n v="-2.8021908037192712E-3"/>
    <s v="No Backlog"/>
    <n v="0.93754478146644371"/>
    <n v="6.5628134702651062"/>
    <n v="28.12634344399331"/>
    <b v="1"/>
    <n v="43"/>
    <n v="0.94051367196003355"/>
    <n v="0.9400260999320349"/>
    <b v="0"/>
    <n v="2.9376641987102936E-2"/>
  </r>
  <r>
    <x v="681"/>
    <n v="110"/>
    <n v="272"/>
    <n v="193"/>
    <n v="8050"/>
    <n v="221"/>
    <n v="8322"/>
    <n v="7829"/>
    <n v="-2.2608251373100012E-2"/>
    <s v="No Backlog"/>
    <n v="0.94075943282864694"/>
    <n v="6.5853160298005289"/>
    <n v="28.222782984859407"/>
    <b v="1"/>
    <n v="44"/>
    <n v="0.93966277400057452"/>
    <n v="0.94473869077329775"/>
    <b v="0"/>
    <n v="2.6556116318192741E-2"/>
  </r>
  <r>
    <x v="682"/>
    <n v="202"/>
    <n v="313"/>
    <n v="158"/>
    <n v="7931"/>
    <n v="279"/>
    <n v="8244"/>
    <n v="7652"/>
    <n v="-9.5399895452169363E-3"/>
    <s v="No Backlog"/>
    <n v="0.92819019893255705"/>
    <n v="6.497331392527899"/>
    <n v="27.845705967976713"/>
    <b v="1"/>
    <n v="44"/>
    <n v="0.92537622943778142"/>
    <n v="0.93380526242187001"/>
    <b v="0"/>
    <n v="3.384279475982533E-2"/>
  </r>
  <r>
    <x v="683"/>
    <n v="134"/>
    <n v="294"/>
    <n v="186"/>
    <n v="7885"/>
    <n v="306"/>
    <n v="8179"/>
    <n v="7579"/>
    <n v="1.3458239873334213E-2"/>
    <s v="Backlog"/>
    <n v="0.92664139870399809"/>
    <n v="6.4864897909279868"/>
    <n v="27.799241961119943"/>
    <b v="1"/>
    <n v="44"/>
    <n v="0.93249158777409225"/>
    <n v="0.93043186745047324"/>
    <s v="STRAIN"/>
    <n v="3.7412886660961001E-2"/>
  </r>
  <r>
    <x v="684"/>
    <n v="180"/>
    <n v="280"/>
    <n v="146"/>
    <n v="7989"/>
    <n v="308"/>
    <n v="8269"/>
    <n v="7681"/>
    <n v="-6.7699518291889074E-3"/>
    <s v="No Backlog"/>
    <n v="0.92889103881968804"/>
    <n v="6.5022372717378163"/>
    <n v="27.866731164590639"/>
    <b v="1"/>
    <n v="44"/>
    <n v="0.93515033794074953"/>
    <n v="0.93051783243609465"/>
    <b v="0"/>
    <n v="3.7247551094449147E-2"/>
  </r>
  <r>
    <x v="685"/>
    <n v="108"/>
    <n v="220"/>
    <n v="213"/>
    <n v="7915"/>
    <n v="286"/>
    <n v="8135"/>
    <n v="7629"/>
    <n v="0"/>
    <s v="No Backlog"/>
    <n v="0.93779963122311005"/>
    <n v="6.5645974185617701"/>
    <n v="28.133988936693303"/>
    <b v="1"/>
    <n v="44"/>
    <n v="0.93419560417522063"/>
    <n v="0.94162043077083735"/>
    <b v="0"/>
    <n v="3.5156730178242161E-2"/>
  </r>
  <r>
    <x v="686"/>
    <n v="147"/>
    <n v="276"/>
    <n v="214"/>
    <n v="7810"/>
    <n v="181"/>
    <n v="8086"/>
    <n v="7629"/>
    <n v="-4.076550006553939E-2"/>
    <s v="No Backlog"/>
    <n v="0.9434825624536235"/>
    <n v="6.6043779371753644"/>
    <n v="28.304476873608706"/>
    <b v="1"/>
    <n v="45"/>
    <n v="0.94299499042562474"/>
    <n v="0.93992145270368654"/>
    <b v="0"/>
    <n v="2.238436804353203E-2"/>
  </r>
  <r>
    <x v="687"/>
    <n v="104"/>
    <n v="230"/>
    <n v="206"/>
    <n v="7567"/>
    <n v="249"/>
    <n v="7797"/>
    <n v="7318"/>
    <n v="1.7491117791746377E-2"/>
    <s v="Backlog"/>
    <n v="0.93856611517250221"/>
    <n v="6.5699628062075153"/>
    <n v="28.156983455175066"/>
    <b v="1"/>
    <n v="45"/>
    <n v="0.94364203194522545"/>
    <n v="0.93879675790715955"/>
    <s v="STRAIN"/>
    <n v="3.193535975375144E-2"/>
  </r>
  <r>
    <x v="688"/>
    <n v="174"/>
    <n v="285"/>
    <n v="150"/>
    <n v="7786"/>
    <n v="340"/>
    <n v="8071"/>
    <n v="7446"/>
    <n v="1.98764437281762E-2"/>
    <s v="Backlog"/>
    <n v="0.92256225994300578"/>
    <n v="6.4579358196010404"/>
    <n v="27.676867798290175"/>
    <b v="1"/>
    <n v="45"/>
    <n v="0.93099129292709437"/>
    <n v="0.92543301605693884"/>
    <s v="STRAIN"/>
    <n v="4.2126130591004833E-2"/>
  </r>
  <r>
    <x v="689"/>
    <n v="113"/>
    <n v="208"/>
    <n v="159"/>
    <n v="7885"/>
    <n v="291"/>
    <n v="8093"/>
    <n v="7594"/>
    <n v="7.9009744535159341E-4"/>
    <s v="Backlog"/>
    <n v="0.93834177684418629"/>
    <n v="6.5683924379093037"/>
    <n v="28.150253305325588"/>
    <b v="1"/>
    <n v="45"/>
    <n v="0.93628205652056729"/>
    <n v="0.93886598014246991"/>
    <s v="STRAIN"/>
    <n v="3.5956999876436427E-2"/>
  </r>
  <r>
    <x v="690"/>
    <n v="88"/>
    <n v="214"/>
    <n v="160"/>
    <n v="7859"/>
    <n v="259"/>
    <n v="8073"/>
    <n v="7600"/>
    <n v="-8.552631578947369E-3"/>
    <s v="No Backlog"/>
    <n v="0.94140963706181102"/>
    <n v="6.5898674594326767"/>
    <n v="28.24228911185433"/>
    <b v="1"/>
    <n v="45"/>
    <n v="0.93677713155715614"/>
    <n v="0.94277116096761837"/>
    <b v="0"/>
    <n v="3.2082249473553821E-2"/>
  </r>
  <r>
    <x v="691"/>
    <n v="130"/>
    <n v="227"/>
    <n v="192"/>
    <n v="7870"/>
    <n v="335"/>
    <n v="8097"/>
    <n v="7535"/>
    <n v="1.167883211678832E-2"/>
    <s v="Backlog"/>
    <n v="0.93059157712733109"/>
    <n v="6.5141410398913173"/>
    <n v="27.917747313819934"/>
    <b v="1"/>
    <n v="46"/>
    <n v="0.93801640372294792"/>
    <n v="0.93281064260654856"/>
    <s v="STRAIN"/>
    <n v="4.1373348153637149E-2"/>
  </r>
  <r>
    <x v="692"/>
    <n v="84"/>
    <n v="158"/>
    <n v="193"/>
    <n v="7930"/>
    <n v="307"/>
    <n v="8088"/>
    <n v="7623"/>
    <n v="9.5762823035550303E-3"/>
    <s v="Backlog"/>
    <n v="0.94250741839762608"/>
    <n v="6.5975519287833828"/>
    <n v="28.275222551928781"/>
    <b v="0"/>
    <n v="46"/>
    <n v="0.93943388067568789"/>
    <n v="0.93720892721635918"/>
    <s v="STRAIN"/>
    <n v="3.7957467853610288E-2"/>
  </r>
  <r>
    <x v="693"/>
    <n v="115"/>
    <n v="216"/>
    <n v="169"/>
    <n v="7896"/>
    <n v="200"/>
    <n v="8112"/>
    <n v="7696"/>
    <n v="-1.8711018711018712E-2"/>
    <s v="No Backlog"/>
    <n v="0.94871794871794868"/>
    <n v="6.6410256410256405"/>
    <n v="28.46153846153846"/>
    <b v="1"/>
    <n v="46"/>
    <n v="0.94387267467988278"/>
    <n v="0.93831132021994224"/>
    <b v="0"/>
    <n v="2.465483234714004E-2"/>
  </r>
  <r>
    <x v="694"/>
    <n v="167"/>
    <n v="239"/>
    <n v="166"/>
    <n v="7800"/>
    <n v="248"/>
    <n v="8039"/>
    <n v="7552"/>
    <n v="-3.5222457627118647E-2"/>
    <s v="No Backlog"/>
    <n v="0.93942032591118296"/>
    <n v="6.5759422813782811"/>
    <n v="28.18260977733549"/>
    <b v="1"/>
    <n v="46"/>
    <n v="0.93386204904102743"/>
    <n v="0.93808644208270286"/>
    <b v="0"/>
    <n v="3.0849608160218932E-2"/>
  </r>
  <r>
    <x v="695"/>
    <n v="99"/>
    <n v="190"/>
    <n v="176"/>
    <n v="7609"/>
    <n v="323"/>
    <n v="7799"/>
    <n v="7286"/>
    <n v="3.3214383749656878E-2"/>
    <s v="Backlog"/>
    <n v="0.93422233619694828"/>
    <n v="6.5395563533786376"/>
    <n v="28.026670085908449"/>
    <b v="1"/>
    <n v="47"/>
    <n v="0.93680625981885091"/>
    <n v="0.95314291413022012"/>
    <s v="STRAIN"/>
    <n v="4.141556609821772E-2"/>
  </r>
  <r>
    <x v="696"/>
    <n v="101"/>
    <n v="162"/>
    <n v="178"/>
    <n v="7914"/>
    <n v="386"/>
    <n v="8076"/>
    <n v="7528"/>
    <n v="2.8958554729011689E-2"/>
    <s v="Backlog"/>
    <n v="0.93214462605250126"/>
    <n v="6.5250123823675086"/>
    <n v="27.964338781575037"/>
    <b v="0"/>
    <n v="47"/>
    <n v="0.93813865546296338"/>
    <n v="0.95199326368499515"/>
    <s v="STRAIN"/>
    <n v="4.7795938583457154E-2"/>
  </r>
  <r>
    <x v="697"/>
    <n v="107"/>
    <n v="215"/>
    <n v="230"/>
    <n v="7978"/>
    <n v="232"/>
    <n v="8193"/>
    <n v="7746"/>
    <n v="1.0327911179963851E-3"/>
    <s v="Backlog"/>
    <n v="0.94544123031856464"/>
    <n v="6.6180886122299523"/>
    <n v="28.363236909556939"/>
    <b v="0"/>
    <n v="47"/>
    <n v="0.94023546920216527"/>
    <n v="0.94904886344965589"/>
    <s v="STRAIN"/>
    <n v="2.8316855852557062E-2"/>
  </r>
  <r>
    <x v="698"/>
    <n v="184"/>
    <n v="314"/>
    <n v="217"/>
    <n v="7967"/>
    <n v="213"/>
    <n v="8281"/>
    <n v="7754"/>
    <n v="-1.8828991488264123E-2"/>
    <s v="No Backlog"/>
    <n v="0.93636034295374959"/>
    <n v="6.5545224006762473"/>
    <n v="28.090810288612488"/>
    <b v="1"/>
    <n v="47"/>
    <n v="0.93413538949442088"/>
    <n v="0.94847667426450788"/>
    <b v="0"/>
    <n v="2.5721531216036712E-2"/>
  </r>
  <r>
    <x v="699"/>
    <n v="209"/>
    <n v="285"/>
    <n v="184"/>
    <n v="7817"/>
    <n v="209"/>
    <n v="8102"/>
    <n v="7608"/>
    <n v="-2.3133543638275498E-2"/>
    <s v="No Backlog"/>
    <n v="0.93902740064181689"/>
    <n v="6.5731918044927182"/>
    <n v="28.170822019254508"/>
    <b v="1"/>
    <n v="47"/>
    <n v="0.93346604618187623"/>
    <n v="0.95294155161265381"/>
    <b v="0"/>
    <n v="2.5796099728462109E-2"/>
  </r>
  <r>
    <x v="700"/>
    <n v="81"/>
    <n v="213"/>
    <n v="153"/>
    <n v="7793"/>
    <n v="361"/>
    <n v="8006"/>
    <n v="7432"/>
    <n v="1.9779332615715822E-2"/>
    <s v="Backlog"/>
    <n v="0.9283037721708719"/>
    <n v="6.4981264051961034"/>
    <n v="27.849113165126155"/>
    <b v="1"/>
    <n v="48"/>
    <n v="0.93252816521254722"/>
    <n v="0.95177785878603549"/>
    <s v="STRAIN"/>
    <n v="4.5091181613789659E-2"/>
  </r>
  <r>
    <x v="701"/>
    <n v="91"/>
    <n v="199"/>
    <n v="172"/>
    <n v="7869"/>
    <n v="290"/>
    <n v="8068"/>
    <n v="7579"/>
    <n v="-1.055548225359546E-3"/>
    <s v="No Backlog"/>
    <n v="0.93939018344075365"/>
    <n v="6.5757312840852755"/>
    <n v="28.181705503222609"/>
    <b v="1"/>
    <n v="48"/>
    <n v="0.95572683775212286"/>
    <n v="0.95366328461507988"/>
    <b v="0"/>
    <n v="3.5944471988101141E-2"/>
  </r>
  <r>
    <x v="702"/>
    <n v="154"/>
    <n v="225"/>
    <n v="220"/>
    <n v="7794"/>
    <n v="223"/>
    <n v="8019"/>
    <n v="7571"/>
    <n v="-4.3851538766345267E-2"/>
    <s v="No Backlog"/>
    <n v="0.94413268487342561"/>
    <n v="6.6089287941139796"/>
    <n v="28.323980546202769"/>
    <b v="1"/>
    <n v="48"/>
    <n v="0.95798729309545738"/>
    <n v="0.94891881017650259"/>
    <b v="0"/>
    <n v="2.7808953734879661E-2"/>
  </r>
  <r>
    <x v="703"/>
    <n v="186"/>
    <n v="259"/>
    <n v="172"/>
    <n v="7483"/>
    <n v="244"/>
    <n v="7742"/>
    <n v="7239"/>
    <n v="-1.685315651333057E-2"/>
    <s v="No Backlog"/>
    <n v="0.93502970808576591"/>
    <n v="6.5452079566003611"/>
    <n v="28.050891242572977"/>
    <b v="1"/>
    <n v="48"/>
    <n v="0.94384310233325652"/>
    <n v="0.95415506568309461"/>
    <b v="0"/>
    <n v="3.1516404029966416E-2"/>
  </r>
  <r>
    <x v="704"/>
    <n v="92"/>
    <n v="203"/>
    <n v="173"/>
    <n v="7434"/>
    <n v="317"/>
    <n v="7637"/>
    <n v="7117"/>
    <n v="6.1542784881270199E-2"/>
    <s v="Backlog"/>
    <n v="0.93191043603509227"/>
    <n v="6.5233730522456455"/>
    <n v="27.957313081052767"/>
    <b v="1"/>
    <n v="49"/>
    <n v="0.94625172080517916"/>
    <n v="0.95144016785032204"/>
    <s v="STRAIN"/>
    <n v="4.1508445724761034E-2"/>
  </r>
  <r>
    <x v="705"/>
    <n v="124"/>
    <n v="234"/>
    <n v="161"/>
    <n v="7908"/>
    <n v="353"/>
    <n v="8142"/>
    <n v="7555"/>
    <n v="5.6915949702183982E-3"/>
    <s v="Backlog"/>
    <n v="0.92790469172193568"/>
    <n v="6.4953328420535499"/>
    <n v="27.837140751658069"/>
    <b v="1"/>
    <n v="49"/>
    <n v="0.94738019715271327"/>
    <n v="0.94819518351444665"/>
    <s v="STRAIN"/>
    <n v="4.3355440923605992E-2"/>
  </r>
  <r>
    <x v="706"/>
    <n v="93"/>
    <n v="196"/>
    <n v="169"/>
    <n v="7915"/>
    <n v="317"/>
    <n v="8111"/>
    <n v="7598"/>
    <n v="7.5019742037378259E-3"/>
    <s v="Backlog"/>
    <n v="0.93675255825422266"/>
    <n v="6.5572679077795586"/>
    <n v="28.102576747626678"/>
    <b v="1"/>
    <n v="49"/>
    <n v="0.95600225182771092"/>
    <n v="0.94913210118819069"/>
    <s v="STRAIN"/>
    <n v="3.9082727160646036E-2"/>
  </r>
  <r>
    <x v="707"/>
    <n v="16"/>
    <n v="20"/>
    <n v="20"/>
    <n v="7855"/>
    <n v="200"/>
    <n v="7875"/>
    <n v="7655"/>
    <n v="-1.7112998040496409E-2"/>
    <s v="No Backlog"/>
    <n v="0.97206349206349207"/>
    <n v="6.8044444444444441"/>
    <n v="29.161904761904761"/>
    <b v="0"/>
    <n v="49"/>
    <n v="0.96999993892644909"/>
    <n v="0.9490926313618564"/>
    <b v="0"/>
    <n v="2.5396825396825397E-2"/>
  </r>
  <r>
    <x v="708"/>
    <n v="11"/>
    <n v="22"/>
    <n v="12"/>
    <n v="7720"/>
    <n v="196"/>
    <n v="7742"/>
    <n v="7524"/>
    <n v="-3.7214247740563533E-2"/>
    <s v="No Backlog"/>
    <n v="0.97184190131748904"/>
    <n v="6.8028933092224229"/>
    <n v="29.15525703952467"/>
    <b v="1"/>
    <n v="49"/>
    <n v="0.96277341839853436"/>
    <n v="0.97184190131748904"/>
    <b v="0"/>
    <n v="2.5316455696202531E-2"/>
  </r>
  <r>
    <x v="709"/>
    <n v="16"/>
    <n v="18"/>
    <n v="15"/>
    <n v="7586"/>
    <n v="342"/>
    <n v="7604"/>
    <n v="7244"/>
    <n v="4.6521258972943125E-2"/>
    <s v="Backlog"/>
    <n v="0.95265649658074703"/>
    <n v="6.6685954760652288"/>
    <n v="28.57969489742241"/>
    <b v="1"/>
    <n v="50"/>
    <n v="0.96296845993058522"/>
    <n v="0.95265649658074703"/>
    <s v="STRAIN"/>
    <n v="4.497632824829037E-2"/>
  </r>
  <r>
    <x v="710"/>
    <n v="15"/>
    <n v="13"/>
    <n v="23"/>
    <n v="7879"/>
    <n v="298"/>
    <n v="7892"/>
    <n v="7581"/>
    <n v="1.2003693444136657E-2"/>
    <s v="Backlog"/>
    <n v="0.96059300557526606"/>
    <n v="6.7241510390268626"/>
    <n v="28.817790167257982"/>
    <b v="0"/>
    <n v="50"/>
    <n v="0.96578145262040893"/>
    <n v="0.96059300557526606"/>
    <s v="STRAIN"/>
    <n v="3.7759756715661431E-2"/>
  </r>
  <r>
    <x v="711"/>
    <n v="25"/>
    <n v="32"/>
    <n v="27"/>
    <n v="7903"/>
    <n v="231"/>
    <n v="7935"/>
    <n v="7672"/>
    <n v="-3.5192909280500522E-3"/>
    <s v="No Backlog"/>
    <n v="0.96685570258349085"/>
    <n v="6.7679899180844361"/>
    <n v="29.005671077504726"/>
    <b v="1"/>
    <n v="50"/>
    <n v="0.96767068894522423"/>
    <n v="0.96685570258349085"/>
    <b v="0"/>
    <n v="2.9111531190926274E-2"/>
  </r>
  <r>
    <x v="712"/>
    <n v="26"/>
    <n v="36"/>
    <n v="36"/>
    <n v="7803"/>
    <n v="158"/>
    <n v="7839"/>
    <n v="7645"/>
    <n v="-1.2818835840418574E-2"/>
    <s v="No Backlog"/>
    <n v="0.97525194540119908"/>
    <n v="6.8267636178083935"/>
    <n v="29.257558362035972"/>
    <b v="0"/>
    <n v="50"/>
    <n v="0.96838179476167885"/>
    <n v="0.97525194540119908"/>
    <b v="0"/>
    <n v="2.0155632095930603E-2"/>
  </r>
  <r>
    <x v="713"/>
    <n v="34"/>
    <n v="54"/>
    <n v="29"/>
    <n v="7743"/>
    <n v="196"/>
    <n v="7797"/>
    <n v="7547"/>
    <n v="-5.00861269378561E-2"/>
    <s v="No Backlog"/>
    <n v="0.96793638578940622"/>
    <n v="6.7755547005258432"/>
    <n v="29.038091573682188"/>
    <b v="1"/>
    <n v="50"/>
    <n v="0.94702907822481341"/>
    <n v="0.96793638578940622"/>
    <b v="0"/>
    <n v="2.5137873541105554E-2"/>
  </r>
  <r>
    <x v="714"/>
    <n v="23"/>
    <n v="45"/>
    <n v="11"/>
    <n v="7472"/>
    <n v="303"/>
    <n v="7517"/>
    <n v="7169"/>
    <n v="2.6363509555028596E-2"/>
    <s v="Backlog"/>
    <n v="0.95370493547957957"/>
    <n v="6.6759345483570574"/>
    <n v="28.611148064387386"/>
    <b v="1"/>
    <n v="51"/>
    <n v="0.95370493547957957"/>
    <n v="0.95370493547957957"/>
    <s v="STRAIN"/>
    <n v="4.0308633763469472E-2"/>
  </r>
  <r>
    <x v="715"/>
    <n v="20"/>
    <n v="22"/>
    <n v="41"/>
    <n v="7538"/>
    <n v="180"/>
    <n v="7560"/>
    <n v="7358"/>
    <n v="-1.3590649633052459E-2"/>
    <s v="No Backlog"/>
    <n v="0.9732804232804233"/>
    <n v="6.8129629629629633"/>
    <n v="29.198412698412699"/>
    <b v="0"/>
    <n v="51"/>
    <n v="0.9732804232804233"/>
    <n v="0.9732804232804233"/>
    <b v="0"/>
    <n v="2.3809523809523808E-2"/>
  </r>
  <r>
    <x v="716"/>
    <n v="47"/>
    <n v="42"/>
    <n v="47"/>
    <n v="7433"/>
    <n v="175"/>
    <n v="7475"/>
    <n v="7258"/>
    <n v="-2.1906861394323504E-2"/>
    <s v="No Backlog"/>
    <n v="0.97096989966555181"/>
    <n v="6.7967892976588624"/>
    <n v="29.129096989966555"/>
    <b v="0"/>
    <n v="51"/>
    <n v="0.97096989966555181"/>
    <n v="0.97096989966555181"/>
    <b v="0"/>
    <n v="2.3411371237458192E-2"/>
  </r>
  <r>
    <x v="717"/>
    <n v="32"/>
    <n v="50"/>
    <n v="39"/>
    <n v="7280"/>
    <n v="181"/>
    <n v="7330"/>
    <n v="7099"/>
    <n v="-2.8736441752359489E-2"/>
    <s v="No Backlog"/>
    <n v="0.96848567530695773"/>
    <n v="6.7793997271487036"/>
    <n v="29.054570259208731"/>
    <b v="1"/>
    <n v="51"/>
    <n v="0.96848567530695773"/>
    <n v="0.96848567530695773"/>
    <b v="0"/>
    <n v="2.4693042291950885E-2"/>
  </r>
  <r>
    <x v="718"/>
    <n v="32"/>
    <n v="49"/>
    <n v="39"/>
    <n v="7122"/>
    <n v="227"/>
    <n v="7171"/>
    <n v="6895"/>
    <n v="-0.11094996374184192"/>
    <s v="No Backlog"/>
    <n v="0.96151164412215873"/>
    <n v="6.7305815088551109"/>
    <n v="28.845349323664763"/>
    <b v="1"/>
    <n v="51"/>
    <n v="0.96151164412215873"/>
    <n v="0.96151164412215873"/>
    <b v="0"/>
    <n v="3.1655278203876723E-2"/>
  </r>
  <r>
    <x v="719"/>
    <n v="33"/>
    <n v="53"/>
    <n v="34"/>
    <n v="6566"/>
    <n v="436"/>
    <n v="6619"/>
    <n v="6130"/>
    <n v="-1"/>
    <s v="No Backlog"/>
    <n v="0.92612177066022061"/>
    <n v="6.4828523946215446"/>
    <n v="27.783653119806619"/>
    <b v="1"/>
    <n v="52"/>
    <n v="0.92612177066022061"/>
    <n v="0.92612177066022061"/>
    <b v="0"/>
    <n v="6.5870977489046689E-2"/>
  </r>
  <r>
    <x v="720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27625-242B-4229-BD9C-94F4C150837B}" name="PivotTable2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3:B8" firstHeaderRow="1" firstDataRow="1" firstDataCol="1"/>
  <pivotFields count="17">
    <pivotField axis="axisRow" showAll="0">
      <items count="722"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72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6"/>
    <field x="15"/>
    <field x="14"/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ystem Loa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A77FA-F953-4FBE-8D21-60CDEA6B3C4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17" firstHeaderRow="0" firstDataRow="1" firstDataCol="1" rowPageCount="1" colPageCount="1"/>
  <pivotFields count="17">
    <pivotField axis="axisPage" showAll="0">
      <items count="722"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72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>
      <items count="658">
        <item x="76"/>
        <item x="72"/>
        <item x="73"/>
        <item x="78"/>
        <item x="77"/>
        <item x="74"/>
        <item x="75"/>
        <item x="81"/>
        <item x="80"/>
        <item x="79"/>
        <item x="82"/>
        <item x="83"/>
        <item x="69"/>
        <item x="71"/>
        <item x="66"/>
        <item x="67"/>
        <item x="70"/>
        <item x="84"/>
        <item x="68"/>
        <item x="85"/>
        <item x="87"/>
        <item x="86"/>
        <item x="65"/>
        <item x="89"/>
        <item x="88"/>
        <item x="90"/>
        <item x="91"/>
        <item x="92"/>
        <item x="94"/>
        <item x="63"/>
        <item x="64"/>
        <item x="61"/>
        <item x="62"/>
        <item x="93"/>
        <item x="166"/>
        <item x="95"/>
        <item x="96"/>
        <item x="167"/>
        <item x="164"/>
        <item x="97"/>
        <item x="168"/>
        <item x="163"/>
        <item x="165"/>
        <item x="56"/>
        <item x="162"/>
        <item x="57"/>
        <item x="60"/>
        <item x="58"/>
        <item x="59"/>
        <item x="160"/>
        <item x="161"/>
        <item x="54"/>
        <item x="98"/>
        <item x="55"/>
        <item x="159"/>
        <item x="51"/>
        <item x="52"/>
        <item x="53"/>
        <item x="99"/>
        <item x="100"/>
        <item x="101"/>
        <item x="158"/>
        <item x="50"/>
        <item x="47"/>
        <item x="49"/>
        <item x="48"/>
        <item x="46"/>
        <item x="169"/>
        <item x="157"/>
        <item x="156"/>
        <item x="102"/>
        <item x="170"/>
        <item x="155"/>
        <item x="43"/>
        <item x="103"/>
        <item x="154"/>
        <item x="45"/>
        <item x="153"/>
        <item x="42"/>
        <item x="44"/>
        <item x="41"/>
        <item x="152"/>
        <item x="151"/>
        <item x="40"/>
        <item x="39"/>
        <item x="28"/>
        <item x="150"/>
        <item x="37"/>
        <item x="38"/>
        <item x="31"/>
        <item x="148"/>
        <item x="149"/>
        <item x="30"/>
        <item x="34"/>
        <item x="29"/>
        <item x="36"/>
        <item x="147"/>
        <item x="32"/>
        <item x="35"/>
        <item x="144"/>
        <item x="33"/>
        <item x="146"/>
        <item x="26"/>
        <item x="140"/>
        <item x="145"/>
        <item x="104"/>
        <item x="141"/>
        <item x="138"/>
        <item x="27"/>
        <item x="25"/>
        <item x="105"/>
        <item x="139"/>
        <item x="143"/>
        <item x="142"/>
        <item x="24"/>
        <item x="137"/>
        <item x="136"/>
        <item x="106"/>
        <item x="135"/>
        <item x="21"/>
        <item x="20"/>
        <item x="22"/>
        <item x="23"/>
        <item x="134"/>
        <item x="171"/>
        <item x="18"/>
        <item x="17"/>
        <item x="107"/>
        <item x="19"/>
        <item x="16"/>
        <item x="132"/>
        <item x="133"/>
        <item x="172"/>
        <item x="174"/>
        <item x="173"/>
        <item x="108"/>
        <item x="109"/>
        <item x="131"/>
        <item x="13"/>
        <item x="14"/>
        <item x="11"/>
        <item x="12"/>
        <item x="15"/>
        <item x="10"/>
        <item x="6"/>
        <item x="130"/>
        <item x="7"/>
        <item x="8"/>
        <item x="9"/>
        <item x="110"/>
        <item x="128"/>
        <item x="129"/>
        <item x="5"/>
        <item x="1"/>
        <item x="127"/>
        <item x="3"/>
        <item x="4"/>
        <item x="0"/>
        <item x="2"/>
        <item x="111"/>
        <item x="112"/>
        <item x="119"/>
        <item x="114"/>
        <item x="125"/>
        <item x="175"/>
        <item x="126"/>
        <item x="118"/>
        <item x="124"/>
        <item x="116"/>
        <item x="120"/>
        <item x="113"/>
        <item x="122"/>
        <item x="121"/>
        <item x="117"/>
        <item x="115"/>
        <item x="123"/>
        <item x="177"/>
        <item x="176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7"/>
        <item x="196"/>
        <item x="194"/>
        <item x="195"/>
        <item x="198"/>
        <item x="199"/>
        <item x="200"/>
        <item x="201"/>
        <item x="202"/>
        <item x="203"/>
        <item x="204"/>
        <item x="236"/>
        <item x="563"/>
        <item x="303"/>
        <item x="566"/>
        <item x="205"/>
        <item x="206"/>
        <item x="235"/>
        <item x="559"/>
        <item x="241"/>
        <item x="237"/>
        <item x="290"/>
        <item x="295"/>
        <item x="233"/>
        <item x="302"/>
        <item x="291"/>
        <item x="262"/>
        <item x="240"/>
        <item x="207"/>
        <item x="239"/>
        <item x="289"/>
        <item x="234"/>
        <item x="258"/>
        <item x="238"/>
        <item x="268"/>
        <item x="564"/>
        <item x="305"/>
        <item x="294"/>
        <item x="304"/>
        <item x="562"/>
        <item x="567"/>
        <item x="307"/>
        <item x="571"/>
        <item x="565"/>
        <item x="299"/>
        <item x="254"/>
        <item x="272"/>
        <item x="306"/>
        <item x="308"/>
        <item x="298"/>
        <item x="249"/>
        <item x="292"/>
        <item x="257"/>
        <item x="243"/>
        <item x="244"/>
        <item x="232"/>
        <item x="561"/>
        <item x="261"/>
        <item x="231"/>
        <item x="301"/>
        <item x="570"/>
        <item x="560"/>
        <item x="300"/>
        <item x="253"/>
        <item x="242"/>
        <item x="297"/>
        <item x="293"/>
        <item x="296"/>
        <item x="288"/>
        <item x="248"/>
        <item x="271"/>
        <item x="270"/>
        <item x="287"/>
        <item x="264"/>
        <item x="568"/>
        <item x="267"/>
        <item x="269"/>
        <item x="260"/>
        <item x="245"/>
        <item x="263"/>
        <item x="569"/>
        <item x="259"/>
        <item x="266"/>
        <item x="247"/>
        <item x="265"/>
        <item x="256"/>
        <item x="255"/>
        <item x="230"/>
        <item x="246"/>
        <item x="250"/>
        <item x="252"/>
        <item x="251"/>
        <item x="558"/>
        <item x="555"/>
        <item x="277"/>
        <item x="557"/>
        <item x="556"/>
        <item x="309"/>
        <item x="278"/>
        <item x="286"/>
        <item x="283"/>
        <item x="276"/>
        <item x="310"/>
        <item x="275"/>
        <item x="312"/>
        <item x="284"/>
        <item x="273"/>
        <item x="229"/>
        <item x="282"/>
        <item x="285"/>
        <item x="225"/>
        <item x="274"/>
        <item x="311"/>
        <item x="226"/>
        <item x="208"/>
        <item x="655"/>
        <item x="279"/>
        <item x="228"/>
        <item x="227"/>
        <item x="224"/>
        <item x="554"/>
        <item x="221"/>
        <item x="572"/>
        <item x="281"/>
        <item x="280"/>
        <item x="211"/>
        <item x="223"/>
        <item x="209"/>
        <item x="576"/>
        <item x="573"/>
        <item x="210"/>
        <item x="222"/>
        <item x="220"/>
        <item x="553"/>
        <item x="215"/>
        <item x="574"/>
        <item x="216"/>
        <item x="575"/>
        <item x="373"/>
        <item x="219"/>
        <item x="217"/>
        <item x="552"/>
        <item x="317"/>
        <item x="313"/>
        <item x="218"/>
        <item x="214"/>
        <item x="369"/>
        <item x="314"/>
        <item x="372"/>
        <item x="316"/>
        <item x="370"/>
        <item x="368"/>
        <item x="315"/>
        <item x="371"/>
        <item x="318"/>
        <item x="212"/>
        <item x="213"/>
        <item x="367"/>
        <item x="320"/>
        <item x="321"/>
        <item x="374"/>
        <item x="319"/>
        <item x="551"/>
        <item x="378"/>
        <item x="577"/>
        <item x="375"/>
        <item x="550"/>
        <item x="548"/>
        <item x="377"/>
        <item x="366"/>
        <item x="549"/>
        <item x="578"/>
        <item x="579"/>
        <item x="654"/>
        <item x="376"/>
        <item x="325"/>
        <item x="383"/>
        <item x="365"/>
        <item x="322"/>
        <item x="364"/>
        <item x="330"/>
        <item x="547"/>
        <item x="324"/>
        <item x="363"/>
        <item x="348"/>
        <item x="323"/>
        <item x="379"/>
        <item x="329"/>
        <item x="608"/>
        <item x="382"/>
        <item x="609"/>
        <item x="358"/>
        <item x="642"/>
        <item x="328"/>
        <item x="606"/>
        <item x="580"/>
        <item x="335"/>
        <item x="607"/>
        <item x="651"/>
        <item x="605"/>
        <item x="347"/>
        <item x="380"/>
        <item x="362"/>
        <item x="326"/>
        <item x="344"/>
        <item x="381"/>
        <item x="353"/>
        <item x="334"/>
        <item x="327"/>
        <item x="641"/>
        <item x="340"/>
        <item x="357"/>
        <item x="653"/>
        <item x="346"/>
        <item x="345"/>
        <item x="343"/>
        <item x="604"/>
        <item x="331"/>
        <item x="637"/>
        <item x="361"/>
        <item x="360"/>
        <item x="350"/>
        <item x="354"/>
        <item x="349"/>
        <item x="332"/>
        <item x="333"/>
        <item x="352"/>
        <item x="342"/>
        <item x="652"/>
        <item x="351"/>
        <item x="338"/>
        <item x="543"/>
        <item x="339"/>
        <item x="341"/>
        <item x="546"/>
        <item x="355"/>
        <item x="359"/>
        <item x="384"/>
        <item x="356"/>
        <item x="610"/>
        <item x="545"/>
        <item x="581"/>
        <item x="630"/>
        <item x="421"/>
        <item x="584"/>
        <item x="337"/>
        <item x="544"/>
        <item x="336"/>
        <item x="646"/>
        <item x="388"/>
        <item x="638"/>
        <item x="633"/>
        <item x="582"/>
        <item x="650"/>
        <item x="636"/>
        <item x="643"/>
        <item x="613"/>
        <item x="614"/>
        <item x="627"/>
        <item x="542"/>
        <item x="647"/>
        <item x="603"/>
        <item x="611"/>
        <item x="631"/>
        <item x="644"/>
        <item x="632"/>
        <item x="430"/>
        <item x="583"/>
        <item x="634"/>
        <item x="629"/>
        <item x="420"/>
        <item x="649"/>
        <item x="626"/>
        <item x="645"/>
        <item x="387"/>
        <item x="648"/>
        <item x="619"/>
        <item x="385"/>
        <item x="628"/>
        <item x="431"/>
        <item x="422"/>
        <item x="635"/>
        <item x="426"/>
        <item x="416"/>
        <item x="386"/>
        <item x="432"/>
        <item x="612"/>
        <item x="639"/>
        <item x="640"/>
        <item x="622"/>
        <item x="618"/>
        <item x="623"/>
        <item x="429"/>
        <item x="434"/>
        <item x="617"/>
        <item x="602"/>
        <item x="625"/>
        <item x="600"/>
        <item x="624"/>
        <item x="621"/>
        <item x="415"/>
        <item x="601"/>
        <item x="425"/>
        <item x="419"/>
        <item x="417"/>
        <item x="423"/>
        <item x="615"/>
        <item x="616"/>
        <item x="428"/>
        <item x="541"/>
        <item x="418"/>
        <item x="620"/>
        <item x="433"/>
        <item x="539"/>
        <item x="427"/>
        <item x="538"/>
        <item x="540"/>
        <item x="424"/>
        <item x="393"/>
        <item x="392"/>
        <item x="389"/>
        <item x="599"/>
        <item x="407"/>
        <item x="594"/>
        <item x="585"/>
        <item x="390"/>
        <item x="412"/>
        <item x="589"/>
        <item x="411"/>
        <item x="414"/>
        <item x="391"/>
        <item x="403"/>
        <item x="598"/>
        <item x="586"/>
        <item x="590"/>
        <item x="413"/>
        <item x="537"/>
        <item x="588"/>
        <item x="410"/>
        <item x="587"/>
        <item x="408"/>
        <item x="593"/>
        <item x="398"/>
        <item x="409"/>
        <item x="435"/>
        <item x="592"/>
        <item x="591"/>
        <item x="394"/>
        <item x="597"/>
        <item x="404"/>
        <item x="402"/>
        <item x="596"/>
        <item x="405"/>
        <item x="406"/>
        <item x="595"/>
        <item x="397"/>
        <item x="484"/>
        <item x="536"/>
        <item x="534"/>
        <item x="395"/>
        <item x="401"/>
        <item x="399"/>
        <item x="396"/>
        <item x="535"/>
        <item x="400"/>
        <item x="483"/>
        <item x="482"/>
        <item x="436"/>
        <item x="485"/>
        <item x="479"/>
        <item x="478"/>
        <item x="481"/>
        <item x="437"/>
        <item x="489"/>
        <item x="486"/>
        <item x="531"/>
        <item x="487"/>
        <item x="488"/>
        <item x="480"/>
        <item x="470"/>
        <item x="475"/>
        <item x="474"/>
        <item x="477"/>
        <item x="532"/>
        <item x="438"/>
        <item x="476"/>
        <item x="469"/>
        <item x="533"/>
        <item x="526"/>
        <item x="530"/>
        <item x="471"/>
        <item x="473"/>
        <item x="472"/>
        <item x="466"/>
        <item x="468"/>
        <item x="467"/>
        <item x="527"/>
        <item x="525"/>
        <item x="522"/>
        <item x="529"/>
        <item x="521"/>
        <item x="528"/>
        <item x="524"/>
        <item x="520"/>
        <item x="517"/>
        <item x="465"/>
        <item x="490"/>
        <item x="523"/>
        <item x="464"/>
        <item x="518"/>
        <item x="519"/>
        <item x="502"/>
        <item x="463"/>
        <item x="491"/>
        <item x="494"/>
        <item x="461"/>
        <item x="439"/>
        <item x="516"/>
        <item x="462"/>
        <item x="493"/>
        <item x="492"/>
        <item x="515"/>
        <item x="514"/>
        <item x="507"/>
        <item x="460"/>
        <item x="512"/>
        <item x="513"/>
        <item x="457"/>
        <item x="501"/>
        <item x="441"/>
        <item x="440"/>
        <item x="458"/>
        <item x="456"/>
        <item x="459"/>
        <item x="500"/>
        <item x="497"/>
        <item x="503"/>
        <item x="506"/>
        <item x="511"/>
        <item x="442"/>
        <item x="495"/>
        <item x="499"/>
        <item x="451"/>
        <item x="508"/>
        <item x="505"/>
        <item x="496"/>
        <item x="504"/>
        <item x="455"/>
        <item x="509"/>
        <item x="498"/>
        <item x="450"/>
        <item x="446"/>
        <item x="454"/>
        <item x="510"/>
        <item x="452"/>
        <item x="453"/>
        <item x="444"/>
        <item x="443"/>
        <item x="447"/>
        <item x="445"/>
        <item x="449"/>
        <item x="448"/>
        <item x="656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3">
    <field x="14"/>
    <field x="15"/>
    <field x="1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Total System Load" fld="6" baseField="0" baseItem="0"/>
    <dataField name="Sum of Net Daily Intake" fld="7" baseField="0" baseItem="0"/>
  </dataFields>
  <chartFormats count="28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1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2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1"/>
          </reference>
          <reference field="14" count="1" selected="0">
            <x v="0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1"/>
          </reference>
          <reference field="14" count="1" selected="0">
            <x v="2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1"/>
          </reference>
          <reference field="14" count="1" selected="0">
            <x v="3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1"/>
          </reference>
          <reference field="14" count="1" selected="0">
            <x v="4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1"/>
          </reference>
          <reference field="14" count="1" selected="0">
            <x v="5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1"/>
          </reference>
          <reference field="14" count="1" selected="0">
            <x v="6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1"/>
          </reference>
          <reference field="14" count="1" selected="0">
            <x v="7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1"/>
          </reference>
          <reference field="14" count="1" selected="0">
            <x v="8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1"/>
          </reference>
          <reference field="14" count="1" selected="0">
            <x v="9"/>
          </reference>
        </references>
      </pivotArea>
    </chartFormat>
    <chartFormat chart="6" format="25">
      <pivotArea type="data" outline="0" fieldPosition="0">
        <references count="2">
          <reference field="4294967294" count="1" selected="0">
            <x v="1"/>
          </reference>
          <reference field="14" count="1" selected="0">
            <x v="10"/>
          </reference>
        </references>
      </pivotArea>
    </chartFormat>
    <chartFormat chart="6" format="26">
      <pivotArea type="data" outline="0" fieldPosition="0">
        <references count="2">
          <reference field="4294967294" count="1" selected="0">
            <x v="1"/>
          </reference>
          <reference field="14" count="1" selected="0">
            <x v="11"/>
          </reference>
        </references>
      </pivotArea>
    </chartFormat>
    <chartFormat chart="6" format="27">
      <pivotArea type="data" outline="0" fieldPosition="0">
        <references count="2">
          <reference field="4294967294" count="1" selected="0">
            <x v="1"/>
          </reference>
          <reference field="14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4DA134-C2F2-4446-B4FE-54642A03FE2C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76" firstHeaderRow="0" firstDataRow="1" firstDataCol="1"/>
  <pivotFields count="15">
    <pivotField numFmtId="14" showAll="0"/>
    <pivotField numFmtId="49" showAll="0"/>
    <pivotField numFmtId="49" showAll="0"/>
    <pivotField numFmtId="49" showAll="0"/>
    <pivotField showAll="0"/>
    <pivotField showAll="0"/>
    <pivotField numFmtId="49" showAll="0"/>
    <pivotField dataField="1" showAll="0"/>
    <pivotField showAll="0"/>
    <pivotField showAll="0"/>
    <pivotField numFmtId="49" showAll="0"/>
    <pivotField numFmtId="49" showAll="0"/>
    <pivotField axis="axisRow" numFmtId="49" showAll="0">
      <items count="720">
        <item x="465"/>
        <item x="460"/>
        <item x="609"/>
        <item x="466"/>
        <item x="461"/>
        <item x="262"/>
        <item x="246"/>
        <item x="456"/>
        <item x="451"/>
        <item x="446"/>
        <item x="643"/>
        <item x="410"/>
        <item x="411"/>
        <item x="450"/>
        <item x="467"/>
        <item x="464"/>
        <item x="413"/>
        <item x="401"/>
        <item x="250"/>
        <item x="412"/>
        <item x="265"/>
        <item x="345"/>
        <item x="441"/>
        <item x="447"/>
        <item x="383"/>
        <item x="647"/>
        <item x="427"/>
        <item x="445"/>
        <item x="284"/>
        <item x="373"/>
        <item x="403"/>
        <item x="414"/>
        <item x="462"/>
        <item x="406"/>
        <item x="442"/>
        <item x="614"/>
        <item x="431"/>
        <item x="459"/>
        <item x="416"/>
        <item x="378"/>
        <item x="391"/>
        <item x="687"/>
        <item x="658"/>
        <item x="659"/>
        <item x="448"/>
        <item x="452"/>
        <item x="244"/>
        <item x="245"/>
        <item x="288"/>
        <item x="394"/>
        <item x="573"/>
        <item x="409"/>
        <item x="407"/>
        <item x="385"/>
        <item x="402"/>
        <item x="596"/>
        <item x="335"/>
        <item x="569"/>
        <item x="314"/>
        <item x="326"/>
        <item x="331"/>
        <item x="408"/>
        <item x="384"/>
        <item x="252"/>
        <item x="463"/>
        <item x="254"/>
        <item x="444"/>
        <item x="341"/>
        <item x="677"/>
        <item x="718"/>
        <item x="443"/>
        <item x="453"/>
        <item x="404"/>
        <item x="313"/>
        <item x="682"/>
        <item x="350"/>
        <item x="590"/>
        <item x="673"/>
        <item x="554"/>
        <item x="657"/>
        <item x="663"/>
        <item x="392"/>
        <item x="455"/>
        <item x="318"/>
        <item x="678"/>
        <item x="347"/>
        <item x="662"/>
        <item x="398"/>
        <item x="260"/>
        <item x="704"/>
        <item x="426"/>
        <item x="681"/>
        <item x="421"/>
        <item x="699"/>
        <item x="253"/>
        <item x="293"/>
        <item x="661"/>
        <item x="615"/>
        <item x="613"/>
        <item x="388"/>
        <item x="683"/>
        <item x="310"/>
        <item x="300"/>
        <item x="417"/>
        <item x="323"/>
        <item x="264"/>
        <item x="337"/>
        <item x="363"/>
        <item x="415"/>
        <item x="381"/>
        <item x="374"/>
        <item x="396"/>
        <item x="653"/>
        <item x="377"/>
        <item x="372"/>
        <item x="227"/>
        <item x="266"/>
        <item x="379"/>
        <item x="393"/>
        <item x="436"/>
        <item x="368"/>
        <item x="259"/>
        <item x="400"/>
        <item x="330"/>
        <item x="690"/>
        <item x="307"/>
        <item x="570"/>
        <item x="348"/>
        <item x="226"/>
        <item x="560"/>
        <item x="649"/>
        <item x="349"/>
        <item x="470"/>
        <item x="595"/>
        <item x="283"/>
        <item x="475"/>
        <item x="703"/>
        <item x="608"/>
        <item x="610"/>
        <item x="437"/>
        <item x="624"/>
        <item x="281"/>
        <item x="695"/>
        <item x="338"/>
        <item x="285"/>
        <item x="261"/>
        <item x="301"/>
        <item x="248"/>
        <item x="380"/>
        <item x="397"/>
        <item x="329"/>
        <item x="270"/>
        <item x="535"/>
        <item x="370"/>
        <item x="371"/>
        <item x="656"/>
        <item x="342"/>
        <item x="312"/>
        <item x="476"/>
        <item x="667"/>
        <item x="572"/>
        <item x="251"/>
        <item x="585"/>
        <item x="592"/>
        <item x="601"/>
        <item x="387"/>
        <item x="243"/>
        <item x="660"/>
        <item x="591"/>
        <item x="280"/>
        <item x="454"/>
        <item x="339"/>
        <item x="694"/>
        <item x="644"/>
        <item x="256"/>
        <item x="290"/>
        <item x="362"/>
        <item x="354"/>
        <item x="672"/>
        <item x="598"/>
        <item x="231"/>
        <item x="438"/>
        <item x="418"/>
        <item x="332"/>
        <item x="702"/>
        <item x="640"/>
        <item x="440"/>
        <item x="275"/>
        <item x="376"/>
        <item x="648"/>
        <item x="249"/>
        <item x="600"/>
        <item x="352"/>
        <item x="586"/>
        <item x="641"/>
        <item x="228"/>
        <item x="324"/>
        <item x="360"/>
        <item x="351"/>
        <item x="581"/>
        <item x="386"/>
        <item x="574"/>
        <item x="637"/>
        <item x="477"/>
        <item x="305"/>
        <item x="336"/>
        <item x="327"/>
        <item x="364"/>
        <item x="516"/>
        <item x="272"/>
        <item x="449"/>
        <item x="346"/>
        <item x="697"/>
        <item x="389"/>
        <item x="650"/>
        <item x="255"/>
        <item x="302"/>
        <item x="623"/>
        <item x="705"/>
        <item x="579"/>
        <item x="525"/>
        <item x="282"/>
        <item x="633"/>
        <item x="597"/>
        <item x="263"/>
        <item x="564"/>
        <item x="399"/>
        <item x="645"/>
        <item x="555"/>
        <item x="304"/>
        <item x="369"/>
        <item x="317"/>
        <item x="503"/>
        <item x="651"/>
        <item x="271"/>
        <item x="405"/>
        <item x="457"/>
        <item x="493"/>
        <item x="679"/>
        <item x="642"/>
        <item x="652"/>
        <item x="395"/>
        <item x="594"/>
        <item x="684"/>
        <item x="366"/>
        <item x="276"/>
        <item x="578"/>
        <item x="612"/>
        <item x="344"/>
        <item x="289"/>
        <item x="322"/>
        <item x="646"/>
        <item x="688"/>
        <item x="315"/>
        <item x="328"/>
        <item x="299"/>
        <item x="559"/>
        <item x="286"/>
        <item x="686"/>
        <item x="589"/>
        <item x="428"/>
        <item x="435"/>
        <item x="664"/>
        <item x="375"/>
        <item x="303"/>
        <item x="604"/>
        <item x="698"/>
        <item x="247"/>
        <item x="561"/>
        <item x="458"/>
        <item x="700"/>
        <item x="693"/>
        <item x="674"/>
        <item x="287"/>
        <item x="565"/>
        <item x="507"/>
        <item x="605"/>
        <item x="390"/>
        <item x="611"/>
        <item x="273"/>
        <item x="316"/>
        <item x="669"/>
        <item x="334"/>
        <item x="654"/>
        <item x="668"/>
        <item x="422"/>
        <item x="382"/>
        <item x="607"/>
        <item x="670"/>
        <item x="420"/>
        <item x="308"/>
        <item x="480"/>
        <item x="325"/>
        <item x="628"/>
        <item x="306"/>
        <item x="556"/>
        <item x="680"/>
        <item x="267"/>
        <item x="429"/>
        <item x="277"/>
        <item x="361"/>
        <item x="268"/>
        <item x="689"/>
        <item x="666"/>
        <item x="333"/>
        <item x="568"/>
        <item x="240"/>
        <item x="432"/>
        <item x="311"/>
        <item x="296"/>
        <item x="558"/>
        <item x="430"/>
        <item x="524"/>
        <item x="279"/>
        <item x="471"/>
        <item x="562"/>
        <item x="691"/>
        <item x="502"/>
        <item x="321"/>
        <item x="549"/>
        <item x="606"/>
        <item x="619"/>
        <item x="474"/>
        <item x="269"/>
        <item x="298"/>
        <item x="685"/>
        <item x="616"/>
        <item x="295"/>
        <item x="365"/>
        <item x="230"/>
        <item x="551"/>
        <item x="497"/>
        <item x="469"/>
        <item x="309"/>
        <item x="701"/>
        <item x="526"/>
        <item x="297"/>
        <item x="625"/>
        <item x="552"/>
        <item x="439"/>
        <item x="517"/>
        <item x="257"/>
        <item x="359"/>
        <item x="340"/>
        <item x="593"/>
        <item x="602"/>
        <item x="212"/>
        <item x="353"/>
        <item x="504"/>
        <item x="638"/>
        <item x="278"/>
        <item x="530"/>
        <item x="355"/>
        <item x="567"/>
        <item x="550"/>
        <item x="696"/>
        <item x="522"/>
        <item x="221"/>
        <item x="425"/>
        <item x="216"/>
        <item x="536"/>
        <item x="527"/>
        <item x="494"/>
        <item x="580"/>
        <item x="599"/>
        <item x="639"/>
        <item x="603"/>
        <item x="571"/>
        <item x="222"/>
        <item x="319"/>
        <item x="258"/>
        <item x="587"/>
        <item x="655"/>
        <item x="584"/>
        <item x="320"/>
        <item x="472"/>
        <item x="531"/>
        <item x="675"/>
        <item x="629"/>
        <item x="292"/>
        <item x="423"/>
        <item x="229"/>
        <item x="671"/>
        <item x="225"/>
        <item x="473"/>
        <item x="692"/>
        <item x="294"/>
        <item x="367"/>
        <item x="513"/>
        <item x="217"/>
        <item x="291"/>
        <item x="512"/>
        <item x="239"/>
        <item x="534"/>
        <item x="676"/>
        <item x="419"/>
        <item x="588"/>
        <item x="484"/>
        <item x="636"/>
        <item x="514"/>
        <item x="566"/>
        <item x="515"/>
        <item x="521"/>
        <item x="356"/>
        <item x="577"/>
        <item x="583"/>
        <item x="665"/>
        <item x="496"/>
        <item x="537"/>
        <item x="553"/>
        <item x="498"/>
        <item x="563"/>
        <item x="540"/>
        <item x="575"/>
        <item x="343"/>
        <item x="557"/>
        <item x="622"/>
        <item x="485"/>
        <item x="492"/>
        <item x="424"/>
        <item x="433"/>
        <item x="518"/>
        <item x="523"/>
        <item x="520"/>
        <item x="708"/>
        <item x="626"/>
        <item x="274"/>
        <item x="434"/>
        <item x="233"/>
        <item x="713"/>
        <item x="481"/>
        <item x="468"/>
        <item x="357"/>
        <item x="499"/>
        <item x="505"/>
        <item x="627"/>
        <item x="634"/>
        <item x="545"/>
        <item x="506"/>
        <item x="483"/>
        <item x="232"/>
        <item x="533"/>
        <item x="487"/>
        <item x="358"/>
        <item x="519"/>
        <item x="576"/>
        <item x="236"/>
        <item x="582"/>
        <item x="541"/>
        <item x="235"/>
        <item x="620"/>
        <item x="220"/>
        <item x="215"/>
        <item x="213"/>
        <item x="486"/>
        <item x="548"/>
        <item x="508"/>
        <item x="501"/>
        <item x="489"/>
        <item x="482"/>
        <item x="630"/>
        <item x="539"/>
        <item x="547"/>
        <item x="495"/>
        <item x="635"/>
        <item x="709"/>
        <item x="538"/>
        <item x="242"/>
        <item x="211"/>
        <item x="490"/>
        <item x="717"/>
        <item x="500"/>
        <item x="528"/>
        <item x="532"/>
        <item x="632"/>
        <item x="237"/>
        <item x="488"/>
        <item x="241"/>
        <item x="214"/>
        <item x="223"/>
        <item x="234"/>
        <item x="509"/>
        <item x="218"/>
        <item x="529"/>
        <item x="219"/>
        <item x="546"/>
        <item x="479"/>
        <item x="631"/>
        <item x="82"/>
        <item x="621"/>
        <item x="618"/>
        <item x="710"/>
        <item x="491"/>
        <item x="544"/>
        <item x="238"/>
        <item x="712"/>
        <item x="139"/>
        <item x="542"/>
        <item x="510"/>
        <item x="716"/>
        <item x="617"/>
        <item x="69"/>
        <item x="208"/>
        <item x="63"/>
        <item x="53"/>
        <item x="207"/>
        <item x="48"/>
        <item x="49"/>
        <item x="715"/>
        <item x="511"/>
        <item x="478"/>
        <item x="543"/>
        <item x="210"/>
        <item x="707"/>
        <item x="706"/>
        <item x="20"/>
        <item x="70"/>
        <item x="193"/>
        <item x="66"/>
        <item x="714"/>
        <item x="194"/>
        <item x="73"/>
        <item x="1"/>
        <item x="150"/>
        <item x="209"/>
        <item x="192"/>
        <item x="59"/>
        <item x="7"/>
        <item x="3"/>
        <item x="77"/>
        <item x="711"/>
        <item x="224"/>
        <item x="50"/>
        <item x="58"/>
        <item x="116"/>
        <item x="17"/>
        <item x="195"/>
        <item x="64"/>
        <item x="83"/>
        <item x="197"/>
        <item x="191"/>
        <item x="40"/>
        <item x="26"/>
        <item x="60"/>
        <item x="196"/>
        <item x="89"/>
        <item x="6"/>
        <item x="61"/>
        <item x="84"/>
        <item x="27"/>
        <item x="29"/>
        <item x="111"/>
        <item x="203"/>
        <item x="102"/>
        <item x="56"/>
        <item x="18"/>
        <item x="112"/>
        <item x="198"/>
        <item x="175"/>
        <item x="75"/>
        <item x="54"/>
        <item x="11"/>
        <item x="68"/>
        <item x="22"/>
        <item x="41"/>
        <item x="202"/>
        <item x="136"/>
        <item x="30"/>
        <item x="67"/>
        <item x="149"/>
        <item x="152"/>
        <item x="80"/>
        <item x="138"/>
        <item x="42"/>
        <item x="52"/>
        <item x="153"/>
        <item x="39"/>
        <item x="185"/>
        <item x="45"/>
        <item x="4"/>
        <item x="38"/>
        <item x="19"/>
        <item x="51"/>
        <item x="88"/>
        <item x="90"/>
        <item x="135"/>
        <item x="74"/>
        <item x="78"/>
        <item x="201"/>
        <item x="170"/>
        <item x="65"/>
        <item x="87"/>
        <item x="156"/>
        <item x="130"/>
        <item x="44"/>
        <item x="62"/>
        <item x="142"/>
        <item x="35"/>
        <item x="37"/>
        <item x="199"/>
        <item x="23"/>
        <item x="43"/>
        <item x="120"/>
        <item x="79"/>
        <item x="31"/>
        <item x="55"/>
        <item x="21"/>
        <item x="57"/>
        <item x="95"/>
        <item x="32"/>
        <item x="162"/>
        <item x="5"/>
        <item x="13"/>
        <item x="154"/>
        <item x="92"/>
        <item x="94"/>
        <item x="85"/>
        <item x="143"/>
        <item x="148"/>
        <item x="165"/>
        <item x="46"/>
        <item x="76"/>
        <item x="144"/>
        <item x="145"/>
        <item x="103"/>
        <item x="163"/>
        <item x="2"/>
        <item x="114"/>
        <item x="109"/>
        <item x="12"/>
        <item x="28"/>
        <item x="105"/>
        <item x="127"/>
        <item x="118"/>
        <item x="113"/>
        <item x="159"/>
        <item x="8"/>
        <item x="119"/>
        <item x="151"/>
        <item x="106"/>
        <item x="174"/>
        <item x="71"/>
        <item x="173"/>
        <item x="141"/>
        <item x="117"/>
        <item x="132"/>
        <item x="96"/>
        <item x="126"/>
        <item x="98"/>
        <item x="91"/>
        <item x="125"/>
        <item x="10"/>
        <item x="147"/>
        <item x="158"/>
        <item x="93"/>
        <item x="190"/>
        <item x="155"/>
        <item x="121"/>
        <item x="184"/>
        <item x="14"/>
        <item x="122"/>
        <item x="182"/>
        <item x="204"/>
        <item x="134"/>
        <item x="137"/>
        <item x="133"/>
        <item x="104"/>
        <item x="167"/>
        <item x="168"/>
        <item x="176"/>
        <item x="47"/>
        <item x="160"/>
        <item x="140"/>
        <item x="25"/>
        <item x="81"/>
        <item x="16"/>
        <item x="0"/>
        <item x="123"/>
        <item x="72"/>
        <item x="131"/>
        <item x="183"/>
        <item x="34"/>
        <item x="9"/>
        <item x="166"/>
        <item x="206"/>
        <item x="200"/>
        <item x="189"/>
        <item x="33"/>
        <item x="188"/>
        <item x="36"/>
        <item x="171"/>
        <item x="128"/>
        <item x="97"/>
        <item x="180"/>
        <item x="129"/>
        <item x="108"/>
        <item x="24"/>
        <item x="164"/>
        <item x="172"/>
        <item x="100"/>
        <item x="205"/>
        <item x="115"/>
        <item x="169"/>
        <item x="179"/>
        <item x="110"/>
        <item x="186"/>
        <item x="177"/>
        <item x="178"/>
        <item x="99"/>
        <item x="146"/>
        <item x="157"/>
        <item x="181"/>
        <item x="107"/>
        <item x="86"/>
        <item x="161"/>
        <item x="124"/>
        <item x="101"/>
        <item x="15"/>
        <item x="187"/>
        <item t="default"/>
      </items>
    </pivotField>
    <pivotField showAll="0"/>
    <pivotField axis="axisRow" showAll="0">
      <items count="54">
        <item x="50"/>
        <item x="0"/>
        <item x="5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2"/>
        <item t="default"/>
      </items>
    </pivotField>
  </pivotFields>
  <rowFields count="2">
    <field x="14"/>
    <field x="12"/>
  </rowFields>
  <rowItems count="773">
    <i>
      <x/>
    </i>
    <i r="1">
      <x v="180"/>
    </i>
    <i r="1">
      <x v="291"/>
    </i>
    <i r="1">
      <x v="329"/>
    </i>
    <i r="1">
      <x v="428"/>
    </i>
    <i r="1">
      <x v="430"/>
    </i>
    <i r="1">
      <x v="440"/>
    </i>
    <i>
      <x v="1"/>
    </i>
    <i r="1">
      <x v="397"/>
    </i>
    <i r="1">
      <x v="417"/>
    </i>
    <i r="1">
      <x v="439"/>
    </i>
    <i r="1">
      <x v="446"/>
    </i>
    <i r="1">
      <x v="449"/>
    </i>
    <i r="1">
      <x v="454"/>
    </i>
    <i r="1">
      <x v="459"/>
    </i>
    <i r="1">
      <x v="475"/>
    </i>
    <i r="1">
      <x v="480"/>
    </i>
    <i r="1">
      <x v="494"/>
    </i>
    <i r="1">
      <x v="676"/>
    </i>
    <i>
      <x v="2"/>
    </i>
    <i r="1">
      <x v="306"/>
    </i>
    <i r="1">
      <x v="392"/>
    </i>
    <i r="1">
      <x v="442"/>
    </i>
    <i r="1">
      <x v="458"/>
    </i>
    <i r="1">
      <x v="467"/>
    </i>
    <i r="1">
      <x v="469"/>
    </i>
    <i r="1">
      <x v="476"/>
    </i>
    <i r="1">
      <x v="477"/>
    </i>
    <i r="1">
      <x v="492"/>
    </i>
    <i>
      <x v="3"/>
    </i>
    <i r="1">
      <x v="6"/>
    </i>
    <i r="1">
      <x v="46"/>
    </i>
    <i r="1">
      <x v="47"/>
    </i>
    <i r="1">
      <x v="166"/>
    </i>
    <i r="1">
      <x v="237"/>
    </i>
    <i r="1">
      <x v="267"/>
    </i>
    <i r="1">
      <x v="362"/>
    </i>
    <i r="1">
      <x v="407"/>
    </i>
    <i r="1">
      <x v="418"/>
    </i>
    <i r="1">
      <x v="463"/>
    </i>
    <i r="1">
      <x v="522"/>
    </i>
    <i r="1">
      <x v="528"/>
    </i>
    <i r="1">
      <x v="579"/>
    </i>
    <i r="1">
      <x v="626"/>
    </i>
    <i>
      <x v="4"/>
    </i>
    <i r="1">
      <x v="18"/>
    </i>
    <i r="1">
      <x v="63"/>
    </i>
    <i r="1">
      <x v="147"/>
    </i>
    <i r="1">
      <x v="161"/>
    </i>
    <i r="1">
      <x v="190"/>
    </i>
    <i r="1">
      <x v="331"/>
    </i>
    <i r="1">
      <x v="410"/>
    </i>
    <i r="1">
      <x v="433"/>
    </i>
    <i r="1">
      <x v="457"/>
    </i>
    <i r="1">
      <x v="471"/>
    </i>
    <i r="1">
      <x v="527"/>
    </i>
    <i r="1">
      <x v="546"/>
    </i>
    <i r="1">
      <x v="611"/>
    </i>
    <i r="1">
      <x v="636"/>
    </i>
    <i r="1">
      <x v="682"/>
    </i>
    <i>
      <x v="5"/>
    </i>
    <i r="1">
      <x v="65"/>
    </i>
    <i r="1">
      <x v="94"/>
    </i>
    <i r="1">
      <x v="174"/>
    </i>
    <i r="1">
      <x v="215"/>
    </i>
    <i r="1">
      <x v="232"/>
    </i>
    <i r="1">
      <x v="317"/>
    </i>
    <i r="1">
      <x v="341"/>
    </i>
    <i r="1">
      <x v="348"/>
    </i>
    <i r="1">
      <x v="434"/>
    </i>
    <i r="1">
      <x v="438"/>
    </i>
    <i r="1">
      <x v="561"/>
    </i>
    <i r="1">
      <x v="612"/>
    </i>
    <i r="1">
      <x v="629"/>
    </i>
    <i r="1">
      <x v="651"/>
    </i>
    <i r="1">
      <x v="659"/>
    </i>
    <i>
      <x v="6"/>
    </i>
    <i r="1">
      <x v="5"/>
    </i>
    <i r="1">
      <x v="88"/>
    </i>
    <i r="1">
      <x v="121"/>
    </i>
    <i r="1">
      <x v="145"/>
    </i>
    <i r="1">
      <x v="275"/>
    </i>
    <i r="1">
      <x v="370"/>
    </i>
    <i r="1">
      <x v="456"/>
    </i>
    <i r="1">
      <x v="481"/>
    </i>
    <i r="1">
      <x v="498"/>
    </i>
    <i r="1">
      <x v="509"/>
    </i>
    <i r="1">
      <x v="535"/>
    </i>
    <i r="1">
      <x v="555"/>
    </i>
    <i r="1">
      <x v="581"/>
    </i>
    <i r="1">
      <x v="675"/>
    </i>
    <i r="1">
      <x v="717"/>
    </i>
    <i>
      <x v="7"/>
    </i>
    <i r="1">
      <x v="20"/>
    </i>
    <i r="1">
      <x v="105"/>
    </i>
    <i r="1">
      <x v="116"/>
    </i>
    <i r="1">
      <x v="224"/>
    </i>
    <i r="1">
      <x v="388"/>
    </i>
    <i r="1">
      <x v="391"/>
    </i>
    <i r="1">
      <x v="399"/>
    </i>
    <i r="1">
      <x v="401"/>
    </i>
    <i r="1">
      <x v="515"/>
    </i>
    <i r="1">
      <x v="563"/>
    </i>
    <i r="1">
      <x v="600"/>
    </i>
    <i r="1">
      <x v="606"/>
    </i>
    <i>
      <x v="8"/>
    </i>
    <i r="1">
      <x v="151"/>
    </i>
    <i r="1">
      <x v="208"/>
    </i>
    <i r="1">
      <x v="234"/>
    </i>
    <i r="1">
      <x v="297"/>
    </i>
    <i r="1">
      <x v="301"/>
    </i>
    <i r="1">
      <x v="323"/>
    </i>
    <i r="1">
      <x v="340"/>
    </i>
    <i r="1">
      <x v="421"/>
    </i>
    <i r="1">
      <x v="423"/>
    </i>
    <i r="1">
      <x v="444"/>
    </i>
    <i r="1">
      <x v="542"/>
    </i>
    <i r="1">
      <x v="549"/>
    </i>
    <i r="1">
      <x v="630"/>
    </i>
    <i r="1">
      <x v="673"/>
    </i>
    <i r="1">
      <x v="696"/>
    </i>
    <i>
      <x v="9"/>
    </i>
    <i r="1">
      <x v="187"/>
    </i>
    <i r="1">
      <x v="209"/>
    </i>
    <i r="1">
      <x v="220"/>
    </i>
    <i r="1">
      <x v="245"/>
    </i>
    <i r="1">
      <x v="279"/>
    </i>
    <i r="1">
      <x v="312"/>
    </i>
    <i r="1">
      <x v="356"/>
    </i>
    <i r="1">
      <x v="402"/>
    </i>
    <i r="1">
      <x v="422"/>
    </i>
    <i r="1">
      <x v="426"/>
    </i>
    <i r="1">
      <x v="550"/>
    </i>
    <i r="1">
      <x v="567"/>
    </i>
    <i r="1">
      <x v="604"/>
    </i>
    <i>
      <x v="10"/>
    </i>
    <i r="1">
      <x v="141"/>
    </i>
    <i r="1">
      <x v="169"/>
    </i>
    <i r="1">
      <x v="299"/>
    </i>
    <i r="1">
      <x v="313"/>
    </i>
    <i r="1">
      <x v="335"/>
    </i>
    <i r="1">
      <x v="350"/>
    </i>
    <i r="1">
      <x v="351"/>
    </i>
    <i r="1">
      <x v="361"/>
    </i>
    <i r="1">
      <x v="472"/>
    </i>
    <i r="1">
      <x v="483"/>
    </i>
    <i r="1">
      <x v="597"/>
    </i>
    <i r="1">
      <x v="609"/>
    </i>
    <i r="1">
      <x v="681"/>
    </i>
    <i r="1">
      <x v="687"/>
    </i>
    <i>
      <x v="11"/>
    </i>
    <i r="1">
      <x v="28"/>
    </i>
    <i r="1">
      <x v="134"/>
    </i>
    <i r="1">
      <x v="144"/>
    </i>
    <i r="1">
      <x v="152"/>
    </i>
    <i r="1">
      <x v="221"/>
    </i>
    <i r="1">
      <x v="257"/>
    </i>
    <i r="1">
      <x v="376"/>
    </i>
    <i r="1">
      <x v="393"/>
    </i>
    <i r="1">
      <x v="441"/>
    </i>
    <i r="1">
      <x v="473"/>
    </i>
    <i r="1">
      <x v="541"/>
    </i>
    <i r="1">
      <x v="576"/>
    </i>
    <i r="1">
      <x v="580"/>
    </i>
    <i r="1">
      <x v="598"/>
    </i>
    <i r="1">
      <x v="689"/>
    </i>
    <i>
      <x v="12"/>
    </i>
    <i r="1">
      <x v="48"/>
    </i>
    <i r="1">
      <x v="175"/>
    </i>
    <i r="1">
      <x v="249"/>
    </i>
    <i r="1">
      <x v="273"/>
    </i>
    <i r="1">
      <x v="360"/>
    </i>
    <i r="1">
      <x v="390"/>
    </i>
    <i r="1">
      <x v="408"/>
    </i>
    <i r="1">
      <x v="412"/>
    </i>
    <i r="1">
      <x v="461"/>
    </i>
    <i r="1">
      <x v="466"/>
    </i>
    <i r="1">
      <x v="564"/>
    </i>
    <i r="1">
      <x v="573"/>
    </i>
    <i r="1">
      <x v="578"/>
    </i>
    <i r="1">
      <x v="594"/>
    </i>
    <i r="1">
      <x v="601"/>
    </i>
    <i>
      <x v="13"/>
    </i>
    <i r="1">
      <x v="95"/>
    </i>
    <i r="1">
      <x v="309"/>
    </i>
    <i r="1">
      <x v="327"/>
    </i>
    <i r="1">
      <x v="379"/>
    </i>
    <i r="1">
      <x v="386"/>
    </i>
    <i r="1">
      <x v="437"/>
    </i>
    <i r="1">
      <x v="448"/>
    </i>
    <i r="1">
      <x v="493"/>
    </i>
    <i r="1">
      <x v="497"/>
    </i>
    <i r="1">
      <x v="506"/>
    </i>
    <i r="1">
      <x v="507"/>
    </i>
    <i r="1">
      <x v="511"/>
    </i>
    <i r="1">
      <x v="532"/>
    </i>
    <i r="1">
      <x v="620"/>
    </i>
    <i r="1">
      <x v="670"/>
    </i>
    <i>
      <x v="14"/>
    </i>
    <i r="1">
      <x v="102"/>
    </i>
    <i r="1">
      <x v="146"/>
    </i>
    <i r="1">
      <x v="255"/>
    </i>
    <i r="1">
      <x v="319"/>
    </i>
    <i r="1">
      <x v="324"/>
    </i>
    <i r="1">
      <x v="330"/>
    </i>
    <i r="1">
      <x v="336"/>
    </i>
    <i r="1">
      <x v="354"/>
    </i>
    <i r="1">
      <x v="455"/>
    </i>
    <i r="1">
      <x v="462"/>
    </i>
    <i r="1">
      <x v="485"/>
    </i>
    <i r="1">
      <x v="504"/>
    </i>
    <i r="1">
      <x v="560"/>
    </i>
    <i r="1">
      <x v="574"/>
    </i>
    <i r="1">
      <x v="582"/>
    </i>
    <i r="1">
      <x v="605"/>
    </i>
    <i>
      <x v="15"/>
    </i>
    <i r="1">
      <x v="78"/>
    </i>
    <i r="1">
      <x v="204"/>
    </i>
    <i r="1">
      <x v="216"/>
    </i>
    <i r="1">
      <x v="228"/>
    </i>
    <i r="1">
      <x v="229"/>
    </i>
    <i r="1">
      <x v="264"/>
    </i>
    <i r="1">
      <x v="294"/>
    </i>
    <i r="1">
      <x v="295"/>
    </i>
    <i r="1">
      <x v="338"/>
    </i>
    <i r="1">
      <x v="409"/>
    </i>
    <i r="1">
      <x v="526"/>
    </i>
    <i r="1">
      <x v="533"/>
    </i>
    <i r="1">
      <x v="543"/>
    </i>
    <i r="1">
      <x v="554"/>
    </i>
    <i r="1">
      <x v="607"/>
    </i>
    <i>
      <x v="16"/>
    </i>
    <i r="1">
      <x v="101"/>
    </i>
    <i r="1">
      <x v="125"/>
    </i>
    <i r="1">
      <x v="129"/>
    </i>
    <i r="1">
      <x v="256"/>
    </i>
    <i r="1">
      <x v="268"/>
    </i>
    <i r="1">
      <x v="290"/>
    </i>
    <i r="1">
      <x v="308"/>
    </i>
    <i r="1">
      <x v="310"/>
    </i>
    <i r="1">
      <x v="333"/>
    </i>
    <i r="1">
      <x v="415"/>
    </i>
    <i r="1">
      <x v="503"/>
    </i>
    <i r="1">
      <x v="537"/>
    </i>
    <i r="1">
      <x v="547"/>
    </i>
    <i r="1">
      <x v="590"/>
    </i>
    <i r="1">
      <x v="595"/>
    </i>
    <i>
      <x v="17"/>
    </i>
    <i r="1">
      <x v="58"/>
    </i>
    <i r="1">
      <x v="73"/>
    </i>
    <i r="1">
      <x v="157"/>
    </i>
    <i r="1">
      <x v="225"/>
    </i>
    <i r="1">
      <x v="253"/>
    </i>
    <i r="1">
      <x v="274"/>
    </i>
    <i r="1">
      <x v="280"/>
    </i>
    <i r="1">
      <x v="315"/>
    </i>
    <i r="1">
      <x v="400"/>
    </i>
    <i r="1">
      <x v="411"/>
    </i>
    <i r="1">
      <x v="501"/>
    </i>
    <i r="1">
      <x v="516"/>
    </i>
    <i r="1">
      <x v="518"/>
    </i>
    <i r="1">
      <x v="562"/>
    </i>
    <i r="1">
      <x v="568"/>
    </i>
    <i>
      <x v="18"/>
    </i>
    <i r="1">
      <x v="57"/>
    </i>
    <i r="1">
      <x v="83"/>
    </i>
    <i r="1">
      <x v="126"/>
    </i>
    <i r="1">
      <x v="231"/>
    </i>
    <i r="1">
      <x v="305"/>
    </i>
    <i r="1">
      <x v="318"/>
    </i>
    <i r="1">
      <x v="353"/>
    </i>
    <i r="1">
      <x v="367"/>
    </i>
    <i r="1">
      <x v="369"/>
    </i>
    <i r="1">
      <x v="374"/>
    </i>
    <i r="1">
      <x v="521"/>
    </i>
    <i r="1">
      <x v="559"/>
    </i>
    <i r="1">
      <x v="586"/>
    </i>
    <i r="1">
      <x v="641"/>
    </i>
    <i r="1">
      <x v="678"/>
    </i>
    <i>
      <x v="19"/>
    </i>
    <i r="1">
      <x v="50"/>
    </i>
    <i r="1">
      <x v="59"/>
    </i>
    <i r="1">
      <x v="104"/>
    </i>
    <i r="1">
      <x v="160"/>
    </i>
    <i r="1">
      <x v="196"/>
    </i>
    <i r="1">
      <x v="201"/>
    </i>
    <i r="1">
      <x v="250"/>
    </i>
    <i r="1">
      <x v="292"/>
    </i>
    <i r="1">
      <x v="413"/>
    </i>
    <i r="1">
      <x v="445"/>
    </i>
    <i r="1">
      <x v="529"/>
    </i>
    <i r="1">
      <x v="571"/>
    </i>
    <i r="1">
      <x v="587"/>
    </i>
    <i r="1">
      <x v="603"/>
    </i>
    <i r="1">
      <x v="621"/>
    </i>
    <i>
      <x v="20"/>
    </i>
    <i r="1">
      <x v="60"/>
    </i>
    <i r="1">
      <x v="123"/>
    </i>
    <i r="1">
      <x v="150"/>
    </i>
    <i r="1">
      <x v="206"/>
    </i>
    <i r="1">
      <x v="219"/>
    </i>
    <i r="1">
      <x v="246"/>
    </i>
    <i r="1">
      <x v="254"/>
    </i>
    <i r="1">
      <x v="363"/>
    </i>
    <i r="1">
      <x v="404"/>
    </i>
    <i r="1">
      <x v="488"/>
    </i>
    <i r="1">
      <x v="538"/>
    </i>
    <i r="1">
      <x v="548"/>
    </i>
    <i r="1">
      <x v="616"/>
    </i>
    <i r="1">
      <x v="674"/>
    </i>
    <i>
      <x v="21"/>
    </i>
    <i r="1">
      <x v="56"/>
    </i>
    <i r="1">
      <x v="183"/>
    </i>
    <i r="1">
      <x v="199"/>
    </i>
    <i r="1">
      <x v="282"/>
    </i>
    <i r="1">
      <x v="304"/>
    </i>
    <i r="1">
      <x v="405"/>
    </i>
    <i r="1">
      <x v="447"/>
    </i>
    <i r="1">
      <x v="545"/>
    </i>
    <i r="1">
      <x v="583"/>
    </i>
    <i r="1">
      <x v="591"/>
    </i>
    <i r="1">
      <x v="713"/>
    </i>
    <i>
      <x v="22"/>
    </i>
    <i r="1">
      <x v="106"/>
    </i>
    <i r="1">
      <x v="143"/>
    </i>
    <i r="1">
      <x v="162"/>
    </i>
    <i r="1">
      <x v="171"/>
    </i>
    <i r="1">
      <x v="193"/>
    </i>
    <i r="1">
      <x v="205"/>
    </i>
    <i r="1">
      <x v="343"/>
    </i>
    <i r="1">
      <x v="371"/>
    </i>
    <i r="1">
      <x v="373"/>
    </i>
    <i r="1">
      <x v="396"/>
    </i>
    <i r="1">
      <x v="584"/>
    </i>
    <i r="1">
      <x v="614"/>
    </i>
    <i r="1">
      <x v="615"/>
    </i>
    <i r="1">
      <x v="649"/>
    </i>
    <i r="1">
      <x v="654"/>
    </i>
    <i>
      <x v="23"/>
    </i>
    <i r="1">
      <x v="21"/>
    </i>
    <i r="1">
      <x v="67"/>
    </i>
    <i r="1">
      <x v="76"/>
    </i>
    <i r="1">
      <x v="156"/>
    </i>
    <i r="1">
      <x v="168"/>
    </i>
    <i r="1">
      <x v="248"/>
    </i>
    <i r="1">
      <x v="259"/>
    </i>
    <i r="1">
      <x v="414"/>
    </i>
    <i r="1">
      <x v="608"/>
    </i>
    <i r="1">
      <x v="646"/>
    </i>
    <i r="1">
      <x v="648"/>
    </i>
    <i r="1">
      <x v="692"/>
    </i>
    <i r="1">
      <x v="708"/>
    </i>
    <i>
      <x v="24"/>
    </i>
    <i r="1">
      <x v="75"/>
    </i>
    <i r="1">
      <x v="85"/>
    </i>
    <i r="1">
      <x v="127"/>
    </i>
    <i r="1">
      <x v="131"/>
    </i>
    <i r="1">
      <x v="163"/>
    </i>
    <i r="1">
      <x v="211"/>
    </i>
    <i r="1">
      <x v="344"/>
    </i>
    <i r="1">
      <x v="553"/>
    </i>
    <i r="1">
      <x v="624"/>
    </i>
    <i r="1">
      <x v="699"/>
    </i>
    <i r="1">
      <x v="716"/>
    </i>
    <i>
      <x v="25"/>
    </i>
    <i r="1">
      <x v="55"/>
    </i>
    <i r="1">
      <x v="133"/>
    </i>
    <i r="1">
      <x v="177"/>
    </i>
    <i r="1">
      <x v="179"/>
    </i>
    <i r="1">
      <x v="192"/>
    </i>
    <i r="1">
      <x v="198"/>
    </i>
    <i r="1">
      <x v="223"/>
    </i>
    <i r="1">
      <x v="242"/>
    </i>
    <i r="1">
      <x v="347"/>
    </i>
    <i r="1">
      <x v="352"/>
    </i>
    <i r="1">
      <x v="631"/>
    </i>
    <i r="1">
      <x v="639"/>
    </i>
    <i r="1">
      <x v="666"/>
    </i>
    <i r="1">
      <x v="695"/>
    </i>
    <i r="1">
      <x v="712"/>
    </i>
    <i>
      <x v="26"/>
    </i>
    <i r="1">
      <x v="164"/>
    </i>
    <i r="1">
      <x v="191"/>
    </i>
    <i r="1">
      <x v="342"/>
    </i>
    <i r="1">
      <x v="345"/>
    </i>
    <i r="1">
      <x v="364"/>
    </i>
    <i r="1">
      <x v="403"/>
    </i>
    <i r="1">
      <x v="432"/>
    </i>
    <i r="1">
      <x v="443"/>
    </i>
    <i r="1">
      <x v="551"/>
    </i>
    <i r="1">
      <x v="556"/>
    </i>
    <i r="1">
      <x v="628"/>
    </i>
    <i r="1">
      <x v="704"/>
    </i>
    <i>
      <x v="27"/>
    </i>
    <i r="1">
      <x v="107"/>
    </i>
    <i r="1">
      <x v="176"/>
    </i>
    <i r="1">
      <x v="197"/>
    </i>
    <i r="1">
      <x v="207"/>
    </i>
    <i r="1">
      <x v="265"/>
    </i>
    <i r="1">
      <x v="276"/>
    </i>
    <i r="1">
      <x v="287"/>
    </i>
    <i r="1">
      <x v="300"/>
    </i>
    <i r="1">
      <x v="320"/>
    </i>
    <i r="1">
      <x v="366"/>
    </i>
    <i r="1">
      <x v="534"/>
    </i>
    <i r="1">
      <x v="627"/>
    </i>
    <i r="1">
      <x v="634"/>
    </i>
    <i r="1">
      <x v="644"/>
    </i>
    <i r="1">
      <x v="701"/>
    </i>
    <i>
      <x v="28"/>
    </i>
    <i r="1">
      <x v="2"/>
    </i>
    <i r="1">
      <x v="120"/>
    </i>
    <i r="1">
      <x v="137"/>
    </i>
    <i r="1">
      <x v="138"/>
    </i>
    <i r="1">
      <x v="244"/>
    </i>
    <i r="1">
      <x v="247"/>
    </i>
    <i r="1">
      <x v="278"/>
    </i>
    <i r="1">
      <x v="328"/>
    </i>
    <i r="1">
      <x v="387"/>
    </i>
    <i r="1">
      <x v="602"/>
    </i>
    <i r="1">
      <x v="633"/>
    </i>
    <i r="1">
      <x v="637"/>
    </i>
    <i r="1">
      <x v="657"/>
    </i>
    <i r="1">
      <x v="660"/>
    </i>
    <i>
      <x v="29"/>
    </i>
    <i r="1">
      <x v="29"/>
    </i>
    <i r="1">
      <x v="35"/>
    </i>
    <i r="1">
      <x v="97"/>
    </i>
    <i r="1">
      <x v="98"/>
    </i>
    <i r="1">
      <x v="114"/>
    </i>
    <i r="1">
      <x v="153"/>
    </i>
    <i r="1">
      <x v="154"/>
    </i>
    <i r="1">
      <x v="230"/>
    </i>
    <i r="1">
      <x v="326"/>
    </i>
    <i r="1">
      <x v="632"/>
    </i>
    <i r="1">
      <x v="647"/>
    </i>
    <i r="1">
      <x v="650"/>
    </i>
    <i r="1">
      <x v="677"/>
    </i>
    <i r="1">
      <x v="715"/>
    </i>
    <i>
      <x v="30"/>
    </i>
    <i r="1">
      <x v="39"/>
    </i>
    <i r="1">
      <x v="110"/>
    </i>
    <i r="1">
      <x v="113"/>
    </i>
    <i r="1">
      <x v="188"/>
    </i>
    <i r="1">
      <x v="263"/>
    </i>
    <i r="1">
      <x v="321"/>
    </i>
    <i r="1">
      <x v="450"/>
    </i>
    <i r="1">
      <x v="489"/>
    </i>
    <i r="1">
      <x v="490"/>
    </i>
    <i r="1">
      <x v="500"/>
    </i>
    <i r="1">
      <x v="593"/>
    </i>
    <i r="1">
      <x v="645"/>
    </i>
    <i r="1">
      <x v="679"/>
    </i>
    <i r="1">
      <x v="691"/>
    </i>
    <i r="1">
      <x v="694"/>
    </i>
    <i>
      <x v="31"/>
    </i>
    <i r="1">
      <x v="24"/>
    </i>
    <i r="1">
      <x v="109"/>
    </i>
    <i r="1">
      <x v="117"/>
    </i>
    <i r="1">
      <x v="140"/>
    </i>
    <i r="1">
      <x v="148"/>
    </i>
    <i r="1">
      <x v="217"/>
    </i>
    <i r="1">
      <x v="286"/>
    </i>
    <i r="1">
      <x v="337"/>
    </i>
    <i r="1">
      <x v="416"/>
    </i>
    <i r="1">
      <x v="425"/>
    </i>
    <i r="1">
      <x v="566"/>
    </i>
    <i r="1">
      <x v="585"/>
    </i>
    <i r="1">
      <x v="663"/>
    </i>
    <i r="1">
      <x v="664"/>
    </i>
    <i r="1">
      <x v="665"/>
    </i>
    <i>
      <x v="32"/>
    </i>
    <i r="1">
      <x v="53"/>
    </i>
    <i r="1">
      <x v="62"/>
    </i>
    <i r="1">
      <x v="165"/>
    </i>
    <i r="1">
      <x v="200"/>
    </i>
    <i r="1">
      <x v="293"/>
    </i>
    <i r="1">
      <x v="378"/>
    </i>
    <i r="1">
      <x v="435"/>
    </i>
    <i r="1">
      <x v="460"/>
    </i>
    <i r="1">
      <x v="487"/>
    </i>
    <i r="1">
      <x v="496"/>
    </i>
    <i r="1">
      <x v="572"/>
    </i>
    <i>
      <x v="33"/>
    </i>
    <i r="1">
      <x v="40"/>
    </i>
    <i r="1">
      <x v="81"/>
    </i>
    <i r="1">
      <x v="99"/>
    </i>
    <i r="1">
      <x v="213"/>
    </i>
    <i r="1">
      <x v="222"/>
    </i>
    <i r="1">
      <x v="277"/>
    </i>
    <i r="1">
      <x v="398"/>
    </i>
    <i r="1">
      <x v="436"/>
    </i>
    <i r="1">
      <x v="464"/>
    </i>
    <i r="1">
      <x v="474"/>
    </i>
    <i r="1">
      <x v="596"/>
    </i>
    <i r="1">
      <x v="617"/>
    </i>
    <i r="1">
      <x v="622"/>
    </i>
    <i r="1">
      <x v="643"/>
    </i>
    <i r="1">
      <x v="672"/>
    </i>
    <i>
      <x v="34"/>
    </i>
    <i r="1">
      <x v="49"/>
    </i>
    <i r="1">
      <x v="118"/>
    </i>
    <i r="1">
      <x v="185"/>
    </i>
    <i r="1">
      <x v="194"/>
    </i>
    <i r="1">
      <x v="202"/>
    </i>
    <i r="1">
      <x v="241"/>
    </i>
    <i r="1">
      <x v="349"/>
    </i>
    <i r="1">
      <x v="365"/>
    </i>
    <i r="1">
      <x v="569"/>
    </i>
    <i r="1">
      <x v="618"/>
    </i>
    <i r="1">
      <x v="623"/>
    </i>
    <i r="1">
      <x v="652"/>
    </i>
    <i r="1">
      <x v="709"/>
    </i>
    <i>
      <x v="35"/>
    </i>
    <i r="1">
      <x v="10"/>
    </i>
    <i r="1">
      <x v="87"/>
    </i>
    <i r="1">
      <x v="111"/>
    </i>
    <i r="1">
      <x v="149"/>
    </i>
    <i r="1">
      <x v="173"/>
    </i>
    <i r="1">
      <x v="226"/>
    </i>
    <i r="1">
      <x v="227"/>
    </i>
    <i r="1">
      <x v="239"/>
    </i>
    <i r="1">
      <x v="523"/>
    </i>
    <i r="1">
      <x v="570"/>
    </i>
    <i r="1">
      <x v="575"/>
    </i>
    <i r="1">
      <x v="638"/>
    </i>
    <i>
      <x v="36"/>
    </i>
    <i r="1">
      <x v="17"/>
    </i>
    <i r="1">
      <x v="25"/>
    </i>
    <i r="1">
      <x v="30"/>
    </i>
    <i r="1">
      <x v="54"/>
    </i>
    <i r="1">
      <x v="72"/>
    </i>
    <i r="1">
      <x v="122"/>
    </i>
    <i r="1">
      <x v="130"/>
    </i>
    <i r="1">
      <x v="189"/>
    </i>
    <i r="1">
      <x v="214"/>
    </i>
    <i r="1">
      <x v="235"/>
    </i>
    <i r="1">
      <x v="251"/>
    </i>
    <i r="1">
      <x v="592"/>
    </i>
    <i r="1">
      <x v="613"/>
    </i>
    <i r="1">
      <x v="653"/>
    </i>
    <i r="1">
      <x v="656"/>
    </i>
    <i r="1">
      <x v="710"/>
    </i>
    <i>
      <x v="37"/>
    </i>
    <i r="1">
      <x v="11"/>
    </i>
    <i r="1">
      <x v="33"/>
    </i>
    <i r="1">
      <x v="51"/>
    </i>
    <i r="1">
      <x v="52"/>
    </i>
    <i r="1">
      <x v="61"/>
    </i>
    <i r="1">
      <x v="112"/>
    </i>
    <i r="1">
      <x v="233"/>
    </i>
    <i r="1">
      <x v="240"/>
    </i>
    <i r="1">
      <x v="283"/>
    </i>
    <i r="1">
      <x v="372"/>
    </i>
    <i r="1">
      <x v="610"/>
    </i>
    <i r="1">
      <x v="625"/>
    </i>
    <i r="1">
      <x v="635"/>
    </i>
    <i r="1">
      <x v="671"/>
    </i>
    <i r="1">
      <x v="714"/>
    </i>
    <i>
      <x v="38"/>
    </i>
    <i r="1">
      <x v="12"/>
    </i>
    <i r="1">
      <x v="16"/>
    </i>
    <i r="1">
      <x v="19"/>
    </i>
    <i r="1">
      <x v="31"/>
    </i>
    <i r="1">
      <x v="42"/>
    </i>
    <i r="1">
      <x v="43"/>
    </i>
    <i r="1">
      <x v="79"/>
    </i>
    <i r="1">
      <x v="108"/>
    </i>
    <i r="1">
      <x v="155"/>
    </i>
    <i r="1">
      <x v="167"/>
    </i>
    <i r="1">
      <x v="619"/>
    </i>
    <i r="1">
      <x v="667"/>
    </i>
    <i r="1">
      <x v="668"/>
    </i>
    <i r="1">
      <x v="683"/>
    </i>
    <i r="1">
      <x v="697"/>
    </i>
    <i>
      <x v="39"/>
    </i>
    <i r="1">
      <x v="38"/>
    </i>
    <i r="1">
      <x v="80"/>
    </i>
    <i r="1">
      <x v="86"/>
    </i>
    <i r="1">
      <x v="96"/>
    </i>
    <i r="1">
      <x v="103"/>
    </i>
    <i r="1">
      <x v="182"/>
    </i>
    <i r="1">
      <x v="262"/>
    </i>
    <i r="1">
      <x v="289"/>
    </i>
    <i r="1">
      <x v="395"/>
    </i>
    <i r="1">
      <x v="406"/>
    </i>
    <i r="1">
      <x v="589"/>
    </i>
    <i r="1">
      <x v="642"/>
    </i>
    <i r="1">
      <x v="690"/>
    </i>
    <i r="1">
      <x v="698"/>
    </i>
    <i r="1">
      <x v="702"/>
    </i>
    <i>
      <x v="40"/>
    </i>
    <i r="1">
      <x v="92"/>
    </i>
    <i r="1">
      <x v="159"/>
    </i>
    <i r="1">
      <x v="281"/>
    </i>
    <i r="1">
      <x v="284"/>
    </i>
    <i r="1">
      <x v="285"/>
    </i>
    <i r="1">
      <x v="288"/>
    </i>
    <i r="1">
      <x v="303"/>
    </i>
    <i r="1">
      <x v="380"/>
    </i>
    <i r="1">
      <x v="419"/>
    </i>
    <i r="1">
      <x v="558"/>
    </i>
    <i r="1">
      <x v="640"/>
    </i>
    <i r="1">
      <x v="669"/>
    </i>
    <i r="1">
      <x v="706"/>
    </i>
    <i>
      <x v="41"/>
    </i>
    <i r="1">
      <x v="26"/>
    </i>
    <i r="1">
      <x v="77"/>
    </i>
    <i r="1">
      <x v="90"/>
    </i>
    <i r="1">
      <x v="178"/>
    </i>
    <i r="1">
      <x v="260"/>
    </i>
    <i r="1">
      <x v="272"/>
    </i>
    <i r="1">
      <x v="298"/>
    </i>
    <i r="1">
      <x v="358"/>
    </i>
    <i r="1">
      <x v="382"/>
    </i>
    <i r="1">
      <x v="661"/>
    </i>
    <i r="1">
      <x v="693"/>
    </i>
    <i r="1">
      <x v="703"/>
    </i>
    <i r="1">
      <x v="707"/>
    </i>
    <i r="1">
      <x v="711"/>
    </i>
    <i>
      <x v="42"/>
    </i>
    <i r="1">
      <x v="36"/>
    </i>
    <i r="1">
      <x v="68"/>
    </i>
    <i r="1">
      <x v="84"/>
    </i>
    <i r="1">
      <x v="238"/>
    </i>
    <i r="1">
      <x v="307"/>
    </i>
    <i r="1">
      <x v="311"/>
    </i>
    <i r="1">
      <x v="377"/>
    </i>
    <i r="1">
      <x v="394"/>
    </i>
    <i r="1">
      <x v="420"/>
    </i>
    <i r="1">
      <x v="577"/>
    </i>
    <i r="1">
      <x v="658"/>
    </i>
    <i r="1">
      <x v="680"/>
    </i>
    <i r="1">
      <x v="705"/>
    </i>
    <i r="1">
      <x v="718"/>
    </i>
    <i>
      <x v="43"/>
    </i>
    <i r="1">
      <x v="74"/>
    </i>
    <i r="1">
      <x v="91"/>
    </i>
    <i r="1">
      <x v="100"/>
    </i>
    <i r="1">
      <x v="119"/>
    </i>
    <i r="1">
      <x v="139"/>
    </i>
    <i r="1">
      <x v="181"/>
    </i>
    <i r="1">
      <x v="243"/>
    </i>
    <i r="1">
      <x v="261"/>
    </i>
    <i r="1">
      <x v="296"/>
    </i>
    <i r="1">
      <x v="427"/>
    </i>
    <i r="1">
      <x v="525"/>
    </i>
    <i r="1">
      <x v="540"/>
    </i>
    <i r="1">
      <x v="655"/>
    </i>
    <i r="1">
      <x v="686"/>
    </i>
    <i r="1">
      <x v="688"/>
    </i>
    <i>
      <x v="44"/>
    </i>
    <i r="1">
      <x v="22"/>
    </i>
    <i r="1">
      <x v="34"/>
    </i>
    <i r="1">
      <x v="41"/>
    </i>
    <i r="1">
      <x v="70"/>
    </i>
    <i r="1">
      <x v="186"/>
    </i>
    <i r="1">
      <x v="252"/>
    </i>
    <i r="1">
      <x v="258"/>
    </i>
    <i r="1">
      <x v="302"/>
    </i>
    <i r="1">
      <x v="325"/>
    </i>
    <i r="1">
      <x v="339"/>
    </i>
    <i r="1">
      <x v="517"/>
    </i>
    <i r="1">
      <x v="520"/>
    </i>
    <i r="1">
      <x v="536"/>
    </i>
    <i r="1">
      <x v="544"/>
    </i>
    <i>
      <x v="45"/>
    </i>
    <i r="1">
      <x v="9"/>
    </i>
    <i r="1">
      <x v="23"/>
    </i>
    <i r="1">
      <x v="27"/>
    </i>
    <i r="1">
      <x v="66"/>
    </i>
    <i r="1">
      <x v="124"/>
    </i>
    <i r="1">
      <x v="271"/>
    </i>
    <i r="1">
      <x v="316"/>
    </i>
    <i r="1">
      <x v="385"/>
    </i>
    <i r="1">
      <x v="539"/>
    </i>
    <i r="1">
      <x v="557"/>
    </i>
    <i r="1">
      <x v="588"/>
    </i>
    <i r="1">
      <x v="599"/>
    </i>
    <i r="1">
      <x v="685"/>
    </i>
    <i>
      <x v="46"/>
    </i>
    <i r="1">
      <x v="8"/>
    </i>
    <i r="1">
      <x v="13"/>
    </i>
    <i r="1">
      <x v="44"/>
    </i>
    <i r="1">
      <x v="45"/>
    </i>
    <i r="1">
      <x v="142"/>
    </i>
    <i r="1">
      <x v="172"/>
    </i>
    <i r="1">
      <x v="210"/>
    </i>
    <i r="1">
      <x v="212"/>
    </i>
    <i r="1">
      <x v="266"/>
    </i>
    <i r="1">
      <x v="355"/>
    </i>
    <i r="1">
      <x v="552"/>
    </i>
    <i r="1">
      <x v="565"/>
    </i>
    <i r="1">
      <x v="662"/>
    </i>
    <i r="1">
      <x v="700"/>
    </i>
    <i>
      <x v="47"/>
    </i>
    <i r="1">
      <x v="7"/>
    </i>
    <i r="1">
      <x v="71"/>
    </i>
    <i r="1">
      <x v="82"/>
    </i>
    <i r="1">
      <x v="93"/>
    </i>
    <i r="1">
      <x v="170"/>
    </i>
    <i r="1">
      <x v="184"/>
    </i>
    <i r="1">
      <x v="236"/>
    </i>
    <i r="1">
      <x v="270"/>
    </i>
    <i r="1">
      <x v="334"/>
    </i>
    <i r="1">
      <x v="502"/>
    </i>
    <i r="1">
      <x v="505"/>
    </i>
    <i r="1">
      <x v="512"/>
    </i>
    <i r="1">
      <x v="524"/>
    </i>
    <i r="1">
      <x v="684"/>
    </i>
    <i>
      <x v="48"/>
    </i>
    <i r="1">
      <x v="1"/>
    </i>
    <i r="1">
      <x v="4"/>
    </i>
    <i r="1">
      <x v="32"/>
    </i>
    <i r="1">
      <x v="37"/>
    </i>
    <i r="1">
      <x v="89"/>
    </i>
    <i r="1">
      <x v="136"/>
    </i>
    <i r="1">
      <x v="218"/>
    </i>
    <i r="1">
      <x v="269"/>
    </i>
    <i r="1">
      <x v="346"/>
    </i>
    <i r="1">
      <x v="452"/>
    </i>
    <i r="1">
      <x v="453"/>
    </i>
    <i r="1">
      <x v="468"/>
    </i>
    <i r="1">
      <x v="478"/>
    </i>
    <i r="1">
      <x v="513"/>
    </i>
    <i r="1">
      <x v="514"/>
    </i>
    <i>
      <x v="49"/>
    </i>
    <i r="1">
      <x/>
    </i>
    <i r="1">
      <x v="3"/>
    </i>
    <i r="1">
      <x v="14"/>
    </i>
    <i r="1">
      <x v="15"/>
    </i>
    <i r="1">
      <x v="64"/>
    </i>
    <i r="1">
      <x v="359"/>
    </i>
    <i r="1">
      <x v="389"/>
    </i>
    <i r="1">
      <x v="424"/>
    </i>
    <i r="1">
      <x v="451"/>
    </i>
    <i r="1">
      <x v="465"/>
    </i>
    <i r="1">
      <x v="482"/>
    </i>
    <i r="1">
      <x v="484"/>
    </i>
    <i r="1">
      <x v="491"/>
    </i>
    <i r="1">
      <x v="495"/>
    </i>
    <i r="1">
      <x v="530"/>
    </i>
    <i>
      <x v="50"/>
    </i>
    <i r="1">
      <x v="132"/>
    </i>
    <i r="1">
      <x v="314"/>
    </i>
    <i r="1">
      <x v="332"/>
    </i>
    <i r="1">
      <x v="357"/>
    </i>
    <i r="1">
      <x v="368"/>
    </i>
    <i r="1">
      <x v="375"/>
    </i>
    <i r="1">
      <x v="383"/>
    </i>
    <i r="1">
      <x v="429"/>
    </i>
    <i r="1">
      <x v="431"/>
    </i>
    <i r="1">
      <x v="470"/>
    </i>
    <i r="1">
      <x v="479"/>
    </i>
    <i r="1">
      <x v="499"/>
    </i>
    <i r="1">
      <x v="508"/>
    </i>
    <i r="1">
      <x v="519"/>
    </i>
    <i r="1">
      <x v="531"/>
    </i>
    <i>
      <x v="51"/>
    </i>
    <i r="1">
      <x v="69"/>
    </i>
    <i r="1">
      <x v="115"/>
    </i>
    <i r="1">
      <x v="128"/>
    </i>
    <i r="1">
      <x v="135"/>
    </i>
    <i r="1">
      <x v="158"/>
    </i>
    <i r="1">
      <x v="195"/>
    </i>
    <i r="1">
      <x v="203"/>
    </i>
    <i r="1">
      <x v="322"/>
    </i>
    <i r="1">
      <x v="381"/>
    </i>
    <i r="1">
      <x v="384"/>
    </i>
    <i>
      <x v="52"/>
    </i>
    <i r="1">
      <x v="486"/>
    </i>
    <i r="1">
      <x v="5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Daily Intake" fld="7" baseField="0" baseItem="0"/>
    <dataField name="Sum of Net Daily Intake2" fld="7" baseField="0" baseItem="0"/>
  </dataFields>
  <formats count="57">
    <format dxfId="56">
      <pivotArea field="14" type="button" dataOnly="0" labelOnly="1" outline="0" axis="axisRow" fieldPosition="0"/>
    </format>
    <format dxfId="55">
      <pivotArea dataOnly="0" labelOnly="1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4">
      <pivotArea dataOnly="0" labelOnly="1" fieldPosition="0">
        <references count="1">
          <reference field="14" count="3">
            <x v="50"/>
            <x v="51"/>
            <x v="52"/>
          </reference>
        </references>
      </pivotArea>
    </format>
    <format dxfId="53">
      <pivotArea dataOnly="0" labelOnly="1" grandRow="1" outline="0" fieldPosition="0"/>
    </format>
    <format dxfId="52">
      <pivotArea dataOnly="0" labelOnly="1" fieldPosition="0">
        <references count="2">
          <reference field="12" count="6">
            <x v="180"/>
            <x v="291"/>
            <x v="329"/>
            <x v="428"/>
            <x v="430"/>
            <x v="440"/>
          </reference>
          <reference field="14" count="1" selected="0">
            <x v="0"/>
          </reference>
        </references>
      </pivotArea>
    </format>
    <format dxfId="51">
      <pivotArea dataOnly="0" labelOnly="1" fieldPosition="0">
        <references count="2">
          <reference field="12" count="11">
            <x v="397"/>
            <x v="417"/>
            <x v="439"/>
            <x v="446"/>
            <x v="449"/>
            <x v="454"/>
            <x v="459"/>
            <x v="475"/>
            <x v="480"/>
            <x v="494"/>
            <x v="676"/>
          </reference>
          <reference field="14" count="1" selected="0">
            <x v="1"/>
          </reference>
        </references>
      </pivotArea>
    </format>
    <format dxfId="50">
      <pivotArea dataOnly="0" labelOnly="1" fieldPosition="0">
        <references count="2">
          <reference field="12" count="9">
            <x v="306"/>
            <x v="392"/>
            <x v="442"/>
            <x v="458"/>
            <x v="467"/>
            <x v="469"/>
            <x v="476"/>
            <x v="477"/>
            <x v="492"/>
          </reference>
          <reference field="14" count="1" selected="0">
            <x v="2"/>
          </reference>
        </references>
      </pivotArea>
    </format>
    <format dxfId="49">
      <pivotArea dataOnly="0" labelOnly="1" fieldPosition="0">
        <references count="2">
          <reference field="12" count="14">
            <x v="6"/>
            <x v="46"/>
            <x v="47"/>
            <x v="166"/>
            <x v="237"/>
            <x v="267"/>
            <x v="362"/>
            <x v="407"/>
            <x v="418"/>
            <x v="463"/>
            <x v="522"/>
            <x v="528"/>
            <x v="579"/>
            <x v="626"/>
          </reference>
          <reference field="14" count="1" selected="0">
            <x v="3"/>
          </reference>
        </references>
      </pivotArea>
    </format>
    <format dxfId="48">
      <pivotArea dataOnly="0" labelOnly="1" fieldPosition="0">
        <references count="2">
          <reference field="12" count="15">
            <x v="18"/>
            <x v="63"/>
            <x v="147"/>
            <x v="161"/>
            <x v="190"/>
            <x v="331"/>
            <x v="410"/>
            <x v="433"/>
            <x v="457"/>
            <x v="471"/>
            <x v="527"/>
            <x v="546"/>
            <x v="611"/>
            <x v="636"/>
            <x v="682"/>
          </reference>
          <reference field="14" count="1" selected="0">
            <x v="4"/>
          </reference>
        </references>
      </pivotArea>
    </format>
    <format dxfId="47">
      <pivotArea dataOnly="0" labelOnly="1" fieldPosition="0">
        <references count="2">
          <reference field="12" count="15">
            <x v="65"/>
            <x v="94"/>
            <x v="174"/>
            <x v="215"/>
            <x v="232"/>
            <x v="317"/>
            <x v="341"/>
            <x v="348"/>
            <x v="434"/>
            <x v="438"/>
            <x v="561"/>
            <x v="612"/>
            <x v="629"/>
            <x v="651"/>
            <x v="659"/>
          </reference>
          <reference field="14" count="1" selected="0">
            <x v="5"/>
          </reference>
        </references>
      </pivotArea>
    </format>
    <format dxfId="46">
      <pivotArea dataOnly="0" labelOnly="1" fieldPosition="0">
        <references count="2">
          <reference field="12" count="15">
            <x v="5"/>
            <x v="88"/>
            <x v="121"/>
            <x v="145"/>
            <x v="275"/>
            <x v="370"/>
            <x v="456"/>
            <x v="481"/>
            <x v="498"/>
            <x v="509"/>
            <x v="535"/>
            <x v="555"/>
            <x v="581"/>
            <x v="675"/>
            <x v="717"/>
          </reference>
          <reference field="14" count="1" selected="0">
            <x v="6"/>
          </reference>
        </references>
      </pivotArea>
    </format>
    <format dxfId="45">
      <pivotArea dataOnly="0" labelOnly="1" fieldPosition="0">
        <references count="2">
          <reference field="12" count="12">
            <x v="20"/>
            <x v="105"/>
            <x v="116"/>
            <x v="224"/>
            <x v="388"/>
            <x v="391"/>
            <x v="399"/>
            <x v="401"/>
            <x v="515"/>
            <x v="563"/>
            <x v="600"/>
            <x v="606"/>
          </reference>
          <reference field="14" count="1" selected="0">
            <x v="7"/>
          </reference>
        </references>
      </pivotArea>
    </format>
    <format dxfId="44">
      <pivotArea dataOnly="0" labelOnly="1" fieldPosition="0">
        <references count="2">
          <reference field="12" count="15">
            <x v="151"/>
            <x v="208"/>
            <x v="234"/>
            <x v="297"/>
            <x v="301"/>
            <x v="323"/>
            <x v="340"/>
            <x v="421"/>
            <x v="423"/>
            <x v="444"/>
            <x v="542"/>
            <x v="549"/>
            <x v="630"/>
            <x v="673"/>
            <x v="696"/>
          </reference>
          <reference field="14" count="1" selected="0">
            <x v="8"/>
          </reference>
        </references>
      </pivotArea>
    </format>
    <format dxfId="43">
      <pivotArea dataOnly="0" labelOnly="1" fieldPosition="0">
        <references count="2">
          <reference field="12" count="13">
            <x v="187"/>
            <x v="209"/>
            <x v="220"/>
            <x v="245"/>
            <x v="279"/>
            <x v="312"/>
            <x v="356"/>
            <x v="402"/>
            <x v="422"/>
            <x v="426"/>
            <x v="550"/>
            <x v="567"/>
            <x v="604"/>
          </reference>
          <reference field="14" count="1" selected="0">
            <x v="9"/>
          </reference>
        </references>
      </pivotArea>
    </format>
    <format dxfId="42">
      <pivotArea dataOnly="0" labelOnly="1" fieldPosition="0">
        <references count="2">
          <reference field="12" count="14">
            <x v="141"/>
            <x v="169"/>
            <x v="299"/>
            <x v="313"/>
            <x v="335"/>
            <x v="350"/>
            <x v="351"/>
            <x v="361"/>
            <x v="472"/>
            <x v="483"/>
            <x v="597"/>
            <x v="609"/>
            <x v="681"/>
            <x v="687"/>
          </reference>
          <reference field="14" count="1" selected="0">
            <x v="10"/>
          </reference>
        </references>
      </pivotArea>
    </format>
    <format dxfId="41">
      <pivotArea dataOnly="0" labelOnly="1" fieldPosition="0">
        <references count="2">
          <reference field="12" count="15">
            <x v="28"/>
            <x v="134"/>
            <x v="144"/>
            <x v="152"/>
            <x v="221"/>
            <x v="257"/>
            <x v="376"/>
            <x v="393"/>
            <x v="441"/>
            <x v="473"/>
            <x v="541"/>
            <x v="576"/>
            <x v="580"/>
            <x v="598"/>
            <x v="689"/>
          </reference>
          <reference field="14" count="1" selected="0">
            <x v="11"/>
          </reference>
        </references>
      </pivotArea>
    </format>
    <format dxfId="40">
      <pivotArea dataOnly="0" labelOnly="1" fieldPosition="0">
        <references count="2">
          <reference field="12" count="15">
            <x v="48"/>
            <x v="175"/>
            <x v="249"/>
            <x v="273"/>
            <x v="360"/>
            <x v="390"/>
            <x v="408"/>
            <x v="412"/>
            <x v="461"/>
            <x v="466"/>
            <x v="564"/>
            <x v="573"/>
            <x v="578"/>
            <x v="594"/>
            <x v="601"/>
          </reference>
          <reference field="14" count="1" selected="0">
            <x v="12"/>
          </reference>
        </references>
      </pivotArea>
    </format>
    <format dxfId="39">
      <pivotArea dataOnly="0" labelOnly="1" fieldPosition="0">
        <references count="2">
          <reference field="12" count="15">
            <x v="95"/>
            <x v="309"/>
            <x v="327"/>
            <x v="379"/>
            <x v="386"/>
            <x v="437"/>
            <x v="448"/>
            <x v="493"/>
            <x v="497"/>
            <x v="506"/>
            <x v="507"/>
            <x v="511"/>
            <x v="532"/>
            <x v="620"/>
            <x v="670"/>
          </reference>
          <reference field="14" count="1" selected="0">
            <x v="13"/>
          </reference>
        </references>
      </pivotArea>
    </format>
    <format dxfId="38">
      <pivotArea dataOnly="0" labelOnly="1" fieldPosition="0">
        <references count="2">
          <reference field="12" count="16">
            <x v="102"/>
            <x v="146"/>
            <x v="255"/>
            <x v="319"/>
            <x v="324"/>
            <x v="330"/>
            <x v="336"/>
            <x v="354"/>
            <x v="455"/>
            <x v="462"/>
            <x v="485"/>
            <x v="504"/>
            <x v="560"/>
            <x v="574"/>
            <x v="582"/>
            <x v="605"/>
          </reference>
          <reference field="14" count="1" selected="0">
            <x v="14"/>
          </reference>
        </references>
      </pivotArea>
    </format>
    <format dxfId="37">
      <pivotArea dataOnly="0" labelOnly="1" fieldPosition="0">
        <references count="2">
          <reference field="12" count="15">
            <x v="78"/>
            <x v="204"/>
            <x v="216"/>
            <x v="228"/>
            <x v="229"/>
            <x v="264"/>
            <x v="294"/>
            <x v="295"/>
            <x v="338"/>
            <x v="409"/>
            <x v="526"/>
            <x v="533"/>
            <x v="543"/>
            <x v="554"/>
            <x v="607"/>
          </reference>
          <reference field="14" count="1" selected="0">
            <x v="15"/>
          </reference>
        </references>
      </pivotArea>
    </format>
    <format dxfId="36">
      <pivotArea dataOnly="0" labelOnly="1" fieldPosition="0">
        <references count="2">
          <reference field="12" count="15">
            <x v="101"/>
            <x v="125"/>
            <x v="129"/>
            <x v="256"/>
            <x v="268"/>
            <x v="290"/>
            <x v="308"/>
            <x v="310"/>
            <x v="333"/>
            <x v="415"/>
            <x v="503"/>
            <x v="537"/>
            <x v="547"/>
            <x v="590"/>
            <x v="595"/>
          </reference>
          <reference field="14" count="1" selected="0">
            <x v="16"/>
          </reference>
        </references>
      </pivotArea>
    </format>
    <format dxfId="35">
      <pivotArea dataOnly="0" labelOnly="1" fieldPosition="0">
        <references count="2">
          <reference field="12" count="15">
            <x v="58"/>
            <x v="73"/>
            <x v="157"/>
            <x v="225"/>
            <x v="253"/>
            <x v="274"/>
            <x v="280"/>
            <x v="315"/>
            <x v="400"/>
            <x v="411"/>
            <x v="501"/>
            <x v="516"/>
            <x v="518"/>
            <x v="562"/>
            <x v="568"/>
          </reference>
          <reference field="14" count="1" selected="0">
            <x v="17"/>
          </reference>
        </references>
      </pivotArea>
    </format>
    <format dxfId="34">
      <pivotArea dataOnly="0" labelOnly="1" fieldPosition="0">
        <references count="2">
          <reference field="12" count="15">
            <x v="57"/>
            <x v="83"/>
            <x v="126"/>
            <x v="231"/>
            <x v="305"/>
            <x v="318"/>
            <x v="353"/>
            <x v="367"/>
            <x v="369"/>
            <x v="374"/>
            <x v="521"/>
            <x v="559"/>
            <x v="586"/>
            <x v="641"/>
            <x v="678"/>
          </reference>
          <reference field="14" count="1" selected="0">
            <x v="18"/>
          </reference>
        </references>
      </pivotArea>
    </format>
    <format dxfId="33">
      <pivotArea dataOnly="0" labelOnly="1" fieldPosition="0">
        <references count="2">
          <reference field="12" count="15">
            <x v="50"/>
            <x v="59"/>
            <x v="104"/>
            <x v="160"/>
            <x v="196"/>
            <x v="201"/>
            <x v="250"/>
            <x v="292"/>
            <x v="413"/>
            <x v="445"/>
            <x v="529"/>
            <x v="571"/>
            <x v="587"/>
            <x v="603"/>
            <x v="621"/>
          </reference>
          <reference field="14" count="1" selected="0">
            <x v="19"/>
          </reference>
        </references>
      </pivotArea>
    </format>
    <format dxfId="32">
      <pivotArea dataOnly="0" labelOnly="1" fieldPosition="0">
        <references count="2">
          <reference field="12" count="14">
            <x v="60"/>
            <x v="123"/>
            <x v="150"/>
            <x v="206"/>
            <x v="219"/>
            <x v="246"/>
            <x v="254"/>
            <x v="363"/>
            <x v="404"/>
            <x v="488"/>
            <x v="538"/>
            <x v="548"/>
            <x v="616"/>
            <x v="674"/>
          </reference>
          <reference field="14" count="1" selected="0">
            <x v="20"/>
          </reference>
        </references>
      </pivotArea>
    </format>
    <format dxfId="31">
      <pivotArea dataOnly="0" labelOnly="1" fieldPosition="0">
        <references count="2">
          <reference field="12" count="11">
            <x v="56"/>
            <x v="183"/>
            <x v="199"/>
            <x v="282"/>
            <x v="304"/>
            <x v="405"/>
            <x v="447"/>
            <x v="545"/>
            <x v="583"/>
            <x v="591"/>
            <x v="713"/>
          </reference>
          <reference field="14" count="1" selected="0">
            <x v="21"/>
          </reference>
        </references>
      </pivotArea>
    </format>
    <format dxfId="30">
      <pivotArea dataOnly="0" labelOnly="1" fieldPosition="0">
        <references count="2">
          <reference field="12" count="15">
            <x v="106"/>
            <x v="143"/>
            <x v="162"/>
            <x v="171"/>
            <x v="193"/>
            <x v="205"/>
            <x v="343"/>
            <x v="371"/>
            <x v="373"/>
            <x v="396"/>
            <x v="584"/>
            <x v="614"/>
            <x v="615"/>
            <x v="649"/>
            <x v="654"/>
          </reference>
          <reference field="14" count="1" selected="0">
            <x v="22"/>
          </reference>
        </references>
      </pivotArea>
    </format>
    <format dxfId="29">
      <pivotArea dataOnly="0" labelOnly="1" fieldPosition="0">
        <references count="2">
          <reference field="12" count="13">
            <x v="21"/>
            <x v="67"/>
            <x v="76"/>
            <x v="156"/>
            <x v="168"/>
            <x v="248"/>
            <x v="259"/>
            <x v="414"/>
            <x v="608"/>
            <x v="646"/>
            <x v="648"/>
            <x v="692"/>
            <x v="708"/>
          </reference>
          <reference field="14" count="1" selected="0">
            <x v="23"/>
          </reference>
        </references>
      </pivotArea>
    </format>
    <format dxfId="28">
      <pivotArea dataOnly="0" labelOnly="1" fieldPosition="0">
        <references count="2">
          <reference field="12" count="11">
            <x v="75"/>
            <x v="85"/>
            <x v="127"/>
            <x v="131"/>
            <x v="163"/>
            <x v="211"/>
            <x v="344"/>
            <x v="553"/>
            <x v="624"/>
            <x v="699"/>
            <x v="716"/>
          </reference>
          <reference field="14" count="1" selected="0">
            <x v="24"/>
          </reference>
        </references>
      </pivotArea>
    </format>
    <format dxfId="27">
      <pivotArea dataOnly="0" labelOnly="1" fieldPosition="0">
        <references count="2">
          <reference field="12" count="15">
            <x v="55"/>
            <x v="133"/>
            <x v="177"/>
            <x v="179"/>
            <x v="192"/>
            <x v="198"/>
            <x v="223"/>
            <x v="242"/>
            <x v="347"/>
            <x v="352"/>
            <x v="631"/>
            <x v="639"/>
            <x v="666"/>
            <x v="695"/>
            <x v="712"/>
          </reference>
          <reference field="14" count="1" selected="0">
            <x v="25"/>
          </reference>
        </references>
      </pivotArea>
    </format>
    <format dxfId="26">
      <pivotArea dataOnly="0" labelOnly="1" fieldPosition="0">
        <references count="2">
          <reference field="12" count="12">
            <x v="164"/>
            <x v="191"/>
            <x v="342"/>
            <x v="345"/>
            <x v="364"/>
            <x v="403"/>
            <x v="432"/>
            <x v="443"/>
            <x v="551"/>
            <x v="556"/>
            <x v="628"/>
            <x v="704"/>
          </reference>
          <reference field="14" count="1" selected="0">
            <x v="26"/>
          </reference>
        </references>
      </pivotArea>
    </format>
    <format dxfId="25">
      <pivotArea dataOnly="0" labelOnly="1" fieldPosition="0">
        <references count="2">
          <reference field="12" count="15">
            <x v="107"/>
            <x v="176"/>
            <x v="197"/>
            <x v="207"/>
            <x v="265"/>
            <x v="276"/>
            <x v="287"/>
            <x v="300"/>
            <x v="320"/>
            <x v="366"/>
            <x v="534"/>
            <x v="627"/>
            <x v="634"/>
            <x v="644"/>
            <x v="701"/>
          </reference>
          <reference field="14" count="1" selected="0">
            <x v="27"/>
          </reference>
        </references>
      </pivotArea>
    </format>
    <format dxfId="24">
      <pivotArea dataOnly="0" labelOnly="1" fieldPosition="0">
        <references count="2">
          <reference field="12" count="14">
            <x v="2"/>
            <x v="120"/>
            <x v="137"/>
            <x v="138"/>
            <x v="244"/>
            <x v="247"/>
            <x v="278"/>
            <x v="328"/>
            <x v="387"/>
            <x v="602"/>
            <x v="633"/>
            <x v="637"/>
            <x v="657"/>
            <x v="660"/>
          </reference>
          <reference field="14" count="1" selected="0">
            <x v="28"/>
          </reference>
        </references>
      </pivotArea>
    </format>
    <format dxfId="23">
      <pivotArea dataOnly="0" labelOnly="1" fieldPosition="0">
        <references count="2">
          <reference field="12" count="14">
            <x v="29"/>
            <x v="35"/>
            <x v="97"/>
            <x v="98"/>
            <x v="114"/>
            <x v="153"/>
            <x v="154"/>
            <x v="230"/>
            <x v="326"/>
            <x v="632"/>
            <x v="647"/>
            <x v="650"/>
            <x v="677"/>
            <x v="715"/>
          </reference>
          <reference field="14" count="1" selected="0">
            <x v="29"/>
          </reference>
        </references>
      </pivotArea>
    </format>
    <format dxfId="22">
      <pivotArea dataOnly="0" labelOnly="1" fieldPosition="0">
        <references count="2">
          <reference field="12" count="15">
            <x v="39"/>
            <x v="110"/>
            <x v="113"/>
            <x v="188"/>
            <x v="263"/>
            <x v="321"/>
            <x v="450"/>
            <x v="489"/>
            <x v="490"/>
            <x v="500"/>
            <x v="593"/>
            <x v="645"/>
            <x v="679"/>
            <x v="691"/>
            <x v="694"/>
          </reference>
          <reference field="14" count="1" selected="0">
            <x v="30"/>
          </reference>
        </references>
      </pivotArea>
    </format>
    <format dxfId="21">
      <pivotArea dataOnly="0" labelOnly="1" fieldPosition="0">
        <references count="2">
          <reference field="12" count="15">
            <x v="24"/>
            <x v="109"/>
            <x v="117"/>
            <x v="140"/>
            <x v="148"/>
            <x v="217"/>
            <x v="286"/>
            <x v="337"/>
            <x v="416"/>
            <x v="425"/>
            <x v="566"/>
            <x v="585"/>
            <x v="663"/>
            <x v="664"/>
            <x v="665"/>
          </reference>
          <reference field="14" count="1" selected="0">
            <x v="31"/>
          </reference>
        </references>
      </pivotArea>
    </format>
    <format dxfId="20">
      <pivotArea dataOnly="0" labelOnly="1" fieldPosition="0">
        <references count="2">
          <reference field="12" count="11">
            <x v="53"/>
            <x v="62"/>
            <x v="165"/>
            <x v="200"/>
            <x v="293"/>
            <x v="378"/>
            <x v="435"/>
            <x v="460"/>
            <x v="487"/>
            <x v="496"/>
            <x v="572"/>
          </reference>
          <reference field="14" count="1" selected="0">
            <x v="32"/>
          </reference>
        </references>
      </pivotArea>
    </format>
    <format dxfId="19">
      <pivotArea dataOnly="0" labelOnly="1" fieldPosition="0">
        <references count="2">
          <reference field="12" count="15">
            <x v="40"/>
            <x v="81"/>
            <x v="99"/>
            <x v="213"/>
            <x v="222"/>
            <x v="277"/>
            <x v="398"/>
            <x v="436"/>
            <x v="464"/>
            <x v="474"/>
            <x v="596"/>
            <x v="617"/>
            <x v="622"/>
            <x v="643"/>
            <x v="672"/>
          </reference>
          <reference field="14" count="1" selected="0">
            <x v="33"/>
          </reference>
        </references>
      </pivotArea>
    </format>
    <format dxfId="18">
      <pivotArea dataOnly="0" labelOnly="1" fieldPosition="0">
        <references count="2">
          <reference field="12" count="13">
            <x v="49"/>
            <x v="118"/>
            <x v="185"/>
            <x v="194"/>
            <x v="202"/>
            <x v="241"/>
            <x v="349"/>
            <x v="365"/>
            <x v="569"/>
            <x v="618"/>
            <x v="623"/>
            <x v="652"/>
            <x v="709"/>
          </reference>
          <reference field="14" count="1" selected="0">
            <x v="34"/>
          </reference>
        </references>
      </pivotArea>
    </format>
    <format dxfId="17">
      <pivotArea dataOnly="0" labelOnly="1" fieldPosition="0">
        <references count="2">
          <reference field="12" count="12">
            <x v="10"/>
            <x v="87"/>
            <x v="111"/>
            <x v="149"/>
            <x v="173"/>
            <x v="226"/>
            <x v="227"/>
            <x v="239"/>
            <x v="523"/>
            <x v="570"/>
            <x v="575"/>
            <x v="638"/>
          </reference>
          <reference field="14" count="1" selected="0">
            <x v="35"/>
          </reference>
        </references>
      </pivotArea>
    </format>
    <format dxfId="16">
      <pivotArea dataOnly="0" labelOnly="1" fieldPosition="0">
        <references count="2">
          <reference field="12" count="16">
            <x v="17"/>
            <x v="25"/>
            <x v="30"/>
            <x v="54"/>
            <x v="72"/>
            <x v="122"/>
            <x v="130"/>
            <x v="189"/>
            <x v="214"/>
            <x v="235"/>
            <x v="251"/>
            <x v="592"/>
            <x v="613"/>
            <x v="653"/>
            <x v="656"/>
            <x v="710"/>
          </reference>
          <reference field="14" count="1" selected="0">
            <x v="36"/>
          </reference>
        </references>
      </pivotArea>
    </format>
    <format dxfId="15">
      <pivotArea dataOnly="0" labelOnly="1" fieldPosition="0">
        <references count="2">
          <reference field="12" count="15">
            <x v="11"/>
            <x v="33"/>
            <x v="51"/>
            <x v="52"/>
            <x v="61"/>
            <x v="112"/>
            <x v="233"/>
            <x v="240"/>
            <x v="283"/>
            <x v="372"/>
            <x v="610"/>
            <x v="625"/>
            <x v="635"/>
            <x v="671"/>
            <x v="714"/>
          </reference>
          <reference field="14" count="1" selected="0">
            <x v="37"/>
          </reference>
        </references>
      </pivotArea>
    </format>
    <format dxfId="14">
      <pivotArea dataOnly="0" labelOnly="1" fieldPosition="0">
        <references count="2">
          <reference field="12" count="15">
            <x v="12"/>
            <x v="16"/>
            <x v="19"/>
            <x v="31"/>
            <x v="42"/>
            <x v="43"/>
            <x v="79"/>
            <x v="108"/>
            <x v="155"/>
            <x v="167"/>
            <x v="619"/>
            <x v="667"/>
            <x v="668"/>
            <x v="683"/>
            <x v="697"/>
          </reference>
          <reference field="14" count="1" selected="0">
            <x v="38"/>
          </reference>
        </references>
      </pivotArea>
    </format>
    <format dxfId="13">
      <pivotArea dataOnly="0" labelOnly="1" fieldPosition="0">
        <references count="2">
          <reference field="12" count="15">
            <x v="38"/>
            <x v="80"/>
            <x v="86"/>
            <x v="96"/>
            <x v="103"/>
            <x v="182"/>
            <x v="262"/>
            <x v="289"/>
            <x v="395"/>
            <x v="406"/>
            <x v="589"/>
            <x v="642"/>
            <x v="690"/>
            <x v="698"/>
            <x v="702"/>
          </reference>
          <reference field="14" count="1" selected="0">
            <x v="39"/>
          </reference>
        </references>
      </pivotArea>
    </format>
    <format dxfId="12">
      <pivotArea dataOnly="0" labelOnly="1" fieldPosition="0">
        <references count="2">
          <reference field="12" count="13">
            <x v="92"/>
            <x v="159"/>
            <x v="281"/>
            <x v="284"/>
            <x v="285"/>
            <x v="288"/>
            <x v="303"/>
            <x v="380"/>
            <x v="419"/>
            <x v="558"/>
            <x v="640"/>
            <x v="669"/>
            <x v="706"/>
          </reference>
          <reference field="14" count="1" selected="0">
            <x v="40"/>
          </reference>
        </references>
      </pivotArea>
    </format>
    <format dxfId="11">
      <pivotArea dataOnly="0" labelOnly="1" fieldPosition="0">
        <references count="2">
          <reference field="12" count="14">
            <x v="26"/>
            <x v="77"/>
            <x v="90"/>
            <x v="178"/>
            <x v="260"/>
            <x v="272"/>
            <x v="298"/>
            <x v="358"/>
            <x v="382"/>
            <x v="661"/>
            <x v="693"/>
            <x v="703"/>
            <x v="707"/>
            <x v="711"/>
          </reference>
          <reference field="14" count="1" selected="0">
            <x v="41"/>
          </reference>
        </references>
      </pivotArea>
    </format>
    <format dxfId="10">
      <pivotArea dataOnly="0" labelOnly="1" fieldPosition="0">
        <references count="2">
          <reference field="12" count="14">
            <x v="36"/>
            <x v="68"/>
            <x v="84"/>
            <x v="238"/>
            <x v="307"/>
            <x v="311"/>
            <x v="377"/>
            <x v="394"/>
            <x v="420"/>
            <x v="577"/>
            <x v="658"/>
            <x v="680"/>
            <x v="705"/>
            <x v="718"/>
          </reference>
          <reference field="14" count="1" selected="0">
            <x v="42"/>
          </reference>
        </references>
      </pivotArea>
    </format>
    <format dxfId="9">
      <pivotArea dataOnly="0" labelOnly="1" fieldPosition="0">
        <references count="2">
          <reference field="12" count="15">
            <x v="74"/>
            <x v="91"/>
            <x v="100"/>
            <x v="119"/>
            <x v="139"/>
            <x v="181"/>
            <x v="243"/>
            <x v="261"/>
            <x v="296"/>
            <x v="427"/>
            <x v="525"/>
            <x v="540"/>
            <x v="655"/>
            <x v="686"/>
            <x v="688"/>
          </reference>
          <reference field="14" count="1" selected="0">
            <x v="43"/>
          </reference>
        </references>
      </pivotArea>
    </format>
    <format dxfId="8">
      <pivotArea dataOnly="0" labelOnly="1" fieldPosition="0">
        <references count="2">
          <reference field="12" count="14">
            <x v="22"/>
            <x v="34"/>
            <x v="41"/>
            <x v="70"/>
            <x v="186"/>
            <x v="252"/>
            <x v="258"/>
            <x v="302"/>
            <x v="325"/>
            <x v="339"/>
            <x v="517"/>
            <x v="520"/>
            <x v="536"/>
            <x v="544"/>
          </reference>
          <reference field="14" count="1" selected="0">
            <x v="44"/>
          </reference>
        </references>
      </pivotArea>
    </format>
    <format dxfId="7">
      <pivotArea dataOnly="0" labelOnly="1" fieldPosition="0">
        <references count="2">
          <reference field="12" count="13">
            <x v="9"/>
            <x v="23"/>
            <x v="27"/>
            <x v="66"/>
            <x v="124"/>
            <x v="271"/>
            <x v="316"/>
            <x v="385"/>
            <x v="539"/>
            <x v="557"/>
            <x v="588"/>
            <x v="599"/>
            <x v="685"/>
          </reference>
          <reference field="14" count="1" selected="0">
            <x v="45"/>
          </reference>
        </references>
      </pivotArea>
    </format>
    <format dxfId="6">
      <pivotArea dataOnly="0" labelOnly="1" fieldPosition="0">
        <references count="2">
          <reference field="12" count="14">
            <x v="8"/>
            <x v="13"/>
            <x v="44"/>
            <x v="45"/>
            <x v="142"/>
            <x v="172"/>
            <x v="210"/>
            <x v="212"/>
            <x v="266"/>
            <x v="355"/>
            <x v="552"/>
            <x v="565"/>
            <x v="662"/>
            <x v="700"/>
          </reference>
          <reference field="14" count="1" selected="0">
            <x v="46"/>
          </reference>
        </references>
      </pivotArea>
    </format>
    <format dxfId="5">
      <pivotArea dataOnly="0" labelOnly="1" fieldPosition="0">
        <references count="2">
          <reference field="12" count="14">
            <x v="7"/>
            <x v="71"/>
            <x v="82"/>
            <x v="93"/>
            <x v="170"/>
            <x v="184"/>
            <x v="236"/>
            <x v="270"/>
            <x v="334"/>
            <x v="502"/>
            <x v="505"/>
            <x v="512"/>
            <x v="524"/>
            <x v="684"/>
          </reference>
          <reference field="14" count="1" selected="0">
            <x v="47"/>
          </reference>
        </references>
      </pivotArea>
    </format>
    <format dxfId="4">
      <pivotArea dataOnly="0" labelOnly="1" fieldPosition="0">
        <references count="2">
          <reference field="12" count="15">
            <x v="1"/>
            <x v="4"/>
            <x v="32"/>
            <x v="37"/>
            <x v="89"/>
            <x v="136"/>
            <x v="218"/>
            <x v="269"/>
            <x v="346"/>
            <x v="452"/>
            <x v="453"/>
            <x v="468"/>
            <x v="478"/>
            <x v="513"/>
            <x v="514"/>
          </reference>
          <reference field="14" count="1" selected="0">
            <x v="48"/>
          </reference>
        </references>
      </pivotArea>
    </format>
    <format dxfId="3">
      <pivotArea dataOnly="0" labelOnly="1" fieldPosition="0">
        <references count="2">
          <reference field="12" count="15">
            <x v="0"/>
            <x v="3"/>
            <x v="14"/>
            <x v="15"/>
            <x v="64"/>
            <x v="359"/>
            <x v="389"/>
            <x v="424"/>
            <x v="451"/>
            <x v="465"/>
            <x v="482"/>
            <x v="484"/>
            <x v="491"/>
            <x v="495"/>
            <x v="530"/>
          </reference>
          <reference field="14" count="1" selected="0">
            <x v="49"/>
          </reference>
        </references>
      </pivotArea>
    </format>
    <format dxfId="2">
      <pivotArea dataOnly="0" labelOnly="1" fieldPosition="0">
        <references count="2">
          <reference field="12" count="15">
            <x v="132"/>
            <x v="314"/>
            <x v="332"/>
            <x v="357"/>
            <x v="368"/>
            <x v="375"/>
            <x v="383"/>
            <x v="429"/>
            <x v="431"/>
            <x v="470"/>
            <x v="479"/>
            <x v="499"/>
            <x v="508"/>
            <x v="519"/>
            <x v="531"/>
          </reference>
          <reference field="14" count="1" selected="0">
            <x v="50"/>
          </reference>
        </references>
      </pivotArea>
    </format>
    <format dxfId="1">
      <pivotArea dataOnly="0" labelOnly="1" fieldPosition="0">
        <references count="2">
          <reference field="12" count="10">
            <x v="69"/>
            <x v="115"/>
            <x v="128"/>
            <x v="135"/>
            <x v="158"/>
            <x v="195"/>
            <x v="203"/>
            <x v="322"/>
            <x v="381"/>
            <x v="384"/>
          </reference>
          <reference field="14" count="1" selected="0">
            <x v="51"/>
          </reference>
        </references>
      </pivotArea>
    </format>
    <format dxfId="0">
      <pivotArea dataOnly="0" labelOnly="1" fieldPosition="0">
        <references count="2">
          <reference field="12" count="2">
            <x v="486"/>
            <x v="510"/>
          </reference>
          <reference field="14" count="1" selected="0">
            <x v="5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1FC26-81A9-4D9D-8C4F-5E0DAEBD7112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D9" firstHeaderRow="0" firstDataRow="1" firstDataCol="1"/>
  <pivotFields count="22">
    <pivotField axis="axisRow" showAll="0">
      <items count="7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20"/>
    <field x="0"/>
    <field x="21"/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Backlog Indicator" fld="9" subtotal="count" baseField="0" baseItem="0"/>
    <dataField name="Count of Stress" fld="13" subtotal="count" baseField="0" baseItem="0"/>
    <dataField name="Sum of Discharge Offset Ratio" fld="18" baseField="20" baseItem="0" numFmtId="12"/>
  </dataFields>
  <formats count="2">
    <format dxfId="5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3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D549DC7C-3378-451C-9FD9-C9FC7EDF95D2}" sourceName="Date">
  <pivotTables>
    <pivotTable tabId="2" name="PivotTable2"/>
  </pivotTables>
  <state minimalRefreshVersion="6" lastRefreshVersion="6" pivotCacheId="1280064790" filterType="unknown">
    <bounds startDate="2023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80AAA963-E157-41A0-A015-970470923FA4}" cache="NativeTimeline_Date" caption="Date" level="2" selectionLevel="2" scrollPosition="2024-12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1BDB-12A9-496B-81FC-AE9B59C4F933}">
  <dimension ref="A3:B8"/>
  <sheetViews>
    <sheetView workbookViewId="0">
      <selection activeCell="J28" sqref="J28"/>
    </sheetView>
  </sheetViews>
  <sheetFormatPr defaultRowHeight="14.4" x14ac:dyDescent="0.3"/>
  <cols>
    <col min="1" max="1" width="12.77734375" bestFit="1" customWidth="1"/>
    <col min="2" max="2" width="23.109375" bestFit="1" customWidth="1"/>
  </cols>
  <sheetData>
    <row r="3" spans="1:2" x14ac:dyDescent="0.3">
      <c r="A3" s="6" t="s">
        <v>12</v>
      </c>
      <c r="B3" t="s">
        <v>18</v>
      </c>
    </row>
    <row r="4" spans="1:2" x14ac:dyDescent="0.3">
      <c r="A4" s="7" t="s">
        <v>14</v>
      </c>
    </row>
    <row r="5" spans="1:2" x14ac:dyDescent="0.3">
      <c r="A5" s="7" t="s">
        <v>15</v>
      </c>
      <c r="B5">
        <v>2034705</v>
      </c>
    </row>
    <row r="6" spans="1:2" x14ac:dyDescent="0.3">
      <c r="A6" s="7" t="s">
        <v>16</v>
      </c>
      <c r="B6">
        <v>1837286</v>
      </c>
    </row>
    <row r="7" spans="1:2" x14ac:dyDescent="0.3">
      <c r="A7" s="7" t="s">
        <v>17</v>
      </c>
      <c r="B7">
        <v>615603</v>
      </c>
    </row>
    <row r="8" spans="1:2" x14ac:dyDescent="0.3">
      <c r="A8" s="7" t="s">
        <v>13</v>
      </c>
      <c r="B8">
        <v>4487594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753C-D256-4319-A7A8-4A8D6425C2F7}">
  <dimension ref="A1:C17"/>
  <sheetViews>
    <sheetView workbookViewId="0">
      <selection activeCell="N23" sqref="N23"/>
    </sheetView>
  </sheetViews>
  <sheetFormatPr defaultRowHeight="14.4" x14ac:dyDescent="0.3"/>
  <cols>
    <col min="1" max="1" width="12.77734375" bestFit="1" customWidth="1"/>
    <col min="2" max="2" width="23.109375" bestFit="1" customWidth="1"/>
    <col min="3" max="3" width="21" bestFit="1" customWidth="1"/>
    <col min="4" max="217" width="5" bestFit="1" customWidth="1"/>
    <col min="218" max="218" width="6" bestFit="1" customWidth="1"/>
    <col min="219" max="239" width="5" bestFit="1" customWidth="1"/>
    <col min="240" max="240" width="6" bestFit="1" customWidth="1"/>
    <col min="241" max="246" width="5" bestFit="1" customWidth="1"/>
    <col min="247" max="247" width="6" bestFit="1" customWidth="1"/>
    <col min="248" max="248" width="5" bestFit="1" customWidth="1"/>
    <col min="249" max="249" width="6" bestFit="1" customWidth="1"/>
    <col min="250" max="252" width="5" bestFit="1" customWidth="1"/>
    <col min="253" max="254" width="6" bestFit="1" customWidth="1"/>
    <col min="255" max="267" width="5" bestFit="1" customWidth="1"/>
    <col min="268" max="268" width="6" bestFit="1" customWidth="1"/>
    <col min="269" max="273" width="5" bestFit="1" customWidth="1"/>
    <col min="274" max="275" width="6" bestFit="1" customWidth="1"/>
    <col min="276" max="276" width="5" bestFit="1" customWidth="1"/>
    <col min="277" max="277" width="6" bestFit="1" customWidth="1"/>
    <col min="278" max="313" width="5" bestFit="1" customWidth="1"/>
    <col min="314" max="314" width="6" bestFit="1" customWidth="1"/>
    <col min="315" max="319" width="5" bestFit="1" customWidth="1"/>
    <col min="320" max="320" width="6" bestFit="1" customWidth="1"/>
    <col min="321" max="321" width="5" bestFit="1" customWidth="1"/>
    <col min="322" max="323" width="6" bestFit="1" customWidth="1"/>
    <col min="324" max="331" width="5" bestFit="1" customWidth="1"/>
    <col min="332" max="332" width="6" bestFit="1" customWidth="1"/>
    <col min="333" max="334" width="5" bestFit="1" customWidth="1"/>
    <col min="335" max="335" width="6" bestFit="1" customWidth="1"/>
    <col min="336" max="342" width="5" bestFit="1" customWidth="1"/>
    <col min="343" max="343" width="6" bestFit="1" customWidth="1"/>
    <col min="344" max="363" width="5" bestFit="1" customWidth="1"/>
    <col min="364" max="364" width="6" bestFit="1" customWidth="1"/>
    <col min="365" max="377" width="5" bestFit="1" customWidth="1"/>
    <col min="378" max="378" width="6" bestFit="1" customWidth="1"/>
    <col min="379" max="384" width="5" bestFit="1" customWidth="1"/>
    <col min="385" max="385" width="6" bestFit="1" customWidth="1"/>
    <col min="386" max="406" width="5" bestFit="1" customWidth="1"/>
    <col min="407" max="407" width="6" bestFit="1" customWidth="1"/>
    <col min="408" max="410" width="5" bestFit="1" customWidth="1"/>
    <col min="411" max="411" width="6" bestFit="1" customWidth="1"/>
    <col min="412" max="415" width="5" bestFit="1" customWidth="1"/>
    <col min="416" max="416" width="6" bestFit="1" customWidth="1"/>
    <col min="417" max="435" width="5" bestFit="1" customWidth="1"/>
    <col min="436" max="436" width="6" bestFit="1" customWidth="1"/>
    <col min="437" max="441" width="5" bestFit="1" customWidth="1"/>
    <col min="442" max="442" width="6" bestFit="1" customWidth="1"/>
    <col min="443" max="452" width="5" bestFit="1" customWidth="1"/>
    <col min="453" max="454" width="6" bestFit="1" customWidth="1"/>
    <col min="455" max="462" width="5" bestFit="1" customWidth="1"/>
    <col min="463" max="463" width="6" bestFit="1" customWidth="1"/>
    <col min="464" max="464" width="5" bestFit="1" customWidth="1"/>
    <col min="465" max="465" width="6" bestFit="1" customWidth="1"/>
    <col min="466" max="488" width="5" bestFit="1" customWidth="1"/>
    <col min="489" max="489" width="6" bestFit="1" customWidth="1"/>
    <col min="490" max="500" width="5" bestFit="1" customWidth="1"/>
    <col min="501" max="501" width="6" bestFit="1" customWidth="1"/>
    <col min="502" max="517" width="5" bestFit="1" customWidth="1"/>
    <col min="518" max="518" width="6" bestFit="1" customWidth="1"/>
    <col min="519" max="579" width="5" bestFit="1" customWidth="1"/>
    <col min="580" max="580" width="6" bestFit="1" customWidth="1"/>
    <col min="581" max="583" width="5" bestFit="1" customWidth="1"/>
    <col min="584" max="584" width="6" bestFit="1" customWidth="1"/>
    <col min="585" max="588" width="5" bestFit="1" customWidth="1"/>
    <col min="589" max="657" width="6" bestFit="1" customWidth="1"/>
    <col min="658" max="658" width="7" bestFit="1" customWidth="1"/>
    <col min="659" max="659" width="10.77734375" bestFit="1" customWidth="1"/>
  </cols>
  <sheetData>
    <row r="1" spans="1:3" x14ac:dyDescent="0.3">
      <c r="A1" s="6" t="s">
        <v>0</v>
      </c>
      <c r="B1" t="s">
        <v>19</v>
      </c>
    </row>
    <row r="3" spans="1:3" x14ac:dyDescent="0.3">
      <c r="A3" s="6" t="s">
        <v>12</v>
      </c>
      <c r="B3" t="s">
        <v>18</v>
      </c>
      <c r="C3" t="s">
        <v>20</v>
      </c>
    </row>
    <row r="4" spans="1:3" x14ac:dyDescent="0.3">
      <c r="A4" s="7" t="s">
        <v>14</v>
      </c>
    </row>
    <row r="5" spans="1:3" x14ac:dyDescent="0.3">
      <c r="A5" s="7" t="s">
        <v>35</v>
      </c>
      <c r="B5">
        <v>369545</v>
      </c>
      <c r="C5">
        <v>351802</v>
      </c>
    </row>
    <row r="6" spans="1:3" x14ac:dyDescent="0.3">
      <c r="A6" s="7" t="s">
        <v>36</v>
      </c>
      <c r="B6">
        <v>379991</v>
      </c>
      <c r="C6">
        <v>355857</v>
      </c>
    </row>
    <row r="7" spans="1:3" x14ac:dyDescent="0.3">
      <c r="A7" s="7" t="s">
        <v>37</v>
      </c>
      <c r="B7">
        <v>386490</v>
      </c>
      <c r="C7">
        <v>363254</v>
      </c>
    </row>
    <row r="8" spans="1:3" x14ac:dyDescent="0.3">
      <c r="A8" s="7" t="s">
        <v>38</v>
      </c>
      <c r="B8">
        <v>384203</v>
      </c>
      <c r="C8">
        <v>361230</v>
      </c>
    </row>
    <row r="9" spans="1:3" x14ac:dyDescent="0.3">
      <c r="A9" s="7" t="s">
        <v>39</v>
      </c>
      <c r="B9">
        <v>393363</v>
      </c>
      <c r="C9">
        <v>369941</v>
      </c>
    </row>
    <row r="10" spans="1:3" x14ac:dyDescent="0.3">
      <c r="A10" s="7" t="s">
        <v>40</v>
      </c>
      <c r="B10">
        <v>329858</v>
      </c>
      <c r="C10">
        <v>311437</v>
      </c>
    </row>
    <row r="11" spans="1:3" x14ac:dyDescent="0.3">
      <c r="A11" s="7" t="s">
        <v>41</v>
      </c>
      <c r="B11">
        <v>331239</v>
      </c>
      <c r="C11">
        <v>312632</v>
      </c>
    </row>
    <row r="12" spans="1:3" x14ac:dyDescent="0.3">
      <c r="A12" s="7" t="s">
        <v>42</v>
      </c>
      <c r="B12">
        <v>351156</v>
      </c>
      <c r="C12">
        <v>331268</v>
      </c>
    </row>
    <row r="13" spans="1:3" x14ac:dyDescent="0.3">
      <c r="A13" s="7" t="s">
        <v>43</v>
      </c>
      <c r="B13">
        <v>397410</v>
      </c>
      <c r="C13">
        <v>375354</v>
      </c>
    </row>
    <row r="14" spans="1:3" x14ac:dyDescent="0.3">
      <c r="A14" s="7" t="s">
        <v>44</v>
      </c>
      <c r="B14">
        <v>406156</v>
      </c>
      <c r="C14">
        <v>386965</v>
      </c>
    </row>
    <row r="15" spans="1:3" x14ac:dyDescent="0.3">
      <c r="A15" s="7" t="s">
        <v>45</v>
      </c>
      <c r="B15">
        <v>359922</v>
      </c>
      <c r="C15">
        <v>341941</v>
      </c>
    </row>
    <row r="16" spans="1:3" x14ac:dyDescent="0.3">
      <c r="A16" s="7" t="s">
        <v>46</v>
      </c>
      <c r="B16">
        <v>398261</v>
      </c>
      <c r="C16">
        <v>377584</v>
      </c>
    </row>
    <row r="17" spans="1:3" x14ac:dyDescent="0.3">
      <c r="A17" s="7" t="s">
        <v>13</v>
      </c>
      <c r="B17">
        <v>4487594</v>
      </c>
      <c r="C17">
        <v>4239265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10907-C60A-42C2-BD4B-3C0C21D83B24}">
  <dimension ref="A3:C776"/>
  <sheetViews>
    <sheetView workbookViewId="0">
      <selection sqref="A1:A1048576"/>
    </sheetView>
  </sheetViews>
  <sheetFormatPr defaultRowHeight="14.4" x14ac:dyDescent="0.3"/>
  <cols>
    <col min="1" max="1" width="15.5546875" style="13" bestFit="1" customWidth="1"/>
    <col min="2" max="2" width="21" bestFit="1" customWidth="1"/>
    <col min="3" max="3" width="22.109375" bestFit="1" customWidth="1"/>
  </cols>
  <sheetData>
    <row r="3" spans="1:3" x14ac:dyDescent="0.3">
      <c r="A3" s="16" t="s">
        <v>12</v>
      </c>
      <c r="B3" t="s">
        <v>20</v>
      </c>
      <c r="C3" t="s">
        <v>23</v>
      </c>
    </row>
    <row r="4" spans="1:3" x14ac:dyDescent="0.3">
      <c r="A4" s="17">
        <v>1</v>
      </c>
      <c r="B4">
        <v>37607</v>
      </c>
      <c r="C4">
        <v>37607</v>
      </c>
    </row>
    <row r="5" spans="1:3" x14ac:dyDescent="0.3">
      <c r="A5" s="18">
        <v>28.048123195380171</v>
      </c>
      <c r="B5">
        <v>4857</v>
      </c>
      <c r="C5">
        <v>4857</v>
      </c>
    </row>
    <row r="6" spans="1:3" x14ac:dyDescent="0.3">
      <c r="A6" s="18">
        <v>28.219594594594593</v>
      </c>
      <c r="B6">
        <v>8353</v>
      </c>
      <c r="C6">
        <v>8353</v>
      </c>
    </row>
    <row r="7" spans="1:3" x14ac:dyDescent="0.3">
      <c r="A7" s="18">
        <v>28.31447522434647</v>
      </c>
      <c r="B7">
        <v>4838</v>
      </c>
      <c r="C7">
        <v>4838</v>
      </c>
    </row>
    <row r="8" spans="1:3" x14ac:dyDescent="0.3">
      <c r="A8" s="18">
        <v>28.606860158311346</v>
      </c>
      <c r="B8">
        <v>5421</v>
      </c>
      <c r="C8">
        <v>5421</v>
      </c>
    </row>
    <row r="9" spans="1:3" x14ac:dyDescent="0.3">
      <c r="A9" s="18">
        <v>28.620240807028964</v>
      </c>
      <c r="B9">
        <v>8795</v>
      </c>
      <c r="C9">
        <v>8795</v>
      </c>
    </row>
    <row r="10" spans="1:3" x14ac:dyDescent="0.3">
      <c r="A10" s="18">
        <v>28.679549114331724</v>
      </c>
      <c r="B10">
        <v>5343</v>
      </c>
      <c r="C10">
        <v>5343</v>
      </c>
    </row>
    <row r="11" spans="1:3" x14ac:dyDescent="0.3">
      <c r="A11" s="17">
        <v>2</v>
      </c>
      <c r="B11">
        <v>79981</v>
      </c>
      <c r="C11">
        <v>79981</v>
      </c>
    </row>
    <row r="12" spans="1:3" x14ac:dyDescent="0.3">
      <c r="A12" s="18">
        <v>28.51348590110339</v>
      </c>
      <c r="B12">
        <v>9303</v>
      </c>
      <c r="C12">
        <v>9303</v>
      </c>
    </row>
    <row r="13" spans="1:3" x14ac:dyDescent="0.3">
      <c r="A13" s="18">
        <v>28.560224089635852</v>
      </c>
      <c r="B13">
        <v>10196</v>
      </c>
      <c r="C13">
        <v>10196</v>
      </c>
    </row>
    <row r="14" spans="1:3" x14ac:dyDescent="0.3">
      <c r="A14" s="18">
        <v>28.671666324224368</v>
      </c>
      <c r="B14">
        <v>9303</v>
      </c>
      <c r="C14">
        <v>9303</v>
      </c>
    </row>
    <row r="15" spans="1:3" x14ac:dyDescent="0.3">
      <c r="A15" s="18">
        <v>28.700251889168765</v>
      </c>
      <c r="B15">
        <v>5697</v>
      </c>
      <c r="C15">
        <v>5697</v>
      </c>
    </row>
    <row r="16" spans="1:3" x14ac:dyDescent="0.3">
      <c r="A16" s="18">
        <v>28.713329902213072</v>
      </c>
      <c r="B16">
        <v>5579</v>
      </c>
      <c r="C16">
        <v>5579</v>
      </c>
    </row>
    <row r="17" spans="1:3" x14ac:dyDescent="0.3">
      <c r="A17" s="18">
        <v>28.738317757009348</v>
      </c>
      <c r="B17">
        <v>10455</v>
      </c>
      <c r="C17">
        <v>10455</v>
      </c>
    </row>
    <row r="18" spans="1:3" x14ac:dyDescent="0.3">
      <c r="A18" s="18">
        <v>28.778698979591837</v>
      </c>
      <c r="B18">
        <v>9025</v>
      </c>
      <c r="C18">
        <v>9025</v>
      </c>
    </row>
    <row r="19" spans="1:3" x14ac:dyDescent="0.3">
      <c r="A19" s="18">
        <v>28.868280414963849</v>
      </c>
      <c r="B19">
        <v>6122</v>
      </c>
      <c r="C19">
        <v>6122</v>
      </c>
    </row>
    <row r="20" spans="1:3" x14ac:dyDescent="0.3">
      <c r="A20" s="18">
        <v>28.880055305910819</v>
      </c>
      <c r="B20">
        <v>5570</v>
      </c>
      <c r="C20">
        <v>5570</v>
      </c>
    </row>
    <row r="21" spans="1:3" x14ac:dyDescent="0.3">
      <c r="A21" s="18">
        <v>29.026425591098747</v>
      </c>
      <c r="B21">
        <v>6261</v>
      </c>
      <c r="C21">
        <v>6261</v>
      </c>
    </row>
    <row r="22" spans="1:3" x14ac:dyDescent="0.3">
      <c r="A22" s="18">
        <v>29.61630695443645</v>
      </c>
      <c r="B22">
        <v>2470</v>
      </c>
      <c r="C22">
        <v>2470</v>
      </c>
    </row>
    <row r="23" spans="1:3" x14ac:dyDescent="0.3">
      <c r="A23" s="17">
        <v>3</v>
      </c>
      <c r="B23">
        <v>79387</v>
      </c>
      <c r="C23">
        <v>79387</v>
      </c>
    </row>
    <row r="24" spans="1:3" x14ac:dyDescent="0.3">
      <c r="A24" s="18">
        <v>28.254709871891485</v>
      </c>
      <c r="B24">
        <v>6249</v>
      </c>
      <c r="C24">
        <v>6249</v>
      </c>
    </row>
    <row r="25" spans="1:3" x14ac:dyDescent="0.3">
      <c r="A25" s="18">
        <v>28.488653555219365</v>
      </c>
      <c r="B25">
        <v>6277</v>
      </c>
      <c r="C25">
        <v>6277</v>
      </c>
    </row>
    <row r="26" spans="1:3" x14ac:dyDescent="0.3">
      <c r="A26" s="18">
        <v>28.688254665203072</v>
      </c>
      <c r="B26">
        <v>10454</v>
      </c>
      <c r="C26">
        <v>10454</v>
      </c>
    </row>
    <row r="27" spans="1:3" x14ac:dyDescent="0.3">
      <c r="A27" s="18">
        <v>28.772161947605188</v>
      </c>
      <c r="B27">
        <v>10873</v>
      </c>
      <c r="C27">
        <v>10873</v>
      </c>
    </row>
    <row r="28" spans="1:3" x14ac:dyDescent="0.3">
      <c r="A28" s="18">
        <v>28.822069770836375</v>
      </c>
      <c r="B28">
        <v>6582</v>
      </c>
      <c r="C28">
        <v>6582</v>
      </c>
    </row>
    <row r="29" spans="1:3" x14ac:dyDescent="0.3">
      <c r="A29" s="18">
        <v>28.838093553806704</v>
      </c>
      <c r="B29">
        <v>10871</v>
      </c>
      <c r="C29">
        <v>10871</v>
      </c>
    </row>
    <row r="30" spans="1:3" x14ac:dyDescent="0.3">
      <c r="A30" s="18">
        <v>28.870292887029287</v>
      </c>
      <c r="B30">
        <v>10580</v>
      </c>
      <c r="C30">
        <v>10580</v>
      </c>
    </row>
    <row r="31" spans="1:3" x14ac:dyDescent="0.3">
      <c r="A31" s="18">
        <v>28.870991360374873</v>
      </c>
      <c r="B31">
        <v>6572</v>
      </c>
      <c r="C31">
        <v>6572</v>
      </c>
    </row>
    <row r="32" spans="1:3" x14ac:dyDescent="0.3">
      <c r="A32" s="18">
        <v>29.017612178068855</v>
      </c>
      <c r="B32">
        <v>10929</v>
      </c>
      <c r="C32">
        <v>10929</v>
      </c>
    </row>
    <row r="33" spans="1:3" x14ac:dyDescent="0.3">
      <c r="A33" s="17">
        <v>4</v>
      </c>
      <c r="B33">
        <v>96391</v>
      </c>
      <c r="C33">
        <v>96391</v>
      </c>
    </row>
    <row r="34" spans="1:3" x14ac:dyDescent="0.3">
      <c r="A34" s="18">
        <v>27.219053051911011</v>
      </c>
      <c r="B34">
        <v>6362</v>
      </c>
      <c r="C34">
        <v>6362</v>
      </c>
    </row>
    <row r="35" spans="1:3" x14ac:dyDescent="0.3">
      <c r="A35" s="18">
        <v>27.698041508330896</v>
      </c>
      <c r="B35">
        <v>6317</v>
      </c>
      <c r="C35">
        <v>6317</v>
      </c>
    </row>
    <row r="36" spans="1:3" x14ac:dyDescent="0.3">
      <c r="A36" s="18">
        <v>27.709489051094891</v>
      </c>
      <c r="B36">
        <v>6327</v>
      </c>
      <c r="C36">
        <v>6327</v>
      </c>
    </row>
    <row r="37" spans="1:3" x14ac:dyDescent="0.3">
      <c r="A37" s="18">
        <v>28.011839445567428</v>
      </c>
      <c r="B37">
        <v>6467</v>
      </c>
      <c r="C37">
        <v>6467</v>
      </c>
    </row>
    <row r="38" spans="1:3" x14ac:dyDescent="0.3">
      <c r="A38" s="18">
        <v>28.125484788416792</v>
      </c>
      <c r="B38">
        <v>10878</v>
      </c>
      <c r="C38">
        <v>10878</v>
      </c>
    </row>
    <row r="39" spans="1:3" x14ac:dyDescent="0.3">
      <c r="A39" s="18">
        <v>28.173761441232021</v>
      </c>
      <c r="B39">
        <v>6464</v>
      </c>
      <c r="C39">
        <v>6464</v>
      </c>
    </row>
    <row r="40" spans="1:3" x14ac:dyDescent="0.3">
      <c r="A40" s="18">
        <v>28.377826900187042</v>
      </c>
      <c r="B40">
        <v>11126</v>
      </c>
      <c r="C40">
        <v>11126</v>
      </c>
    </row>
    <row r="41" spans="1:3" x14ac:dyDescent="0.3">
      <c r="A41" s="18">
        <v>28.539296110082031</v>
      </c>
      <c r="B41">
        <v>10785</v>
      </c>
      <c r="C41">
        <v>10785</v>
      </c>
    </row>
    <row r="42" spans="1:3" x14ac:dyDescent="0.3">
      <c r="A42" s="18">
        <v>28.563492063492063</v>
      </c>
      <c r="B42">
        <v>10797</v>
      </c>
      <c r="C42">
        <v>10797</v>
      </c>
    </row>
    <row r="43" spans="1:3" x14ac:dyDescent="0.3">
      <c r="A43" s="18">
        <v>28.805332868595329</v>
      </c>
      <c r="B43">
        <v>11019</v>
      </c>
      <c r="C43">
        <v>11019</v>
      </c>
    </row>
    <row r="44" spans="1:3" x14ac:dyDescent="0.3">
      <c r="A44" s="18">
        <v>29.214908802537668</v>
      </c>
      <c r="B44">
        <v>2456</v>
      </c>
      <c r="C44">
        <v>2456</v>
      </c>
    </row>
    <row r="45" spans="1:3" x14ac:dyDescent="0.3">
      <c r="A45" s="18">
        <v>29.250594766058683</v>
      </c>
      <c r="B45">
        <v>2459</v>
      </c>
      <c r="C45">
        <v>2459</v>
      </c>
    </row>
    <row r="46" spans="1:3" x14ac:dyDescent="0.3">
      <c r="A46" s="18">
        <v>29.414808917197455</v>
      </c>
      <c r="B46">
        <v>2463</v>
      </c>
      <c r="C46">
        <v>2463</v>
      </c>
    </row>
    <row r="47" spans="1:3" x14ac:dyDescent="0.3">
      <c r="A47" s="18">
        <v>29.510350318471339</v>
      </c>
      <c r="B47">
        <v>2471</v>
      </c>
      <c r="C47">
        <v>2471</v>
      </c>
    </row>
    <row r="48" spans="1:3" x14ac:dyDescent="0.3">
      <c r="A48" s="17">
        <v>5</v>
      </c>
      <c r="B48">
        <v>97414</v>
      </c>
      <c r="C48">
        <v>97414</v>
      </c>
    </row>
    <row r="49" spans="1:3" x14ac:dyDescent="0.3">
      <c r="A49" s="18">
        <v>27.504818383988137</v>
      </c>
      <c r="B49">
        <v>6184</v>
      </c>
      <c r="C49">
        <v>6184</v>
      </c>
    </row>
    <row r="50" spans="1:3" x14ac:dyDescent="0.3">
      <c r="A50" s="18">
        <v>27.757216876387862</v>
      </c>
      <c r="B50">
        <v>6250</v>
      </c>
      <c r="C50">
        <v>6250</v>
      </c>
    </row>
    <row r="51" spans="1:3" x14ac:dyDescent="0.3">
      <c r="A51" s="18">
        <v>27.970950704225352</v>
      </c>
      <c r="B51">
        <v>6355</v>
      </c>
      <c r="C51">
        <v>6355</v>
      </c>
    </row>
    <row r="52" spans="1:3" x14ac:dyDescent="0.3">
      <c r="A52" s="18">
        <v>28.008613008613008</v>
      </c>
      <c r="B52">
        <v>6287</v>
      </c>
      <c r="C52">
        <v>6287</v>
      </c>
    </row>
    <row r="53" spans="1:3" x14ac:dyDescent="0.3">
      <c r="A53" s="18">
        <v>28.059635068980864</v>
      </c>
      <c r="B53">
        <v>6305</v>
      </c>
      <c r="C53">
        <v>6305</v>
      </c>
    </row>
    <row r="54" spans="1:3" x14ac:dyDescent="0.3">
      <c r="A54" s="18">
        <v>28.317358892438762</v>
      </c>
      <c r="B54">
        <v>10636</v>
      </c>
      <c r="C54">
        <v>10636</v>
      </c>
    </row>
    <row r="55" spans="1:3" x14ac:dyDescent="0.3">
      <c r="A55" s="18">
        <v>28.544609176243529</v>
      </c>
      <c r="B55">
        <v>10846</v>
      </c>
      <c r="C55">
        <v>10846</v>
      </c>
    </row>
    <row r="56" spans="1:3" x14ac:dyDescent="0.3">
      <c r="A56" s="18">
        <v>28.638881561593248</v>
      </c>
      <c r="B56">
        <v>10857</v>
      </c>
      <c r="C56">
        <v>10857</v>
      </c>
    </row>
    <row r="57" spans="1:3" x14ac:dyDescent="0.3">
      <c r="A57" s="18">
        <v>28.752464599390571</v>
      </c>
      <c r="B57">
        <v>10694</v>
      </c>
      <c r="C57">
        <v>10694</v>
      </c>
    </row>
    <row r="58" spans="1:3" x14ac:dyDescent="0.3">
      <c r="A58" s="18">
        <v>28.847999999999999</v>
      </c>
      <c r="B58">
        <v>10818</v>
      </c>
      <c r="C58">
        <v>10818</v>
      </c>
    </row>
    <row r="59" spans="1:3" x14ac:dyDescent="0.3">
      <c r="A59" s="18">
        <v>29.241877256317689</v>
      </c>
      <c r="B59">
        <v>2430</v>
      </c>
      <c r="C59">
        <v>2430</v>
      </c>
    </row>
    <row r="60" spans="1:3" x14ac:dyDescent="0.3">
      <c r="A60" s="18">
        <v>29.311594202898551</v>
      </c>
      <c r="B60">
        <v>2427</v>
      </c>
      <c r="C60">
        <v>2427</v>
      </c>
    </row>
    <row r="61" spans="1:3" x14ac:dyDescent="0.3">
      <c r="A61" s="18">
        <v>29.483380056067283</v>
      </c>
      <c r="B61">
        <v>2454</v>
      </c>
      <c r="C61">
        <v>2454</v>
      </c>
    </row>
    <row r="62" spans="1:3" x14ac:dyDescent="0.3">
      <c r="A62" s="18">
        <v>29.539021431459766</v>
      </c>
      <c r="B62">
        <v>2435</v>
      </c>
      <c r="C62">
        <v>2435</v>
      </c>
    </row>
    <row r="63" spans="1:3" x14ac:dyDescent="0.3">
      <c r="A63" s="18">
        <v>29.623023915687067</v>
      </c>
      <c r="B63">
        <v>2436</v>
      </c>
      <c r="C63">
        <v>2436</v>
      </c>
    </row>
    <row r="64" spans="1:3" x14ac:dyDescent="0.3">
      <c r="A64" s="17">
        <v>6</v>
      </c>
      <c r="B64">
        <v>94926</v>
      </c>
      <c r="C64">
        <v>94926</v>
      </c>
    </row>
    <row r="65" spans="1:3" x14ac:dyDescent="0.3">
      <c r="A65" s="18">
        <v>27.771532735834725</v>
      </c>
      <c r="B65">
        <v>6094</v>
      </c>
      <c r="C65">
        <v>6094</v>
      </c>
    </row>
    <row r="66" spans="1:3" x14ac:dyDescent="0.3">
      <c r="A66" s="18">
        <v>27.852622061482823</v>
      </c>
      <c r="B66">
        <v>6161</v>
      </c>
      <c r="C66">
        <v>6161</v>
      </c>
    </row>
    <row r="67" spans="1:3" x14ac:dyDescent="0.3">
      <c r="A67" s="18">
        <v>28.029728499924161</v>
      </c>
      <c r="B67">
        <v>6160</v>
      </c>
      <c r="C67">
        <v>6160</v>
      </c>
    </row>
    <row r="68" spans="1:3" x14ac:dyDescent="0.3">
      <c r="A68" s="18">
        <v>28.093122989738092</v>
      </c>
      <c r="B68">
        <v>6114</v>
      </c>
      <c r="C68">
        <v>6114</v>
      </c>
    </row>
    <row r="69" spans="1:3" x14ac:dyDescent="0.3">
      <c r="A69" s="18">
        <v>28.118429328780664</v>
      </c>
      <c r="B69">
        <v>10431</v>
      </c>
      <c r="C69">
        <v>10431</v>
      </c>
    </row>
    <row r="70" spans="1:3" x14ac:dyDescent="0.3">
      <c r="A70" s="18">
        <v>28.277912949445795</v>
      </c>
      <c r="B70">
        <v>10460</v>
      </c>
      <c r="C70">
        <v>10460</v>
      </c>
    </row>
    <row r="71" spans="1:3" x14ac:dyDescent="0.3">
      <c r="A71" s="18">
        <v>28.342032545287076</v>
      </c>
      <c r="B71">
        <v>6154</v>
      </c>
      <c r="C71">
        <v>6154</v>
      </c>
    </row>
    <row r="72" spans="1:3" x14ac:dyDescent="0.3">
      <c r="A72" s="18">
        <v>28.348847718029823</v>
      </c>
      <c r="B72">
        <v>10456</v>
      </c>
      <c r="C72">
        <v>10456</v>
      </c>
    </row>
    <row r="73" spans="1:3" x14ac:dyDescent="0.3">
      <c r="A73" s="18">
        <v>28.659812573924118</v>
      </c>
      <c r="B73">
        <v>10500</v>
      </c>
      <c r="C73">
        <v>10500</v>
      </c>
    </row>
    <row r="74" spans="1:3" x14ac:dyDescent="0.3">
      <c r="A74" s="18">
        <v>28.669187494235914</v>
      </c>
      <c r="B74">
        <v>10362</v>
      </c>
      <c r="C74">
        <v>10362</v>
      </c>
    </row>
    <row r="75" spans="1:3" x14ac:dyDescent="0.3">
      <c r="A75" s="18">
        <v>29.365079365079364</v>
      </c>
      <c r="B75">
        <v>2405</v>
      </c>
      <c r="C75">
        <v>2405</v>
      </c>
    </row>
    <row r="76" spans="1:3" x14ac:dyDescent="0.3">
      <c r="A76" s="18">
        <v>29.483818107333061</v>
      </c>
      <c r="B76">
        <v>2399</v>
      </c>
      <c r="C76">
        <v>2399</v>
      </c>
    </row>
    <row r="77" spans="1:3" x14ac:dyDescent="0.3">
      <c r="A77" s="18">
        <v>29.522643818849449</v>
      </c>
      <c r="B77">
        <v>2412</v>
      </c>
      <c r="C77">
        <v>2412</v>
      </c>
    </row>
    <row r="78" spans="1:3" x14ac:dyDescent="0.3">
      <c r="A78" s="18">
        <v>29.559722788422338</v>
      </c>
      <c r="B78">
        <v>2417</v>
      </c>
      <c r="C78">
        <v>2417</v>
      </c>
    </row>
    <row r="79" spans="1:3" x14ac:dyDescent="0.3">
      <c r="A79" s="18">
        <v>29.568965517241381</v>
      </c>
      <c r="B79">
        <v>2401</v>
      </c>
      <c r="C79">
        <v>2401</v>
      </c>
    </row>
    <row r="80" spans="1:3" x14ac:dyDescent="0.3">
      <c r="A80" s="17">
        <v>7</v>
      </c>
      <c r="B80">
        <v>91633</v>
      </c>
      <c r="C80">
        <v>91633</v>
      </c>
    </row>
    <row r="81" spans="1:3" x14ac:dyDescent="0.3">
      <c r="A81" s="18">
        <v>27.216246588537487</v>
      </c>
      <c r="B81">
        <v>5651</v>
      </c>
      <c r="C81">
        <v>5651</v>
      </c>
    </row>
    <row r="82" spans="1:3" x14ac:dyDescent="0.3">
      <c r="A82" s="18">
        <v>27.830578512396691</v>
      </c>
      <c r="B82">
        <v>5837</v>
      </c>
      <c r="C82">
        <v>5837</v>
      </c>
    </row>
    <row r="83" spans="1:3" x14ac:dyDescent="0.3">
      <c r="A83" s="18">
        <v>27.911125019558757</v>
      </c>
      <c r="B83">
        <v>5946</v>
      </c>
      <c r="C83">
        <v>5946</v>
      </c>
    </row>
    <row r="84" spans="1:3" x14ac:dyDescent="0.3">
      <c r="A84" s="18">
        <v>27.967323402210475</v>
      </c>
      <c r="B84">
        <v>5820</v>
      </c>
      <c r="C84">
        <v>5820</v>
      </c>
    </row>
    <row r="85" spans="1:3" x14ac:dyDescent="0.3">
      <c r="A85" s="18">
        <v>28.191233586092103</v>
      </c>
      <c r="B85">
        <v>10162</v>
      </c>
      <c r="C85">
        <v>10162</v>
      </c>
    </row>
    <row r="86" spans="1:3" x14ac:dyDescent="0.3">
      <c r="A86" s="18">
        <v>28.425724073497353</v>
      </c>
      <c r="B86">
        <v>6085</v>
      </c>
      <c r="C86">
        <v>6085</v>
      </c>
    </row>
    <row r="87" spans="1:3" x14ac:dyDescent="0.3">
      <c r="A87" s="18">
        <v>28.75046904315197</v>
      </c>
      <c r="B87">
        <v>10216</v>
      </c>
      <c r="C87">
        <v>10216</v>
      </c>
    </row>
    <row r="88" spans="1:3" x14ac:dyDescent="0.3">
      <c r="A88" s="18">
        <v>28.883388862446452</v>
      </c>
      <c r="B88">
        <v>10114</v>
      </c>
      <c r="C88">
        <v>10114</v>
      </c>
    </row>
    <row r="89" spans="1:3" x14ac:dyDescent="0.3">
      <c r="A89" s="18">
        <v>29.052876234747242</v>
      </c>
      <c r="B89">
        <v>10000</v>
      </c>
      <c r="C89">
        <v>10000</v>
      </c>
    </row>
    <row r="90" spans="1:3" x14ac:dyDescent="0.3">
      <c r="A90" s="18">
        <v>29.129838314551691</v>
      </c>
      <c r="B90">
        <v>9909</v>
      </c>
      <c r="C90">
        <v>9909</v>
      </c>
    </row>
    <row r="91" spans="1:3" x14ac:dyDescent="0.3">
      <c r="A91" s="18">
        <v>29.281585466556564</v>
      </c>
      <c r="B91">
        <v>2364</v>
      </c>
      <c r="C91">
        <v>2364</v>
      </c>
    </row>
    <row r="92" spans="1:3" x14ac:dyDescent="0.3">
      <c r="A92" s="18">
        <v>29.340522604728328</v>
      </c>
      <c r="B92">
        <v>2358</v>
      </c>
      <c r="C92">
        <v>2358</v>
      </c>
    </row>
    <row r="93" spans="1:3" x14ac:dyDescent="0.3">
      <c r="A93" s="18">
        <v>29.417596034696405</v>
      </c>
      <c r="B93">
        <v>2374</v>
      </c>
      <c r="C93">
        <v>2374</v>
      </c>
    </row>
    <row r="94" spans="1:3" x14ac:dyDescent="0.3">
      <c r="A94" s="18">
        <v>29.614587650227932</v>
      </c>
      <c r="B94">
        <v>2382</v>
      </c>
      <c r="C94">
        <v>2382</v>
      </c>
    </row>
    <row r="95" spans="1:3" x14ac:dyDescent="0.3">
      <c r="A95" s="18">
        <v>29.778051787916155</v>
      </c>
      <c r="B95">
        <v>2415</v>
      </c>
      <c r="C95">
        <v>2415</v>
      </c>
    </row>
    <row r="96" spans="1:3" x14ac:dyDescent="0.3">
      <c r="A96" s="17">
        <v>8</v>
      </c>
      <c r="B96">
        <v>69708</v>
      </c>
      <c r="C96">
        <v>69708</v>
      </c>
    </row>
    <row r="97" spans="1:3" x14ac:dyDescent="0.3">
      <c r="A97" s="18">
        <v>27.528165461577267</v>
      </c>
      <c r="B97">
        <v>5457</v>
      </c>
      <c r="C97">
        <v>5457</v>
      </c>
    </row>
    <row r="98" spans="1:3" x14ac:dyDescent="0.3">
      <c r="A98" s="18">
        <v>27.874251497005989</v>
      </c>
      <c r="B98">
        <v>5586</v>
      </c>
      <c r="C98">
        <v>5586</v>
      </c>
    </row>
    <row r="99" spans="1:3" x14ac:dyDescent="0.3">
      <c r="A99" s="18">
        <v>27.902374670184695</v>
      </c>
      <c r="B99">
        <v>5640</v>
      </c>
      <c r="C99">
        <v>5640</v>
      </c>
    </row>
    <row r="100" spans="1:3" x14ac:dyDescent="0.3">
      <c r="A100" s="18">
        <v>28.110856018366679</v>
      </c>
      <c r="B100">
        <v>5714</v>
      </c>
      <c r="C100">
        <v>5714</v>
      </c>
    </row>
    <row r="101" spans="1:3" x14ac:dyDescent="0.3">
      <c r="A101" s="18">
        <v>28.477051460361615</v>
      </c>
      <c r="B101">
        <v>9555</v>
      </c>
      <c r="C101">
        <v>9555</v>
      </c>
    </row>
    <row r="102" spans="1:3" x14ac:dyDescent="0.3">
      <c r="A102" s="18">
        <v>28.482222886166717</v>
      </c>
      <c r="B102">
        <v>9533</v>
      </c>
      <c r="C102">
        <v>9533</v>
      </c>
    </row>
    <row r="103" spans="1:3" x14ac:dyDescent="0.3">
      <c r="A103" s="18">
        <v>28.519402985074628</v>
      </c>
      <c r="B103">
        <v>9554</v>
      </c>
      <c r="C103">
        <v>9554</v>
      </c>
    </row>
    <row r="104" spans="1:3" x14ac:dyDescent="0.3">
      <c r="A104" s="18">
        <v>28.524890562964472</v>
      </c>
      <c r="B104">
        <v>9340</v>
      </c>
      <c r="C104">
        <v>9340</v>
      </c>
    </row>
    <row r="105" spans="1:3" x14ac:dyDescent="0.3">
      <c r="A105" s="18">
        <v>29.173967459324153</v>
      </c>
      <c r="B105">
        <v>2331</v>
      </c>
      <c r="C105">
        <v>2331</v>
      </c>
    </row>
    <row r="106" spans="1:3" x14ac:dyDescent="0.3">
      <c r="A106" s="18">
        <v>29.370541334452369</v>
      </c>
      <c r="B106">
        <v>2333</v>
      </c>
      <c r="C106">
        <v>2333</v>
      </c>
    </row>
    <row r="107" spans="1:3" x14ac:dyDescent="0.3">
      <c r="A107" s="18">
        <v>29.457527333894028</v>
      </c>
      <c r="B107">
        <v>2335</v>
      </c>
      <c r="C107">
        <v>2335</v>
      </c>
    </row>
    <row r="108" spans="1:3" x14ac:dyDescent="0.3">
      <c r="A108" s="18">
        <v>29.468802698145026</v>
      </c>
      <c r="B108">
        <v>2330</v>
      </c>
      <c r="C108">
        <v>2330</v>
      </c>
    </row>
    <row r="109" spans="1:3" x14ac:dyDescent="0.3">
      <c r="A109" s="17">
        <v>9</v>
      </c>
      <c r="B109">
        <v>86709</v>
      </c>
      <c r="C109">
        <v>86709</v>
      </c>
    </row>
    <row r="110" spans="1:3" x14ac:dyDescent="0.3">
      <c r="A110" s="18">
        <v>27.983737139064054</v>
      </c>
      <c r="B110">
        <v>5621</v>
      </c>
      <c r="C110">
        <v>5621</v>
      </c>
    </row>
    <row r="111" spans="1:3" x14ac:dyDescent="0.3">
      <c r="A111" s="18">
        <v>28.085237168322919</v>
      </c>
      <c r="B111">
        <v>9138</v>
      </c>
      <c r="C111">
        <v>9138</v>
      </c>
    </row>
    <row r="112" spans="1:3" x14ac:dyDescent="0.3">
      <c r="A112" s="18">
        <v>28.121396540679054</v>
      </c>
      <c r="B112">
        <v>5853</v>
      </c>
      <c r="C112">
        <v>5853</v>
      </c>
    </row>
    <row r="113" spans="1:3" x14ac:dyDescent="0.3">
      <c r="A113" s="18">
        <v>28.226892135938268</v>
      </c>
      <c r="B113">
        <v>5731</v>
      </c>
      <c r="C113">
        <v>5731</v>
      </c>
    </row>
    <row r="114" spans="1:3" x14ac:dyDescent="0.3">
      <c r="A114" s="18">
        <v>28.240541880059475</v>
      </c>
      <c r="B114">
        <v>5698</v>
      </c>
      <c r="C114">
        <v>5698</v>
      </c>
    </row>
    <row r="115" spans="1:3" x14ac:dyDescent="0.3">
      <c r="A115" s="18">
        <v>28.301228827632016</v>
      </c>
      <c r="B115">
        <v>5681</v>
      </c>
      <c r="C115">
        <v>5681</v>
      </c>
    </row>
    <row r="116" spans="1:3" x14ac:dyDescent="0.3">
      <c r="A116" s="18">
        <v>28.339706178305494</v>
      </c>
      <c r="B116">
        <v>9388</v>
      </c>
      <c r="C116">
        <v>9388</v>
      </c>
    </row>
    <row r="117" spans="1:3" x14ac:dyDescent="0.3">
      <c r="A117" s="18">
        <v>28.569412239137012</v>
      </c>
      <c r="B117">
        <v>9446</v>
      </c>
      <c r="C117">
        <v>9446</v>
      </c>
    </row>
    <row r="118" spans="1:3" x14ac:dyDescent="0.3">
      <c r="A118" s="18">
        <v>28.574821852731588</v>
      </c>
      <c r="B118">
        <v>9223</v>
      </c>
      <c r="C118">
        <v>9223</v>
      </c>
    </row>
    <row r="119" spans="1:3" x14ac:dyDescent="0.3">
      <c r="A119" s="18">
        <v>28.695917123705058</v>
      </c>
      <c r="B119">
        <v>9418</v>
      </c>
      <c r="C119">
        <v>9418</v>
      </c>
    </row>
    <row r="120" spans="1:3" x14ac:dyDescent="0.3">
      <c r="A120" s="18">
        <v>29.297872340425531</v>
      </c>
      <c r="B120">
        <v>2295</v>
      </c>
      <c r="C120">
        <v>2295</v>
      </c>
    </row>
    <row r="121" spans="1:3" x14ac:dyDescent="0.3">
      <c r="A121" s="18">
        <v>29.318474067723962</v>
      </c>
      <c r="B121">
        <v>2280</v>
      </c>
      <c r="C121">
        <v>2280</v>
      </c>
    </row>
    <row r="122" spans="1:3" x14ac:dyDescent="0.3">
      <c r="A122" s="18">
        <v>29.522990975504943</v>
      </c>
      <c r="B122">
        <v>2290</v>
      </c>
      <c r="C122">
        <v>2290</v>
      </c>
    </row>
    <row r="123" spans="1:3" x14ac:dyDescent="0.3">
      <c r="A123" s="18">
        <v>29.603072983354675</v>
      </c>
      <c r="B123">
        <v>2312</v>
      </c>
      <c r="C123">
        <v>2312</v>
      </c>
    </row>
    <row r="124" spans="1:3" x14ac:dyDescent="0.3">
      <c r="A124" s="18">
        <v>29.657070279424218</v>
      </c>
      <c r="B124">
        <v>2335</v>
      </c>
      <c r="C124">
        <v>2335</v>
      </c>
    </row>
    <row r="125" spans="1:3" x14ac:dyDescent="0.3">
      <c r="A125" s="17">
        <v>10</v>
      </c>
      <c r="B125">
        <v>81711</v>
      </c>
      <c r="C125">
        <v>81711</v>
      </c>
    </row>
    <row r="126" spans="1:3" x14ac:dyDescent="0.3">
      <c r="A126" s="18">
        <v>28.057314756174794</v>
      </c>
      <c r="B126">
        <v>5907</v>
      </c>
      <c r="C126">
        <v>5907</v>
      </c>
    </row>
    <row r="127" spans="1:3" x14ac:dyDescent="0.3">
      <c r="A127" s="18">
        <v>28.087264530671387</v>
      </c>
      <c r="B127">
        <v>5815</v>
      </c>
      <c r="C127">
        <v>5815</v>
      </c>
    </row>
    <row r="128" spans="1:3" x14ac:dyDescent="0.3">
      <c r="A128" s="18">
        <v>28.105861306955699</v>
      </c>
      <c r="B128">
        <v>8903</v>
      </c>
      <c r="C128">
        <v>8903</v>
      </c>
    </row>
    <row r="129" spans="1:3" x14ac:dyDescent="0.3">
      <c r="A129" s="18">
        <v>28.140964995269631</v>
      </c>
      <c r="B129">
        <v>5949</v>
      </c>
      <c r="C129">
        <v>5949</v>
      </c>
    </row>
    <row r="130" spans="1:3" x14ac:dyDescent="0.3">
      <c r="A130" s="18">
        <v>28.198067632850243</v>
      </c>
      <c r="B130">
        <v>5837</v>
      </c>
      <c r="C130">
        <v>5837</v>
      </c>
    </row>
    <row r="131" spans="1:3" x14ac:dyDescent="0.3">
      <c r="A131" s="18">
        <v>28.269776236999686</v>
      </c>
      <c r="B131">
        <v>8970</v>
      </c>
      <c r="C131">
        <v>8970</v>
      </c>
    </row>
    <row r="132" spans="1:3" x14ac:dyDescent="0.3">
      <c r="A132" s="18">
        <v>28.369168356997971</v>
      </c>
      <c r="B132">
        <v>9324</v>
      </c>
      <c r="C132">
        <v>9324</v>
      </c>
    </row>
    <row r="133" spans="1:3" x14ac:dyDescent="0.3">
      <c r="A133" s="18">
        <v>28.527550067448377</v>
      </c>
      <c r="B133">
        <v>9164</v>
      </c>
      <c r="C133">
        <v>9164</v>
      </c>
    </row>
    <row r="134" spans="1:3" x14ac:dyDescent="0.3">
      <c r="A134" s="18">
        <v>28.570252187339165</v>
      </c>
      <c r="B134">
        <v>9252</v>
      </c>
      <c r="C134">
        <v>9252</v>
      </c>
    </row>
    <row r="135" spans="1:3" x14ac:dyDescent="0.3">
      <c r="A135" s="18">
        <v>28.603736479842674</v>
      </c>
      <c r="B135">
        <v>5818</v>
      </c>
      <c r="C135">
        <v>5818</v>
      </c>
    </row>
    <row r="136" spans="1:3" x14ac:dyDescent="0.3">
      <c r="A136" s="18">
        <v>29.320853286895954</v>
      </c>
      <c r="B136">
        <v>2245</v>
      </c>
      <c r="C136">
        <v>2245</v>
      </c>
    </row>
    <row r="137" spans="1:3" x14ac:dyDescent="0.3">
      <c r="A137" s="18">
        <v>29.377431906614785</v>
      </c>
      <c r="B137">
        <v>2265</v>
      </c>
      <c r="C137">
        <v>2265</v>
      </c>
    </row>
    <row r="138" spans="1:3" x14ac:dyDescent="0.3">
      <c r="A138" s="18">
        <v>29.465914025184542</v>
      </c>
      <c r="B138">
        <v>2262</v>
      </c>
      <c r="C138">
        <v>2262</v>
      </c>
    </row>
    <row r="139" spans="1:3" x14ac:dyDescent="0.3">
      <c r="A139" s="17">
        <v>11</v>
      </c>
      <c r="B139">
        <v>82740</v>
      </c>
      <c r="C139">
        <v>82740</v>
      </c>
    </row>
    <row r="140" spans="1:3" x14ac:dyDescent="0.3">
      <c r="A140" s="18">
        <v>27.96420233463035</v>
      </c>
      <c r="B140">
        <v>5989</v>
      </c>
      <c r="C140">
        <v>5989</v>
      </c>
    </row>
    <row r="141" spans="1:3" x14ac:dyDescent="0.3">
      <c r="A141" s="18">
        <v>28.015326868939631</v>
      </c>
      <c r="B141">
        <v>5971</v>
      </c>
      <c r="C141">
        <v>5971</v>
      </c>
    </row>
    <row r="142" spans="1:3" x14ac:dyDescent="0.3">
      <c r="A142" s="18">
        <v>28.230524642289346</v>
      </c>
      <c r="B142">
        <v>5919</v>
      </c>
      <c r="C142">
        <v>5919</v>
      </c>
    </row>
    <row r="143" spans="1:3" x14ac:dyDescent="0.3">
      <c r="A143" s="18">
        <v>28.271384515500731</v>
      </c>
      <c r="B143">
        <v>5806</v>
      </c>
      <c r="C143">
        <v>5806</v>
      </c>
    </row>
    <row r="144" spans="1:3" x14ac:dyDescent="0.3">
      <c r="A144" s="18">
        <v>28.327461139896371</v>
      </c>
      <c r="B144">
        <v>9112</v>
      </c>
      <c r="C144">
        <v>9112</v>
      </c>
    </row>
    <row r="145" spans="1:3" x14ac:dyDescent="0.3">
      <c r="A145" s="18">
        <v>28.354247104247104</v>
      </c>
      <c r="B145">
        <v>5875</v>
      </c>
      <c r="C145">
        <v>5875</v>
      </c>
    </row>
    <row r="146" spans="1:3" x14ac:dyDescent="0.3">
      <c r="A146" s="18">
        <v>28.356666666666666</v>
      </c>
      <c r="B146">
        <v>8507</v>
      </c>
      <c r="C146">
        <v>8507</v>
      </c>
    </row>
    <row r="147" spans="1:3" x14ac:dyDescent="0.3">
      <c r="A147" s="18">
        <v>28.374275171323145</v>
      </c>
      <c r="B147">
        <v>8971</v>
      </c>
      <c r="C147">
        <v>8971</v>
      </c>
    </row>
    <row r="148" spans="1:3" x14ac:dyDescent="0.3">
      <c r="A148" s="18">
        <v>28.855890410958903</v>
      </c>
      <c r="B148">
        <v>8777</v>
      </c>
      <c r="C148">
        <v>8777</v>
      </c>
    </row>
    <row r="149" spans="1:3" x14ac:dyDescent="0.3">
      <c r="A149" s="18">
        <v>28.912636333590392</v>
      </c>
      <c r="B149">
        <v>8748</v>
      </c>
      <c r="C149">
        <v>8748</v>
      </c>
    </row>
    <row r="150" spans="1:3" x14ac:dyDescent="0.3">
      <c r="A150" s="18">
        <v>29.453362255965292</v>
      </c>
      <c r="B150">
        <v>2263</v>
      </c>
      <c r="C150">
        <v>2263</v>
      </c>
    </row>
    <row r="151" spans="1:3" x14ac:dyDescent="0.3">
      <c r="A151" s="18">
        <v>29.477579451458425</v>
      </c>
      <c r="B151">
        <v>2257</v>
      </c>
      <c r="C151">
        <v>2257</v>
      </c>
    </row>
    <row r="152" spans="1:3" x14ac:dyDescent="0.3">
      <c r="A152" s="18">
        <v>29.622395833333332</v>
      </c>
      <c r="B152">
        <v>2275</v>
      </c>
      <c r="C152">
        <v>2275</v>
      </c>
    </row>
    <row r="153" spans="1:3" x14ac:dyDescent="0.3">
      <c r="A153" s="18">
        <v>29.634464751958227</v>
      </c>
      <c r="B153">
        <v>2270</v>
      </c>
      <c r="C153">
        <v>2270</v>
      </c>
    </row>
    <row r="154" spans="1:3" x14ac:dyDescent="0.3">
      <c r="A154" s="17">
        <v>12</v>
      </c>
      <c r="B154">
        <v>85961</v>
      </c>
      <c r="C154">
        <v>85961</v>
      </c>
    </row>
    <row r="155" spans="1:3" x14ac:dyDescent="0.3">
      <c r="A155" s="18">
        <v>27.590265627485287</v>
      </c>
      <c r="B155">
        <v>5782</v>
      </c>
      <c r="C155">
        <v>5782</v>
      </c>
    </row>
    <row r="156" spans="1:3" x14ac:dyDescent="0.3">
      <c r="A156" s="18">
        <v>27.955414012738853</v>
      </c>
      <c r="B156">
        <v>5852</v>
      </c>
      <c r="C156">
        <v>5852</v>
      </c>
    </row>
    <row r="157" spans="1:3" x14ac:dyDescent="0.3">
      <c r="A157" s="18">
        <v>27.965782451734423</v>
      </c>
      <c r="B157">
        <v>5939</v>
      </c>
      <c r="C157">
        <v>5939</v>
      </c>
    </row>
    <row r="158" spans="1:3" x14ac:dyDescent="0.3">
      <c r="A158" s="18">
        <v>27.990105132962277</v>
      </c>
      <c r="B158">
        <v>9052</v>
      </c>
      <c r="C158">
        <v>9052</v>
      </c>
    </row>
    <row r="159" spans="1:3" x14ac:dyDescent="0.3">
      <c r="A159" s="18">
        <v>28.105906313645622</v>
      </c>
      <c r="B159">
        <v>5980</v>
      </c>
      <c r="C159">
        <v>5980</v>
      </c>
    </row>
    <row r="160" spans="1:3" x14ac:dyDescent="0.3">
      <c r="A160" s="18">
        <v>28.154357108967265</v>
      </c>
      <c r="B160">
        <v>5934</v>
      </c>
      <c r="C160">
        <v>5934</v>
      </c>
    </row>
    <row r="161" spans="1:3" x14ac:dyDescent="0.3">
      <c r="A161" s="18">
        <v>28.434419202743246</v>
      </c>
      <c r="B161">
        <v>8845</v>
      </c>
      <c r="C161">
        <v>8845</v>
      </c>
    </row>
    <row r="162" spans="1:3" x14ac:dyDescent="0.3">
      <c r="A162" s="18">
        <v>28.501251564455568</v>
      </c>
      <c r="B162">
        <v>9109</v>
      </c>
      <c r="C162">
        <v>9109</v>
      </c>
    </row>
    <row r="163" spans="1:3" x14ac:dyDescent="0.3">
      <c r="A163" s="18">
        <v>28.681942400672693</v>
      </c>
      <c r="B163">
        <v>9096</v>
      </c>
      <c r="C163">
        <v>9096</v>
      </c>
    </row>
    <row r="164" spans="1:3" x14ac:dyDescent="0.3">
      <c r="A164" s="18">
        <v>28.862453531598511</v>
      </c>
      <c r="B164">
        <v>9058</v>
      </c>
      <c r="C164">
        <v>9058</v>
      </c>
    </row>
    <row r="165" spans="1:3" x14ac:dyDescent="0.3">
      <c r="A165" s="18">
        <v>29.29656969170647</v>
      </c>
      <c r="B165">
        <v>2249</v>
      </c>
      <c r="C165">
        <v>2249</v>
      </c>
    </row>
    <row r="166" spans="1:3" x14ac:dyDescent="0.3">
      <c r="A166" s="18">
        <v>29.411251635412121</v>
      </c>
      <c r="B166">
        <v>2248</v>
      </c>
      <c r="C166">
        <v>2248</v>
      </c>
    </row>
    <row r="167" spans="1:3" x14ac:dyDescent="0.3">
      <c r="A167" s="18">
        <v>29.415837299870187</v>
      </c>
      <c r="B167">
        <v>2266</v>
      </c>
      <c r="C167">
        <v>2266</v>
      </c>
    </row>
    <row r="168" spans="1:3" x14ac:dyDescent="0.3">
      <c r="A168" s="18">
        <v>29.455252918287936</v>
      </c>
      <c r="B168">
        <v>2271</v>
      </c>
      <c r="C168">
        <v>2271</v>
      </c>
    </row>
    <row r="169" spans="1:3" x14ac:dyDescent="0.3">
      <c r="A169" s="18">
        <v>29.636048526863085</v>
      </c>
      <c r="B169">
        <v>2280</v>
      </c>
      <c r="C169">
        <v>2280</v>
      </c>
    </row>
    <row r="170" spans="1:3" x14ac:dyDescent="0.3">
      <c r="A170" s="17">
        <v>13</v>
      </c>
      <c r="B170">
        <v>91187</v>
      </c>
      <c r="C170">
        <v>91187</v>
      </c>
    </row>
    <row r="171" spans="1:3" x14ac:dyDescent="0.3">
      <c r="A171" s="18">
        <v>27.718760090410075</v>
      </c>
      <c r="B171">
        <v>5723</v>
      </c>
      <c r="C171">
        <v>5723</v>
      </c>
    </row>
    <row r="172" spans="1:3" x14ac:dyDescent="0.3">
      <c r="A172" s="18">
        <v>28.035121025154247</v>
      </c>
      <c r="B172">
        <v>5907</v>
      </c>
      <c r="C172">
        <v>5907</v>
      </c>
    </row>
    <row r="173" spans="1:3" x14ac:dyDescent="0.3">
      <c r="A173" s="18">
        <v>28.144624167459561</v>
      </c>
      <c r="B173">
        <v>5916</v>
      </c>
      <c r="C173">
        <v>5916</v>
      </c>
    </row>
    <row r="174" spans="1:3" x14ac:dyDescent="0.3">
      <c r="A174" s="18">
        <v>28.18622696411251</v>
      </c>
      <c r="B174">
        <v>5812</v>
      </c>
      <c r="C174">
        <v>5812</v>
      </c>
    </row>
    <row r="175" spans="1:3" x14ac:dyDescent="0.3">
      <c r="A175" s="18">
        <v>28.374200935025286</v>
      </c>
      <c r="B175">
        <v>9913</v>
      </c>
      <c r="C175">
        <v>9913</v>
      </c>
    </row>
    <row r="176" spans="1:3" x14ac:dyDescent="0.3">
      <c r="A176" s="18">
        <v>28.480951615495901</v>
      </c>
      <c r="B176">
        <v>5906</v>
      </c>
      <c r="C176">
        <v>5906</v>
      </c>
    </row>
    <row r="177" spans="1:3" x14ac:dyDescent="0.3">
      <c r="A177" s="18">
        <v>28.541607898448518</v>
      </c>
      <c r="B177">
        <v>10118</v>
      </c>
      <c r="C177">
        <v>10118</v>
      </c>
    </row>
    <row r="178" spans="1:3" x14ac:dyDescent="0.3">
      <c r="A178" s="18">
        <v>28.546888200506899</v>
      </c>
      <c r="B178">
        <v>10137</v>
      </c>
      <c r="C178">
        <v>10137</v>
      </c>
    </row>
    <row r="179" spans="1:3" x14ac:dyDescent="0.3">
      <c r="A179" s="18">
        <v>28.786805814386881</v>
      </c>
      <c r="B179">
        <v>10298</v>
      </c>
      <c r="C179">
        <v>10298</v>
      </c>
    </row>
    <row r="180" spans="1:3" x14ac:dyDescent="0.3">
      <c r="A180" s="18">
        <v>28.820899692651579</v>
      </c>
      <c r="B180">
        <v>10315</v>
      </c>
      <c r="C180">
        <v>10315</v>
      </c>
    </row>
    <row r="181" spans="1:3" x14ac:dyDescent="0.3">
      <c r="A181" s="18">
        <v>29.37117903930131</v>
      </c>
      <c r="B181">
        <v>2242</v>
      </c>
      <c r="C181">
        <v>2242</v>
      </c>
    </row>
    <row r="182" spans="1:3" x14ac:dyDescent="0.3">
      <c r="A182" s="18">
        <v>29.39526730937774</v>
      </c>
      <c r="B182">
        <v>2236</v>
      </c>
      <c r="C182">
        <v>2236</v>
      </c>
    </row>
    <row r="183" spans="1:3" x14ac:dyDescent="0.3">
      <c r="A183" s="18">
        <v>29.414374445430347</v>
      </c>
      <c r="B183">
        <v>2210</v>
      </c>
      <c r="C183">
        <v>2210</v>
      </c>
    </row>
    <row r="184" spans="1:3" x14ac:dyDescent="0.3">
      <c r="A184" s="18">
        <v>29.443954104148279</v>
      </c>
      <c r="B184">
        <v>2224</v>
      </c>
      <c r="C184">
        <v>2224</v>
      </c>
    </row>
    <row r="185" spans="1:3" x14ac:dyDescent="0.3">
      <c r="A185" s="18">
        <v>29.458388375165125</v>
      </c>
      <c r="B185">
        <v>2230</v>
      </c>
      <c r="C185">
        <v>2230</v>
      </c>
    </row>
    <row r="186" spans="1:3" x14ac:dyDescent="0.3">
      <c r="A186" s="17">
        <v>14</v>
      </c>
      <c r="B186">
        <v>93379</v>
      </c>
      <c r="C186">
        <v>93379</v>
      </c>
    </row>
    <row r="187" spans="1:3" x14ac:dyDescent="0.3">
      <c r="A187" s="18">
        <v>27.856442119032046</v>
      </c>
      <c r="B187">
        <v>5679</v>
      </c>
      <c r="C187">
        <v>5679</v>
      </c>
    </row>
    <row r="188" spans="1:3" x14ac:dyDescent="0.3">
      <c r="A188" s="18">
        <v>28.262955854126677</v>
      </c>
      <c r="B188">
        <v>5890</v>
      </c>
      <c r="C188">
        <v>5890</v>
      </c>
    </row>
    <row r="189" spans="1:3" x14ac:dyDescent="0.3">
      <c r="A189" s="18">
        <v>28.309117036563947</v>
      </c>
      <c r="B189">
        <v>5910</v>
      </c>
      <c r="C189">
        <v>5910</v>
      </c>
    </row>
    <row r="190" spans="1:3" x14ac:dyDescent="0.3">
      <c r="A190" s="18">
        <v>28.438770531793789</v>
      </c>
      <c r="B190">
        <v>5829</v>
      </c>
      <c r="C190">
        <v>5829</v>
      </c>
    </row>
    <row r="191" spans="1:3" x14ac:dyDescent="0.3">
      <c r="A191" s="18">
        <v>28.474249959890905</v>
      </c>
      <c r="B191">
        <v>5916</v>
      </c>
      <c r="C191">
        <v>5916</v>
      </c>
    </row>
    <row r="192" spans="1:3" x14ac:dyDescent="0.3">
      <c r="A192" s="18">
        <v>28.668749999999999</v>
      </c>
      <c r="B192">
        <v>10703</v>
      </c>
      <c r="C192">
        <v>10703</v>
      </c>
    </row>
    <row r="193" spans="1:3" x14ac:dyDescent="0.3">
      <c r="A193" s="18">
        <v>28.704841040462426</v>
      </c>
      <c r="B193">
        <v>10594</v>
      </c>
      <c r="C193">
        <v>10594</v>
      </c>
    </row>
    <row r="194" spans="1:3" x14ac:dyDescent="0.3">
      <c r="A194" s="18">
        <v>29.02185892725937</v>
      </c>
      <c r="B194">
        <v>10533</v>
      </c>
      <c r="C194">
        <v>10533</v>
      </c>
    </row>
    <row r="195" spans="1:3" x14ac:dyDescent="0.3">
      <c r="A195" s="18">
        <v>29.051888073892965</v>
      </c>
      <c r="B195">
        <v>10694</v>
      </c>
      <c r="C195">
        <v>10694</v>
      </c>
    </row>
    <row r="196" spans="1:3" x14ac:dyDescent="0.3">
      <c r="A196" s="18">
        <v>29.10547396528705</v>
      </c>
      <c r="B196">
        <v>2180</v>
      </c>
      <c r="C196">
        <v>2180</v>
      </c>
    </row>
    <row r="197" spans="1:3" x14ac:dyDescent="0.3">
      <c r="A197" s="18">
        <v>29.116465863453815</v>
      </c>
      <c r="B197">
        <v>2175</v>
      </c>
      <c r="C197">
        <v>2175</v>
      </c>
    </row>
    <row r="198" spans="1:3" x14ac:dyDescent="0.3">
      <c r="A198" s="18">
        <v>29.133090246125796</v>
      </c>
      <c r="B198">
        <v>10653</v>
      </c>
      <c r="C198">
        <v>10653</v>
      </c>
    </row>
    <row r="199" spans="1:3" x14ac:dyDescent="0.3">
      <c r="A199" s="18">
        <v>29.261414503133391</v>
      </c>
      <c r="B199">
        <v>2179</v>
      </c>
      <c r="C199">
        <v>2179</v>
      </c>
    </row>
    <row r="200" spans="1:3" x14ac:dyDescent="0.3">
      <c r="A200" s="18">
        <v>29.496688741721854</v>
      </c>
      <c r="B200">
        <v>2227</v>
      </c>
      <c r="C200">
        <v>2227</v>
      </c>
    </row>
    <row r="201" spans="1:3" x14ac:dyDescent="0.3">
      <c r="A201" s="18">
        <v>29.599465954606138</v>
      </c>
      <c r="B201">
        <v>2217</v>
      </c>
      <c r="C201">
        <v>2217</v>
      </c>
    </row>
    <row r="202" spans="1:3" x14ac:dyDescent="0.3">
      <c r="A202" s="17">
        <v>15</v>
      </c>
      <c r="B202">
        <v>103112</v>
      </c>
      <c r="C202">
        <v>103112</v>
      </c>
    </row>
    <row r="203" spans="1:3" x14ac:dyDescent="0.3">
      <c r="A203" s="18">
        <v>27.870632672332388</v>
      </c>
      <c r="B203">
        <v>5903</v>
      </c>
      <c r="C203">
        <v>5903</v>
      </c>
    </row>
    <row r="204" spans="1:3" x14ac:dyDescent="0.3">
      <c r="A204" s="18">
        <v>27.970249520153551</v>
      </c>
      <c r="B204">
        <v>5829</v>
      </c>
      <c r="C204">
        <v>5829</v>
      </c>
    </row>
    <row r="205" spans="1:3" x14ac:dyDescent="0.3">
      <c r="A205" s="18">
        <v>28.154138915318747</v>
      </c>
      <c r="B205">
        <v>5918</v>
      </c>
      <c r="C205">
        <v>5918</v>
      </c>
    </row>
    <row r="206" spans="1:3" x14ac:dyDescent="0.3">
      <c r="A206" s="18">
        <v>28.27891791044776</v>
      </c>
      <c r="B206">
        <v>10105</v>
      </c>
      <c r="C206">
        <v>10105</v>
      </c>
    </row>
    <row r="207" spans="1:3" x14ac:dyDescent="0.3">
      <c r="A207" s="18">
        <v>28.304140127388536</v>
      </c>
      <c r="B207">
        <v>5925</v>
      </c>
      <c r="C207">
        <v>5925</v>
      </c>
    </row>
    <row r="208" spans="1:3" x14ac:dyDescent="0.3">
      <c r="A208" s="18">
        <v>28.31728645879339</v>
      </c>
      <c r="B208">
        <v>10686</v>
      </c>
      <c r="C208">
        <v>10686</v>
      </c>
    </row>
    <row r="209" spans="1:3" x14ac:dyDescent="0.3">
      <c r="A209" s="18">
        <v>28.329002923026959</v>
      </c>
      <c r="B209">
        <v>5815</v>
      </c>
      <c r="C209">
        <v>5815</v>
      </c>
    </row>
    <row r="210" spans="1:3" x14ac:dyDescent="0.3">
      <c r="A210" s="18">
        <v>28.360846940606493</v>
      </c>
      <c r="B210">
        <v>10537</v>
      </c>
      <c r="C210">
        <v>10537</v>
      </c>
    </row>
    <row r="211" spans="1:3" x14ac:dyDescent="0.3">
      <c r="A211" s="18">
        <v>28.7497705158803</v>
      </c>
      <c r="B211">
        <v>10440</v>
      </c>
      <c r="C211">
        <v>10440</v>
      </c>
    </row>
    <row r="212" spans="1:3" x14ac:dyDescent="0.3">
      <c r="A212" s="18">
        <v>28.788955713504645</v>
      </c>
      <c r="B212">
        <v>10531</v>
      </c>
      <c r="C212">
        <v>10531</v>
      </c>
    </row>
    <row r="213" spans="1:3" x14ac:dyDescent="0.3">
      <c r="A213" s="18">
        <v>28.922839786018677</v>
      </c>
      <c r="B213">
        <v>10633</v>
      </c>
      <c r="C213">
        <v>10633</v>
      </c>
    </row>
    <row r="214" spans="1:3" x14ac:dyDescent="0.3">
      <c r="A214" s="18">
        <v>29.092550790067722</v>
      </c>
      <c r="B214">
        <v>2148</v>
      </c>
      <c r="C214">
        <v>2148</v>
      </c>
    </row>
    <row r="215" spans="1:3" x14ac:dyDescent="0.3">
      <c r="A215" s="18">
        <v>29.357923497267759</v>
      </c>
      <c r="B215">
        <v>2149</v>
      </c>
      <c r="C215">
        <v>2149</v>
      </c>
    </row>
    <row r="216" spans="1:3" x14ac:dyDescent="0.3">
      <c r="A216" s="18">
        <v>29.40217391304348</v>
      </c>
      <c r="B216">
        <v>2164</v>
      </c>
      <c r="C216">
        <v>2164</v>
      </c>
    </row>
    <row r="217" spans="1:3" x14ac:dyDescent="0.3">
      <c r="A217" s="18">
        <v>29.418918918918919</v>
      </c>
      <c r="B217">
        <v>2177</v>
      </c>
      <c r="C217">
        <v>2177</v>
      </c>
    </row>
    <row r="218" spans="1:3" x14ac:dyDescent="0.3">
      <c r="A218" s="18">
        <v>29.465997261524418</v>
      </c>
      <c r="B218">
        <v>2152</v>
      </c>
      <c r="C218">
        <v>2152</v>
      </c>
    </row>
    <row r="219" spans="1:3" x14ac:dyDescent="0.3">
      <c r="A219" s="17">
        <v>16</v>
      </c>
      <c r="B219">
        <v>92772</v>
      </c>
      <c r="C219">
        <v>92772</v>
      </c>
    </row>
    <row r="220" spans="1:3" x14ac:dyDescent="0.3">
      <c r="A220" s="18">
        <v>27.808354248834707</v>
      </c>
      <c r="B220">
        <v>10341</v>
      </c>
      <c r="C220">
        <v>10341</v>
      </c>
    </row>
    <row r="221" spans="1:3" x14ac:dyDescent="0.3">
      <c r="A221" s="18">
        <v>28.08022922636103</v>
      </c>
      <c r="B221">
        <v>5880</v>
      </c>
      <c r="C221">
        <v>5880</v>
      </c>
    </row>
    <row r="222" spans="1:3" x14ac:dyDescent="0.3">
      <c r="A222" s="18">
        <v>28.093841642228739</v>
      </c>
      <c r="B222">
        <v>5748</v>
      </c>
      <c r="C222">
        <v>5748</v>
      </c>
    </row>
    <row r="223" spans="1:3" x14ac:dyDescent="0.3">
      <c r="A223" s="18">
        <v>28.115750528541227</v>
      </c>
      <c r="B223">
        <v>10639</v>
      </c>
      <c r="C223">
        <v>10639</v>
      </c>
    </row>
    <row r="224" spans="1:3" x14ac:dyDescent="0.3">
      <c r="A224" s="18">
        <v>28.116334661354582</v>
      </c>
      <c r="B224">
        <v>5881</v>
      </c>
      <c r="C224">
        <v>5881</v>
      </c>
    </row>
    <row r="225" spans="1:3" x14ac:dyDescent="0.3">
      <c r="A225" s="18">
        <v>28.168230243281922</v>
      </c>
      <c r="B225">
        <v>5905</v>
      </c>
      <c r="C225">
        <v>5905</v>
      </c>
    </row>
    <row r="226" spans="1:3" x14ac:dyDescent="0.3">
      <c r="A226" s="18">
        <v>28.220789685737309</v>
      </c>
      <c r="B226">
        <v>5837</v>
      </c>
      <c r="C226">
        <v>5837</v>
      </c>
    </row>
    <row r="227" spans="1:3" x14ac:dyDescent="0.3">
      <c r="A227" s="18">
        <v>28.222261297696498</v>
      </c>
      <c r="B227">
        <v>10700</v>
      </c>
      <c r="C227">
        <v>10700</v>
      </c>
    </row>
    <row r="228" spans="1:3" x14ac:dyDescent="0.3">
      <c r="A228" s="18">
        <v>28.333924769339959</v>
      </c>
      <c r="B228">
        <v>10646</v>
      </c>
      <c r="C228">
        <v>10646</v>
      </c>
    </row>
    <row r="229" spans="1:3" x14ac:dyDescent="0.3">
      <c r="A229" s="18">
        <v>28.542849418761829</v>
      </c>
      <c r="B229">
        <v>10558</v>
      </c>
      <c r="C229">
        <v>10558</v>
      </c>
    </row>
    <row r="230" spans="1:3" x14ac:dyDescent="0.3">
      <c r="A230" s="18">
        <v>29.241727941176471</v>
      </c>
      <c r="B230">
        <v>2121</v>
      </c>
      <c r="C230">
        <v>2121</v>
      </c>
    </row>
    <row r="231" spans="1:3" x14ac:dyDescent="0.3">
      <c r="A231" s="18">
        <v>29.26626672819566</v>
      </c>
      <c r="B231">
        <v>2114</v>
      </c>
      <c r="C231">
        <v>2114</v>
      </c>
    </row>
    <row r="232" spans="1:3" x14ac:dyDescent="0.3">
      <c r="A232" s="18">
        <v>29.298486932599726</v>
      </c>
      <c r="B232">
        <v>2130</v>
      </c>
      <c r="C232">
        <v>2130</v>
      </c>
    </row>
    <row r="233" spans="1:3" x14ac:dyDescent="0.3">
      <c r="A233" s="18">
        <v>29.340357306459001</v>
      </c>
      <c r="B233">
        <v>2135</v>
      </c>
      <c r="C233">
        <v>2135</v>
      </c>
    </row>
    <row r="234" spans="1:3" x14ac:dyDescent="0.3">
      <c r="A234" s="18">
        <v>29.475862068965519</v>
      </c>
      <c r="B234">
        <v>2137</v>
      </c>
      <c r="C234">
        <v>2137</v>
      </c>
    </row>
    <row r="235" spans="1:3" x14ac:dyDescent="0.3">
      <c r="A235" s="17">
        <v>17</v>
      </c>
      <c r="B235">
        <v>93154</v>
      </c>
      <c r="C235">
        <v>93154</v>
      </c>
    </row>
    <row r="236" spans="1:3" x14ac:dyDescent="0.3">
      <c r="A236" s="18">
        <v>27.868626550298575</v>
      </c>
      <c r="B236">
        <v>6067</v>
      </c>
      <c r="C236">
        <v>6067</v>
      </c>
    </row>
    <row r="237" spans="1:3" x14ac:dyDescent="0.3">
      <c r="A237" s="18">
        <v>27.922224007713321</v>
      </c>
      <c r="B237">
        <v>5792</v>
      </c>
      <c r="C237">
        <v>5792</v>
      </c>
    </row>
    <row r="238" spans="1:3" x14ac:dyDescent="0.3">
      <c r="A238" s="18">
        <v>27.943699731903486</v>
      </c>
      <c r="B238">
        <v>10423</v>
      </c>
      <c r="C238">
        <v>10423</v>
      </c>
    </row>
    <row r="239" spans="1:3" x14ac:dyDescent="0.3">
      <c r="A239" s="18">
        <v>28.154180238870794</v>
      </c>
      <c r="B239">
        <v>10372</v>
      </c>
      <c r="C239">
        <v>10372</v>
      </c>
    </row>
    <row r="240" spans="1:3" x14ac:dyDescent="0.3">
      <c r="A240" s="18">
        <v>28.176117775354417</v>
      </c>
      <c r="B240">
        <v>10335</v>
      </c>
      <c r="C240">
        <v>10335</v>
      </c>
    </row>
    <row r="241" spans="1:3" x14ac:dyDescent="0.3">
      <c r="A241" s="18">
        <v>28.21837302814723</v>
      </c>
      <c r="B241">
        <v>6082</v>
      </c>
      <c r="C241">
        <v>6082</v>
      </c>
    </row>
    <row r="242" spans="1:3" x14ac:dyDescent="0.3">
      <c r="A242" s="18">
        <v>28.2618825722274</v>
      </c>
      <c r="B242">
        <v>6065</v>
      </c>
      <c r="C242">
        <v>6065</v>
      </c>
    </row>
    <row r="243" spans="1:3" x14ac:dyDescent="0.3">
      <c r="A243" s="18">
        <v>28.263425060112208</v>
      </c>
      <c r="B243">
        <v>10579</v>
      </c>
      <c r="C243">
        <v>10579</v>
      </c>
    </row>
    <row r="244" spans="1:3" x14ac:dyDescent="0.3">
      <c r="A244" s="18">
        <v>28.318364818829359</v>
      </c>
      <c r="B244">
        <v>6096</v>
      </c>
      <c r="C244">
        <v>6096</v>
      </c>
    </row>
    <row r="245" spans="1:3" x14ac:dyDescent="0.3">
      <c r="A245" s="18">
        <v>28.558249868212968</v>
      </c>
      <c r="B245">
        <v>10835</v>
      </c>
      <c r="C245">
        <v>10835</v>
      </c>
    </row>
    <row r="246" spans="1:3" x14ac:dyDescent="0.3">
      <c r="A246" s="18">
        <v>29.07821229050279</v>
      </c>
      <c r="B246">
        <v>2082</v>
      </c>
      <c r="C246">
        <v>2082</v>
      </c>
    </row>
    <row r="247" spans="1:3" x14ac:dyDescent="0.3">
      <c r="A247" s="18">
        <v>29.283036551077785</v>
      </c>
      <c r="B247">
        <v>2083</v>
      </c>
      <c r="C247">
        <v>2083</v>
      </c>
    </row>
    <row r="248" spans="1:3" x14ac:dyDescent="0.3">
      <c r="A248" s="18">
        <v>29.312242090784046</v>
      </c>
      <c r="B248">
        <v>2131</v>
      </c>
      <c r="C248">
        <v>2131</v>
      </c>
    </row>
    <row r="249" spans="1:3" x14ac:dyDescent="0.3">
      <c r="A249" s="18">
        <v>29.434762129062648</v>
      </c>
      <c r="B249">
        <v>2083</v>
      </c>
      <c r="C249">
        <v>2083</v>
      </c>
    </row>
    <row r="250" spans="1:3" x14ac:dyDescent="0.3">
      <c r="A250" s="18">
        <v>29.446749654218532</v>
      </c>
      <c r="B250">
        <v>2129</v>
      </c>
      <c r="C250">
        <v>2129</v>
      </c>
    </row>
    <row r="251" spans="1:3" x14ac:dyDescent="0.3">
      <c r="A251" s="17">
        <v>18</v>
      </c>
      <c r="B251">
        <v>91452</v>
      </c>
      <c r="C251">
        <v>91452</v>
      </c>
    </row>
    <row r="252" spans="1:3" x14ac:dyDescent="0.3">
      <c r="A252" s="18">
        <v>27.740963855421686</v>
      </c>
      <c r="B252">
        <v>6140</v>
      </c>
      <c r="C252">
        <v>6140</v>
      </c>
    </row>
    <row r="253" spans="1:3" x14ac:dyDescent="0.3">
      <c r="A253" s="18">
        <v>27.798038614771684</v>
      </c>
      <c r="B253">
        <v>6047</v>
      </c>
      <c r="C253">
        <v>6047</v>
      </c>
    </row>
    <row r="254" spans="1:3" x14ac:dyDescent="0.3">
      <c r="A254" s="18">
        <v>28.001239541369692</v>
      </c>
      <c r="B254">
        <v>6024</v>
      </c>
      <c r="C254">
        <v>6024</v>
      </c>
    </row>
    <row r="255" spans="1:3" x14ac:dyDescent="0.3">
      <c r="A255" s="18">
        <v>28.111689540937057</v>
      </c>
      <c r="B255">
        <v>9900</v>
      </c>
      <c r="C255">
        <v>9900</v>
      </c>
    </row>
    <row r="256" spans="1:3" x14ac:dyDescent="0.3">
      <c r="A256" s="18">
        <v>28.152598377891259</v>
      </c>
      <c r="B256">
        <v>6248</v>
      </c>
      <c r="C256">
        <v>6248</v>
      </c>
    </row>
    <row r="257" spans="1:3" x14ac:dyDescent="0.3">
      <c r="A257" s="18">
        <v>28.191110277569393</v>
      </c>
      <c r="B257">
        <v>10021</v>
      </c>
      <c r="C257">
        <v>10021</v>
      </c>
    </row>
    <row r="258" spans="1:3" x14ac:dyDescent="0.3">
      <c r="A258" s="18">
        <v>28.199187603430119</v>
      </c>
      <c r="B258">
        <v>6248</v>
      </c>
      <c r="C258">
        <v>6248</v>
      </c>
    </row>
    <row r="259" spans="1:3" x14ac:dyDescent="0.3">
      <c r="A259" s="18">
        <v>28.273440350237141</v>
      </c>
      <c r="B259">
        <v>10333</v>
      </c>
      <c r="C259">
        <v>10333</v>
      </c>
    </row>
    <row r="260" spans="1:3" x14ac:dyDescent="0.3">
      <c r="A260" s="18">
        <v>28.523521632344604</v>
      </c>
      <c r="B260">
        <v>10065</v>
      </c>
      <c r="C260">
        <v>10065</v>
      </c>
    </row>
    <row r="261" spans="1:3" x14ac:dyDescent="0.3">
      <c r="A261" s="18">
        <v>28.546809501630182</v>
      </c>
      <c r="B261">
        <v>10215</v>
      </c>
      <c r="C261">
        <v>10215</v>
      </c>
    </row>
    <row r="262" spans="1:3" x14ac:dyDescent="0.3">
      <c r="A262" s="18">
        <v>29.058880308880308</v>
      </c>
      <c r="B262">
        <v>2007</v>
      </c>
      <c r="C262">
        <v>2007</v>
      </c>
    </row>
    <row r="263" spans="1:3" x14ac:dyDescent="0.3">
      <c r="A263" s="18">
        <v>29.1864406779661</v>
      </c>
      <c r="B263">
        <v>2009</v>
      </c>
      <c r="C263">
        <v>2009</v>
      </c>
    </row>
    <row r="264" spans="1:3" x14ac:dyDescent="0.3">
      <c r="A264" s="18">
        <v>29.19831223628692</v>
      </c>
      <c r="B264">
        <v>2076</v>
      </c>
      <c r="C264">
        <v>2076</v>
      </c>
    </row>
    <row r="265" spans="1:3" x14ac:dyDescent="0.3">
      <c r="A265" s="18">
        <v>29.366906474820141</v>
      </c>
      <c r="B265">
        <v>2041</v>
      </c>
      <c r="C265">
        <v>2041</v>
      </c>
    </row>
    <row r="266" spans="1:3" x14ac:dyDescent="0.3">
      <c r="A266" s="18">
        <v>29.377945334590009</v>
      </c>
      <c r="B266">
        <v>2078</v>
      </c>
      <c r="C266">
        <v>2078</v>
      </c>
    </row>
    <row r="267" spans="1:3" x14ac:dyDescent="0.3">
      <c r="A267" s="17">
        <v>19</v>
      </c>
      <c r="B267">
        <v>90147</v>
      </c>
      <c r="C267">
        <v>90147</v>
      </c>
    </row>
    <row r="268" spans="1:3" x14ac:dyDescent="0.3">
      <c r="A268" s="18">
        <v>27.739923224568138</v>
      </c>
      <c r="B268">
        <v>9635</v>
      </c>
      <c r="C268">
        <v>9635</v>
      </c>
    </row>
    <row r="269" spans="1:3" x14ac:dyDescent="0.3">
      <c r="A269" s="18">
        <v>27.825491091822752</v>
      </c>
      <c r="B269">
        <v>6091</v>
      </c>
      <c r="C269">
        <v>6091</v>
      </c>
    </row>
    <row r="270" spans="1:3" x14ac:dyDescent="0.3">
      <c r="A270" s="18">
        <v>27.934629473091015</v>
      </c>
      <c r="B270">
        <v>9914</v>
      </c>
      <c r="C270">
        <v>9914</v>
      </c>
    </row>
    <row r="271" spans="1:3" x14ac:dyDescent="0.3">
      <c r="A271" s="18">
        <v>28.117079058539531</v>
      </c>
      <c r="B271">
        <v>6212</v>
      </c>
      <c r="C271">
        <v>6212</v>
      </c>
    </row>
    <row r="272" spans="1:3" x14ac:dyDescent="0.3">
      <c r="A272" s="18">
        <v>28.254322906547504</v>
      </c>
      <c r="B272">
        <v>9695</v>
      </c>
      <c r="C272">
        <v>9695</v>
      </c>
    </row>
    <row r="273" spans="1:3" x14ac:dyDescent="0.3">
      <c r="A273" s="18">
        <v>28.278500382555471</v>
      </c>
      <c r="B273">
        <v>6160</v>
      </c>
      <c r="C273">
        <v>6160</v>
      </c>
    </row>
    <row r="274" spans="1:3" x14ac:dyDescent="0.3">
      <c r="A274" s="18">
        <v>28.358479755538582</v>
      </c>
      <c r="B274">
        <v>9899</v>
      </c>
      <c r="C274">
        <v>9899</v>
      </c>
    </row>
    <row r="275" spans="1:3" x14ac:dyDescent="0.3">
      <c r="A275" s="18">
        <v>28.398392652123995</v>
      </c>
      <c r="B275">
        <v>9894</v>
      </c>
      <c r="C275">
        <v>9894</v>
      </c>
    </row>
    <row r="276" spans="1:3" x14ac:dyDescent="0.3">
      <c r="A276" s="18">
        <v>28.423180592991915</v>
      </c>
      <c r="B276">
        <v>6327</v>
      </c>
      <c r="C276">
        <v>6327</v>
      </c>
    </row>
    <row r="277" spans="1:3" x14ac:dyDescent="0.3">
      <c r="A277" s="18">
        <v>28.433242506811986</v>
      </c>
      <c r="B277">
        <v>6261</v>
      </c>
      <c r="C277">
        <v>6261</v>
      </c>
    </row>
    <row r="278" spans="1:3" x14ac:dyDescent="0.3">
      <c r="A278" s="18">
        <v>29.211678832116789</v>
      </c>
      <c r="B278">
        <v>2001</v>
      </c>
      <c r="C278">
        <v>2001</v>
      </c>
    </row>
    <row r="279" spans="1:3" x14ac:dyDescent="0.3">
      <c r="A279" s="18">
        <v>29.357664233576642</v>
      </c>
      <c r="B279">
        <v>2011</v>
      </c>
      <c r="C279">
        <v>2011</v>
      </c>
    </row>
    <row r="280" spans="1:3" x14ac:dyDescent="0.3">
      <c r="A280" s="18">
        <v>29.4287109375</v>
      </c>
      <c r="B280">
        <v>2009</v>
      </c>
      <c r="C280">
        <v>2009</v>
      </c>
    </row>
    <row r="281" spans="1:3" x14ac:dyDescent="0.3">
      <c r="A281" s="18">
        <v>29.546341463414635</v>
      </c>
      <c r="B281">
        <v>2019</v>
      </c>
      <c r="C281">
        <v>2019</v>
      </c>
    </row>
    <row r="282" spans="1:3" x14ac:dyDescent="0.3">
      <c r="A282" s="18">
        <v>29.618581907090466</v>
      </c>
      <c r="B282">
        <v>2019</v>
      </c>
      <c r="C282">
        <v>2019</v>
      </c>
    </row>
    <row r="283" spans="1:3" x14ac:dyDescent="0.3">
      <c r="A283" s="17">
        <v>20</v>
      </c>
      <c r="B283">
        <v>88128</v>
      </c>
      <c r="C283">
        <v>88128</v>
      </c>
    </row>
    <row r="284" spans="1:3" x14ac:dyDescent="0.3">
      <c r="A284" s="18">
        <v>27.722528554549037</v>
      </c>
      <c r="B284">
        <v>9385</v>
      </c>
      <c r="C284">
        <v>9385</v>
      </c>
    </row>
    <row r="285" spans="1:3" x14ac:dyDescent="0.3">
      <c r="A285" s="18">
        <v>27.745637478383902</v>
      </c>
      <c r="B285">
        <v>5883</v>
      </c>
      <c r="C285">
        <v>5883</v>
      </c>
    </row>
    <row r="286" spans="1:3" x14ac:dyDescent="0.3">
      <c r="A286" s="18">
        <v>27.87318563789152</v>
      </c>
      <c r="B286">
        <v>6081</v>
      </c>
      <c r="C286">
        <v>6081</v>
      </c>
    </row>
    <row r="287" spans="1:3" x14ac:dyDescent="0.3">
      <c r="A287" s="18">
        <v>28.00659617809681</v>
      </c>
      <c r="B287">
        <v>9624</v>
      </c>
      <c r="C287">
        <v>9624</v>
      </c>
    </row>
    <row r="288" spans="1:3" x14ac:dyDescent="0.3">
      <c r="A288" s="18">
        <v>28.069717444717444</v>
      </c>
      <c r="B288">
        <v>6093</v>
      </c>
      <c r="C288">
        <v>6093</v>
      </c>
    </row>
    <row r="289" spans="1:3" x14ac:dyDescent="0.3">
      <c r="A289" s="18">
        <v>28.0751953125</v>
      </c>
      <c r="B289">
        <v>9583</v>
      </c>
      <c r="C289">
        <v>9583</v>
      </c>
    </row>
    <row r="290" spans="1:3" x14ac:dyDescent="0.3">
      <c r="A290" s="18">
        <v>28.147632311977716</v>
      </c>
      <c r="B290">
        <v>6063</v>
      </c>
      <c r="C290">
        <v>6063</v>
      </c>
    </row>
    <row r="291" spans="1:3" x14ac:dyDescent="0.3">
      <c r="A291" s="18">
        <v>28.219667546993943</v>
      </c>
      <c r="B291">
        <v>6055</v>
      </c>
      <c r="C291">
        <v>6055</v>
      </c>
    </row>
    <row r="292" spans="1:3" x14ac:dyDescent="0.3">
      <c r="A292" s="18">
        <v>28.550034036759701</v>
      </c>
      <c r="B292">
        <v>9786</v>
      </c>
      <c r="C292">
        <v>9786</v>
      </c>
    </row>
    <row r="293" spans="1:3" x14ac:dyDescent="0.3">
      <c r="A293" s="18">
        <v>28.699901283316883</v>
      </c>
      <c r="B293">
        <v>9691</v>
      </c>
      <c r="C293">
        <v>9691</v>
      </c>
    </row>
    <row r="294" spans="1:3" x14ac:dyDescent="0.3">
      <c r="A294" s="18">
        <v>29.2563212692117</v>
      </c>
      <c r="B294">
        <v>1967</v>
      </c>
      <c r="C294">
        <v>1967</v>
      </c>
    </row>
    <row r="295" spans="1:3" x14ac:dyDescent="0.3">
      <c r="A295" s="18">
        <v>29.388059701492537</v>
      </c>
      <c r="B295">
        <v>1969</v>
      </c>
      <c r="C295">
        <v>1969</v>
      </c>
    </row>
    <row r="296" spans="1:3" x14ac:dyDescent="0.3">
      <c r="A296" s="18">
        <v>29.431988041853511</v>
      </c>
      <c r="B296">
        <v>1969</v>
      </c>
      <c r="C296">
        <v>1969</v>
      </c>
    </row>
    <row r="297" spans="1:3" x14ac:dyDescent="0.3">
      <c r="A297" s="18">
        <v>29.46268656716418</v>
      </c>
      <c r="B297">
        <v>1974</v>
      </c>
      <c r="C297">
        <v>1974</v>
      </c>
    </row>
    <row r="298" spans="1:3" x14ac:dyDescent="0.3">
      <c r="A298" s="18">
        <v>29.499754781755762</v>
      </c>
      <c r="B298">
        <v>2005</v>
      </c>
      <c r="C298">
        <v>2005</v>
      </c>
    </row>
    <row r="299" spans="1:3" x14ac:dyDescent="0.3">
      <c r="A299" s="17">
        <v>21</v>
      </c>
      <c r="B299">
        <v>75733</v>
      </c>
      <c r="C299">
        <v>75733</v>
      </c>
    </row>
    <row r="300" spans="1:3" x14ac:dyDescent="0.3">
      <c r="A300" s="18">
        <v>27.746088657105606</v>
      </c>
      <c r="B300">
        <v>5675</v>
      </c>
      <c r="C300">
        <v>5675</v>
      </c>
    </row>
    <row r="301" spans="1:3" x14ac:dyDescent="0.3">
      <c r="A301" s="18">
        <v>27.912613355317397</v>
      </c>
      <c r="B301">
        <v>5643</v>
      </c>
      <c r="C301">
        <v>5643</v>
      </c>
    </row>
    <row r="302" spans="1:3" x14ac:dyDescent="0.3">
      <c r="A302" s="18">
        <v>27.980062101650599</v>
      </c>
      <c r="B302">
        <v>5707</v>
      </c>
      <c r="C302">
        <v>5707</v>
      </c>
    </row>
    <row r="303" spans="1:3" x14ac:dyDescent="0.3">
      <c r="A303" s="18">
        <v>28.082257293161167</v>
      </c>
      <c r="B303">
        <v>5872</v>
      </c>
      <c r="C303">
        <v>5872</v>
      </c>
    </row>
    <row r="304" spans="1:3" x14ac:dyDescent="0.3">
      <c r="A304" s="18">
        <v>28.105518006657924</v>
      </c>
      <c r="B304">
        <v>9287</v>
      </c>
      <c r="C304">
        <v>9287</v>
      </c>
    </row>
    <row r="305" spans="1:3" x14ac:dyDescent="0.3">
      <c r="A305" s="18">
        <v>28.142989786443824</v>
      </c>
      <c r="B305">
        <v>9093</v>
      </c>
      <c r="C305">
        <v>9093</v>
      </c>
    </row>
    <row r="306" spans="1:3" x14ac:dyDescent="0.3">
      <c r="A306" s="18">
        <v>28.152815441059179</v>
      </c>
      <c r="B306">
        <v>5883</v>
      </c>
      <c r="C306">
        <v>5883</v>
      </c>
    </row>
    <row r="307" spans="1:3" x14ac:dyDescent="0.3">
      <c r="A307" s="18">
        <v>28.381415122988155</v>
      </c>
      <c r="B307">
        <v>9346</v>
      </c>
      <c r="C307">
        <v>9346</v>
      </c>
    </row>
    <row r="308" spans="1:3" x14ac:dyDescent="0.3">
      <c r="A308" s="18">
        <v>28.529024414952893</v>
      </c>
      <c r="B308">
        <v>9387</v>
      </c>
      <c r="C308">
        <v>9387</v>
      </c>
    </row>
    <row r="309" spans="1:3" x14ac:dyDescent="0.3">
      <c r="A309" s="18">
        <v>28.96091044037605</v>
      </c>
      <c r="B309">
        <v>1951</v>
      </c>
      <c r="C309">
        <v>1951</v>
      </c>
    </row>
    <row r="310" spans="1:3" x14ac:dyDescent="0.3">
      <c r="A310" s="18">
        <v>29.287481444829293</v>
      </c>
      <c r="B310">
        <v>1973</v>
      </c>
      <c r="C310">
        <v>1973</v>
      </c>
    </row>
    <row r="311" spans="1:3" x14ac:dyDescent="0.3">
      <c r="A311" s="18">
        <v>29.315136476426797</v>
      </c>
      <c r="B311">
        <v>1969</v>
      </c>
      <c r="C311">
        <v>1969</v>
      </c>
    </row>
    <row r="312" spans="1:3" x14ac:dyDescent="0.3">
      <c r="A312" s="18">
        <v>29.49127182044888</v>
      </c>
      <c r="B312">
        <v>1971</v>
      </c>
      <c r="C312">
        <v>1971</v>
      </c>
    </row>
    <row r="313" spans="1:3" x14ac:dyDescent="0.3">
      <c r="A313" s="18">
        <v>29.61038961038961</v>
      </c>
      <c r="B313">
        <v>1976</v>
      </c>
      <c r="C313">
        <v>1976</v>
      </c>
    </row>
    <row r="314" spans="1:3" x14ac:dyDescent="0.3">
      <c r="A314" s="17">
        <v>22</v>
      </c>
      <c r="B314">
        <v>56724</v>
      </c>
      <c r="C314">
        <v>56724</v>
      </c>
    </row>
    <row r="315" spans="1:3" x14ac:dyDescent="0.3">
      <c r="A315" s="18">
        <v>27.739557739557739</v>
      </c>
      <c r="B315">
        <v>5645</v>
      </c>
      <c r="C315">
        <v>5645</v>
      </c>
    </row>
    <row r="316" spans="1:3" x14ac:dyDescent="0.3">
      <c r="A316" s="18">
        <v>28.049251569290199</v>
      </c>
      <c r="B316">
        <v>5809</v>
      </c>
      <c r="C316">
        <v>5809</v>
      </c>
    </row>
    <row r="317" spans="1:3" x14ac:dyDescent="0.3">
      <c r="A317" s="18">
        <v>28.071920428462128</v>
      </c>
      <c r="B317">
        <v>8561</v>
      </c>
      <c r="C317">
        <v>8561</v>
      </c>
    </row>
    <row r="318" spans="1:3" x14ac:dyDescent="0.3">
      <c r="A318" s="18">
        <v>28.201568114995098</v>
      </c>
      <c r="B318">
        <v>5755</v>
      </c>
      <c r="C318">
        <v>5755</v>
      </c>
    </row>
    <row r="319" spans="1:3" x14ac:dyDescent="0.3">
      <c r="A319" s="18">
        <v>28.254019292604504</v>
      </c>
      <c r="B319">
        <v>5858</v>
      </c>
      <c r="C319">
        <v>5858</v>
      </c>
    </row>
    <row r="320" spans="1:3" x14ac:dyDescent="0.3">
      <c r="A320" s="18">
        <v>28.529641621078486</v>
      </c>
      <c r="B320">
        <v>8518</v>
      </c>
      <c r="C320">
        <v>8518</v>
      </c>
    </row>
    <row r="321" spans="1:3" x14ac:dyDescent="0.3">
      <c r="A321" s="18">
        <v>28.703888334995014</v>
      </c>
      <c r="B321">
        <v>8637</v>
      </c>
      <c r="C321">
        <v>8637</v>
      </c>
    </row>
    <row r="322" spans="1:3" x14ac:dyDescent="0.3">
      <c r="A322" s="18">
        <v>29.307805596465389</v>
      </c>
      <c r="B322">
        <v>1990</v>
      </c>
      <c r="C322">
        <v>1990</v>
      </c>
    </row>
    <row r="323" spans="1:3" x14ac:dyDescent="0.3">
      <c r="A323" s="18">
        <v>29.420505200594352</v>
      </c>
      <c r="B323">
        <v>1980</v>
      </c>
      <c r="C323">
        <v>1980</v>
      </c>
    </row>
    <row r="324" spans="1:3" x14ac:dyDescent="0.3">
      <c r="A324" s="18">
        <v>29.435922810489856</v>
      </c>
      <c r="B324">
        <v>1983</v>
      </c>
      <c r="C324">
        <v>1983</v>
      </c>
    </row>
    <row r="325" spans="1:3" x14ac:dyDescent="0.3">
      <c r="A325" s="18">
        <v>29.74563591022444</v>
      </c>
      <c r="B325">
        <v>1988</v>
      </c>
      <c r="C325">
        <v>1988</v>
      </c>
    </row>
    <row r="326" spans="1:3" x14ac:dyDescent="0.3">
      <c r="A326" s="17">
        <v>23</v>
      </c>
      <c r="B326">
        <v>79391</v>
      </c>
      <c r="C326">
        <v>79391</v>
      </c>
    </row>
    <row r="327" spans="1:3" x14ac:dyDescent="0.3">
      <c r="A327" s="18">
        <v>27.875138646807162</v>
      </c>
      <c r="B327">
        <v>5864</v>
      </c>
      <c r="C327">
        <v>5864</v>
      </c>
    </row>
    <row r="328" spans="1:3" x14ac:dyDescent="0.3">
      <c r="A328" s="18">
        <v>27.965292150931383</v>
      </c>
      <c r="B328">
        <v>5855</v>
      </c>
      <c r="C328">
        <v>5855</v>
      </c>
    </row>
    <row r="329" spans="1:3" x14ac:dyDescent="0.3">
      <c r="A329" s="18">
        <v>28.008896172304812</v>
      </c>
      <c r="B329">
        <v>7976</v>
      </c>
      <c r="C329">
        <v>7976</v>
      </c>
    </row>
    <row r="330" spans="1:3" x14ac:dyDescent="0.3">
      <c r="A330" s="18">
        <v>28.023836366564662</v>
      </c>
      <c r="B330">
        <v>5800</v>
      </c>
      <c r="C330">
        <v>5800</v>
      </c>
    </row>
    <row r="331" spans="1:3" x14ac:dyDescent="0.3">
      <c r="A331" s="18">
        <v>28.066564741855817</v>
      </c>
      <c r="B331">
        <v>7955</v>
      </c>
      <c r="C331">
        <v>7955</v>
      </c>
    </row>
    <row r="332" spans="1:3" x14ac:dyDescent="0.3">
      <c r="A332" s="18">
        <v>28.080456129236616</v>
      </c>
      <c r="B332">
        <v>5910</v>
      </c>
      <c r="C332">
        <v>5910</v>
      </c>
    </row>
    <row r="333" spans="1:3" x14ac:dyDescent="0.3">
      <c r="A333" s="18">
        <v>28.345335515548278</v>
      </c>
      <c r="B333">
        <v>5773</v>
      </c>
      <c r="C333">
        <v>5773</v>
      </c>
    </row>
    <row r="334" spans="1:3" x14ac:dyDescent="0.3">
      <c r="A334" s="18">
        <v>28.427419354838712</v>
      </c>
      <c r="B334">
        <v>7990</v>
      </c>
      <c r="C334">
        <v>7990</v>
      </c>
    </row>
    <row r="335" spans="1:3" x14ac:dyDescent="0.3">
      <c r="A335" s="18">
        <v>28.429534803977596</v>
      </c>
      <c r="B335">
        <v>8291</v>
      </c>
      <c r="C335">
        <v>8291</v>
      </c>
    </row>
    <row r="336" spans="1:3" x14ac:dyDescent="0.3">
      <c r="A336" s="18">
        <v>28.512396694214878</v>
      </c>
      <c r="B336">
        <v>7935</v>
      </c>
      <c r="C336">
        <v>7935</v>
      </c>
    </row>
    <row r="337" spans="1:3" x14ac:dyDescent="0.3">
      <c r="A337" s="18">
        <v>29.421364985163201</v>
      </c>
      <c r="B337">
        <v>1983</v>
      </c>
      <c r="C337">
        <v>1983</v>
      </c>
    </row>
    <row r="338" spans="1:3" x14ac:dyDescent="0.3">
      <c r="A338" s="18">
        <v>29.487554904831626</v>
      </c>
      <c r="B338">
        <v>2014</v>
      </c>
      <c r="C338">
        <v>2014</v>
      </c>
    </row>
    <row r="339" spans="1:3" x14ac:dyDescent="0.3">
      <c r="A339" s="18">
        <v>29.491032476975278</v>
      </c>
      <c r="B339">
        <v>2028</v>
      </c>
      <c r="C339">
        <v>2028</v>
      </c>
    </row>
    <row r="340" spans="1:3" x14ac:dyDescent="0.3">
      <c r="A340" s="18">
        <v>29.555335968379445</v>
      </c>
      <c r="B340">
        <v>1994</v>
      </c>
      <c r="C340">
        <v>1994</v>
      </c>
    </row>
    <row r="341" spans="1:3" x14ac:dyDescent="0.3">
      <c r="A341" s="18">
        <v>29.561617145640525</v>
      </c>
      <c r="B341">
        <v>2023</v>
      </c>
      <c r="C341">
        <v>2023</v>
      </c>
    </row>
    <row r="342" spans="1:3" x14ac:dyDescent="0.3">
      <c r="A342" s="17">
        <v>24</v>
      </c>
      <c r="B342">
        <v>61347</v>
      </c>
      <c r="C342">
        <v>61347</v>
      </c>
    </row>
    <row r="343" spans="1:3" x14ac:dyDescent="0.3">
      <c r="A343" s="18">
        <v>27.528592739930385</v>
      </c>
      <c r="B343">
        <v>5536</v>
      </c>
      <c r="C343">
        <v>5536</v>
      </c>
    </row>
    <row r="344" spans="1:3" x14ac:dyDescent="0.3">
      <c r="A344" s="18">
        <v>27.781121317706685</v>
      </c>
      <c r="B344">
        <v>5847</v>
      </c>
      <c r="C344">
        <v>5847</v>
      </c>
    </row>
    <row r="345" spans="1:3" x14ac:dyDescent="0.3">
      <c r="A345" s="18">
        <v>27.80322093608455</v>
      </c>
      <c r="B345">
        <v>7366</v>
      </c>
      <c r="C345">
        <v>7366</v>
      </c>
    </row>
    <row r="346" spans="1:3" x14ac:dyDescent="0.3">
      <c r="A346" s="18">
        <v>27.999678663239074</v>
      </c>
      <c r="B346">
        <v>5809</v>
      </c>
      <c r="C346">
        <v>5809</v>
      </c>
    </row>
    <row r="347" spans="1:3" x14ac:dyDescent="0.3">
      <c r="A347" s="18">
        <v>28.015200598056317</v>
      </c>
      <c r="B347">
        <v>7495</v>
      </c>
      <c r="C347">
        <v>7495</v>
      </c>
    </row>
    <row r="348" spans="1:3" x14ac:dyDescent="0.3">
      <c r="A348" s="18">
        <v>28.143970807762482</v>
      </c>
      <c r="B348">
        <v>5656</v>
      </c>
      <c r="C348">
        <v>5656</v>
      </c>
    </row>
    <row r="349" spans="1:3" x14ac:dyDescent="0.3">
      <c r="A349" s="18">
        <v>28.157503714710252</v>
      </c>
      <c r="B349">
        <v>7580</v>
      </c>
      <c r="C349">
        <v>7580</v>
      </c>
    </row>
    <row r="350" spans="1:3" x14ac:dyDescent="0.3">
      <c r="A350" s="18">
        <v>28.556986792760476</v>
      </c>
      <c r="B350">
        <v>5838</v>
      </c>
      <c r="C350">
        <v>5838</v>
      </c>
    </row>
    <row r="351" spans="1:3" x14ac:dyDescent="0.3">
      <c r="A351" s="18">
        <v>29.476236663433557</v>
      </c>
      <c r="B351">
        <v>2026</v>
      </c>
      <c r="C351">
        <v>2026</v>
      </c>
    </row>
    <row r="352" spans="1:3" x14ac:dyDescent="0.3">
      <c r="A352" s="18">
        <v>29.551807228915663</v>
      </c>
      <c r="B352">
        <v>2044</v>
      </c>
      <c r="C352">
        <v>2044</v>
      </c>
    </row>
    <row r="353" spans="1:3" x14ac:dyDescent="0.3">
      <c r="A353" s="18">
        <v>29.552454282964391</v>
      </c>
      <c r="B353">
        <v>2047</v>
      </c>
      <c r="C353">
        <v>2047</v>
      </c>
    </row>
    <row r="354" spans="1:3" x14ac:dyDescent="0.3">
      <c r="A354" s="18">
        <v>29.651669085631351</v>
      </c>
      <c r="B354">
        <v>2043</v>
      </c>
      <c r="C354">
        <v>2043</v>
      </c>
    </row>
    <row r="355" spans="1:3" x14ac:dyDescent="0.3">
      <c r="A355" s="18">
        <v>29.711538461538463</v>
      </c>
      <c r="B355">
        <v>2060</v>
      </c>
      <c r="C355">
        <v>2060</v>
      </c>
    </row>
    <row r="356" spans="1:3" x14ac:dyDescent="0.3">
      <c r="A356" s="17">
        <v>25</v>
      </c>
      <c r="B356">
        <v>51989</v>
      </c>
      <c r="C356">
        <v>51989</v>
      </c>
    </row>
    <row r="357" spans="1:3" x14ac:dyDescent="0.3">
      <c r="A357" s="18">
        <v>27.803006076111288</v>
      </c>
      <c r="B357">
        <v>5796</v>
      </c>
      <c r="C357">
        <v>5796</v>
      </c>
    </row>
    <row r="358" spans="1:3" x14ac:dyDescent="0.3">
      <c r="A358" s="18">
        <v>27.827068882077754</v>
      </c>
      <c r="B358">
        <v>5750</v>
      </c>
      <c r="C358">
        <v>5750</v>
      </c>
    </row>
    <row r="359" spans="1:3" x14ac:dyDescent="0.3">
      <c r="A359" s="18">
        <v>27.941176470588236</v>
      </c>
      <c r="B359">
        <v>5795</v>
      </c>
      <c r="C359">
        <v>5795</v>
      </c>
    </row>
    <row r="360" spans="1:3" x14ac:dyDescent="0.3">
      <c r="A360" s="18">
        <v>27.950250363430786</v>
      </c>
      <c r="B360">
        <v>5768</v>
      </c>
      <c r="C360">
        <v>5768</v>
      </c>
    </row>
    <row r="361" spans="1:3" x14ac:dyDescent="0.3">
      <c r="A361" s="18">
        <v>28.010050251256281</v>
      </c>
      <c r="B361">
        <v>7432</v>
      </c>
      <c r="C361">
        <v>7432</v>
      </c>
    </row>
    <row r="362" spans="1:3" x14ac:dyDescent="0.3">
      <c r="A362" s="18">
        <v>28.088426527958386</v>
      </c>
      <c r="B362">
        <v>5760</v>
      </c>
      <c r="C362">
        <v>5760</v>
      </c>
    </row>
    <row r="363" spans="1:3" x14ac:dyDescent="0.3">
      <c r="A363" s="18">
        <v>28.347001537672988</v>
      </c>
      <c r="B363">
        <v>7374</v>
      </c>
      <c r="C363">
        <v>7374</v>
      </c>
    </row>
    <row r="364" spans="1:3" x14ac:dyDescent="0.3">
      <c r="A364" s="18">
        <v>29.333017975402079</v>
      </c>
      <c r="B364">
        <v>2067</v>
      </c>
      <c r="C364">
        <v>2067</v>
      </c>
    </row>
    <row r="365" spans="1:3" x14ac:dyDescent="0.3">
      <c r="A365" s="18">
        <v>29.507504690431521</v>
      </c>
      <c r="B365">
        <v>2097</v>
      </c>
      <c r="C365">
        <v>2097</v>
      </c>
    </row>
    <row r="366" spans="1:3" x14ac:dyDescent="0.3">
      <c r="A366" s="18">
        <v>29.669698420296793</v>
      </c>
      <c r="B366">
        <v>2066</v>
      </c>
      <c r="C366">
        <v>2066</v>
      </c>
    </row>
    <row r="367" spans="1:3" x14ac:dyDescent="0.3">
      <c r="A367" s="18">
        <v>29.771428571428572</v>
      </c>
      <c r="B367">
        <v>2084</v>
      </c>
      <c r="C367">
        <v>2084</v>
      </c>
    </row>
    <row r="368" spans="1:3" x14ac:dyDescent="0.3">
      <c r="A368" s="17">
        <v>26</v>
      </c>
      <c r="B368">
        <v>75494</v>
      </c>
      <c r="C368">
        <v>75494</v>
      </c>
    </row>
    <row r="369" spans="1:3" x14ac:dyDescent="0.3">
      <c r="A369" s="18">
        <v>27.739448051948052</v>
      </c>
      <c r="B369">
        <v>6835</v>
      </c>
      <c r="C369">
        <v>6835</v>
      </c>
    </row>
    <row r="370" spans="1:3" x14ac:dyDescent="0.3">
      <c r="A370" s="18">
        <v>27.953795379537954</v>
      </c>
      <c r="B370">
        <v>6776</v>
      </c>
      <c r="C370">
        <v>6776</v>
      </c>
    </row>
    <row r="371" spans="1:3" x14ac:dyDescent="0.3">
      <c r="A371" s="18">
        <v>28.037253694581281</v>
      </c>
      <c r="B371">
        <v>6071</v>
      </c>
      <c r="C371">
        <v>6071</v>
      </c>
    </row>
    <row r="372" spans="1:3" x14ac:dyDescent="0.3">
      <c r="A372" s="18">
        <v>28.047213297946641</v>
      </c>
      <c r="B372">
        <v>6693</v>
      </c>
      <c r="C372">
        <v>6693</v>
      </c>
    </row>
    <row r="373" spans="1:3" x14ac:dyDescent="0.3">
      <c r="A373" s="18">
        <v>28.061680801850425</v>
      </c>
      <c r="B373">
        <v>6066</v>
      </c>
      <c r="C373">
        <v>6066</v>
      </c>
    </row>
    <row r="374" spans="1:3" x14ac:dyDescent="0.3">
      <c r="A374" s="18">
        <v>28.071561338289964</v>
      </c>
      <c r="B374">
        <v>6041</v>
      </c>
      <c r="C374">
        <v>6041</v>
      </c>
    </row>
    <row r="375" spans="1:3" x14ac:dyDescent="0.3">
      <c r="A375" s="18">
        <v>28.108145484718573</v>
      </c>
      <c r="B375">
        <v>6775</v>
      </c>
      <c r="C375">
        <v>6775</v>
      </c>
    </row>
    <row r="376" spans="1:3" x14ac:dyDescent="0.3">
      <c r="A376" s="18">
        <v>28.131999999999998</v>
      </c>
      <c r="B376">
        <v>7033</v>
      </c>
      <c r="C376">
        <v>7033</v>
      </c>
    </row>
    <row r="377" spans="1:3" x14ac:dyDescent="0.3">
      <c r="A377" s="18">
        <v>28.348794063079779</v>
      </c>
      <c r="B377">
        <v>6112</v>
      </c>
      <c r="C377">
        <v>6112</v>
      </c>
    </row>
    <row r="378" spans="1:3" x14ac:dyDescent="0.3">
      <c r="A378" s="18">
        <v>28.358274647887324</v>
      </c>
      <c r="B378">
        <v>6443</v>
      </c>
      <c r="C378">
        <v>6443</v>
      </c>
    </row>
    <row r="379" spans="1:3" x14ac:dyDescent="0.3">
      <c r="A379" s="18">
        <v>29.523141654978964</v>
      </c>
      <c r="B379">
        <v>2105</v>
      </c>
      <c r="C379">
        <v>2105</v>
      </c>
    </row>
    <row r="380" spans="1:3" x14ac:dyDescent="0.3">
      <c r="A380" s="18">
        <v>29.543568464730292</v>
      </c>
      <c r="B380">
        <v>2136</v>
      </c>
      <c r="C380">
        <v>2136</v>
      </c>
    </row>
    <row r="381" spans="1:3" x14ac:dyDescent="0.3">
      <c r="A381" s="18">
        <v>29.591549295774648</v>
      </c>
      <c r="B381">
        <v>2101</v>
      </c>
      <c r="C381">
        <v>2101</v>
      </c>
    </row>
    <row r="382" spans="1:3" x14ac:dyDescent="0.3">
      <c r="A382" s="18">
        <v>29.655805415328132</v>
      </c>
      <c r="B382">
        <v>2154</v>
      </c>
      <c r="C382">
        <v>2154</v>
      </c>
    </row>
    <row r="383" spans="1:3" x14ac:dyDescent="0.3">
      <c r="A383" s="18">
        <v>29.723884031293142</v>
      </c>
      <c r="B383">
        <v>2153</v>
      </c>
      <c r="C383">
        <v>2153</v>
      </c>
    </row>
    <row r="384" spans="1:3" x14ac:dyDescent="0.3">
      <c r="A384" s="17">
        <v>27</v>
      </c>
      <c r="B384">
        <v>60095</v>
      </c>
      <c r="C384">
        <v>60095</v>
      </c>
    </row>
    <row r="385" spans="1:3" x14ac:dyDescent="0.3">
      <c r="A385" s="18">
        <v>28.010540184453227</v>
      </c>
      <c r="B385">
        <v>6378</v>
      </c>
      <c r="C385">
        <v>6378</v>
      </c>
    </row>
    <row r="386" spans="1:3" x14ac:dyDescent="0.3">
      <c r="A386" s="18">
        <v>28.060460939838372</v>
      </c>
      <c r="B386">
        <v>6250</v>
      </c>
      <c r="C386">
        <v>6250</v>
      </c>
    </row>
    <row r="387" spans="1:3" x14ac:dyDescent="0.3">
      <c r="A387" s="18">
        <v>28.344429649356414</v>
      </c>
      <c r="B387">
        <v>6386</v>
      </c>
      <c r="C387">
        <v>6386</v>
      </c>
    </row>
    <row r="388" spans="1:3" x14ac:dyDescent="0.3">
      <c r="A388" s="18">
        <v>28.347057942805808</v>
      </c>
      <c r="B388">
        <v>6311</v>
      </c>
      <c r="C388">
        <v>6311</v>
      </c>
    </row>
    <row r="389" spans="1:3" x14ac:dyDescent="0.3">
      <c r="A389" s="18">
        <v>28.385964912280702</v>
      </c>
      <c r="B389">
        <v>6472</v>
      </c>
      <c r="C389">
        <v>6472</v>
      </c>
    </row>
    <row r="390" spans="1:3" x14ac:dyDescent="0.3">
      <c r="A390" s="18">
        <v>28.52776961504555</v>
      </c>
      <c r="B390">
        <v>6472</v>
      </c>
      <c r="C390">
        <v>6472</v>
      </c>
    </row>
    <row r="391" spans="1:3" x14ac:dyDescent="0.3">
      <c r="A391" s="18">
        <v>28.634367681498826</v>
      </c>
      <c r="B391">
        <v>6521</v>
      </c>
      <c r="C391">
        <v>6521</v>
      </c>
    </row>
    <row r="392" spans="1:3" x14ac:dyDescent="0.3">
      <c r="A392" s="18">
        <v>28.692194403534611</v>
      </c>
      <c r="B392">
        <v>6494</v>
      </c>
      <c r="C392">
        <v>6494</v>
      </c>
    </row>
    <row r="393" spans="1:3" x14ac:dyDescent="0.3">
      <c r="A393" s="18">
        <v>29.324204946996463</v>
      </c>
      <c r="B393">
        <v>2213</v>
      </c>
      <c r="C393">
        <v>2213</v>
      </c>
    </row>
    <row r="394" spans="1:3" x14ac:dyDescent="0.3">
      <c r="A394" s="18">
        <v>29.347542409743365</v>
      </c>
      <c r="B394">
        <v>2249</v>
      </c>
      <c r="C394">
        <v>2249</v>
      </c>
    </row>
    <row r="395" spans="1:3" x14ac:dyDescent="0.3">
      <c r="A395" s="18">
        <v>29.520547945205479</v>
      </c>
      <c r="B395">
        <v>2155</v>
      </c>
      <c r="C395">
        <v>2155</v>
      </c>
    </row>
    <row r="396" spans="1:3" x14ac:dyDescent="0.3">
      <c r="A396" s="18">
        <v>29.688768606224627</v>
      </c>
      <c r="B396">
        <v>2194</v>
      </c>
      <c r="C396">
        <v>2194</v>
      </c>
    </row>
    <row r="397" spans="1:3" x14ac:dyDescent="0.3">
      <c r="A397" s="17">
        <v>28</v>
      </c>
      <c r="B397">
        <v>75608</v>
      </c>
      <c r="C397">
        <v>75608</v>
      </c>
    </row>
    <row r="398" spans="1:3" x14ac:dyDescent="0.3">
      <c r="A398" s="18">
        <v>27.875844594594593</v>
      </c>
      <c r="B398">
        <v>6601</v>
      </c>
      <c r="C398">
        <v>6601</v>
      </c>
    </row>
    <row r="399" spans="1:3" x14ac:dyDescent="0.3">
      <c r="A399" s="18">
        <v>28.036270898271464</v>
      </c>
      <c r="B399">
        <v>6596</v>
      </c>
      <c r="C399">
        <v>6596</v>
      </c>
    </row>
    <row r="400" spans="1:3" x14ac:dyDescent="0.3">
      <c r="A400" s="18">
        <v>28.071550741163058</v>
      </c>
      <c r="B400">
        <v>6565</v>
      </c>
      <c r="C400">
        <v>6565</v>
      </c>
    </row>
    <row r="401" spans="1:3" x14ac:dyDescent="0.3">
      <c r="A401" s="18">
        <v>28.084763948497852</v>
      </c>
      <c r="B401">
        <v>6980</v>
      </c>
      <c r="C401">
        <v>6980</v>
      </c>
    </row>
    <row r="402" spans="1:3" x14ac:dyDescent="0.3">
      <c r="A402" s="18">
        <v>28.168564920273347</v>
      </c>
      <c r="B402">
        <v>6183</v>
      </c>
      <c r="C402">
        <v>6183</v>
      </c>
    </row>
    <row r="403" spans="1:3" x14ac:dyDescent="0.3">
      <c r="A403" s="18">
        <v>28.191755153029359</v>
      </c>
      <c r="B403">
        <v>6018</v>
      </c>
      <c r="C403">
        <v>6018</v>
      </c>
    </row>
    <row r="404" spans="1:3" x14ac:dyDescent="0.3">
      <c r="A404" s="18">
        <v>28.211610486891388</v>
      </c>
      <c r="B404">
        <v>6026</v>
      </c>
      <c r="C404">
        <v>6026</v>
      </c>
    </row>
    <row r="405" spans="1:3" x14ac:dyDescent="0.3">
      <c r="A405" s="18">
        <v>28.231041814316089</v>
      </c>
      <c r="B405">
        <v>6639</v>
      </c>
      <c r="C405">
        <v>6639</v>
      </c>
    </row>
    <row r="406" spans="1:3" x14ac:dyDescent="0.3">
      <c r="A406" s="18">
        <v>28.279956256834868</v>
      </c>
      <c r="B406">
        <v>6034</v>
      </c>
      <c r="C406">
        <v>6034</v>
      </c>
    </row>
    <row r="407" spans="1:3" x14ac:dyDescent="0.3">
      <c r="A407" s="18">
        <v>28.395889186773903</v>
      </c>
      <c r="B407">
        <v>6355</v>
      </c>
      <c r="C407">
        <v>6355</v>
      </c>
    </row>
    <row r="408" spans="1:3" x14ac:dyDescent="0.3">
      <c r="A408" s="18">
        <v>29.27287923109068</v>
      </c>
      <c r="B408">
        <v>2335</v>
      </c>
      <c r="C408">
        <v>2335</v>
      </c>
    </row>
    <row r="409" spans="1:3" x14ac:dyDescent="0.3">
      <c r="A409" s="18">
        <v>29.511777301927193</v>
      </c>
      <c r="B409">
        <v>2297</v>
      </c>
      <c r="C409">
        <v>2297</v>
      </c>
    </row>
    <row r="410" spans="1:3" x14ac:dyDescent="0.3">
      <c r="A410" s="18">
        <v>29.534883720930232</v>
      </c>
      <c r="B410">
        <v>2286</v>
      </c>
      <c r="C410">
        <v>2286</v>
      </c>
    </row>
    <row r="411" spans="1:3" x14ac:dyDescent="0.3">
      <c r="A411" s="18">
        <v>29.550935550935552</v>
      </c>
      <c r="B411">
        <v>2369</v>
      </c>
      <c r="C411">
        <v>2369</v>
      </c>
    </row>
    <row r="412" spans="1:3" x14ac:dyDescent="0.3">
      <c r="A412" s="18">
        <v>29.680715197956577</v>
      </c>
      <c r="B412">
        <v>2324</v>
      </c>
      <c r="C412">
        <v>2324</v>
      </c>
    </row>
    <row r="413" spans="1:3" x14ac:dyDescent="0.3">
      <c r="A413" s="17">
        <v>29</v>
      </c>
      <c r="B413">
        <v>69252</v>
      </c>
      <c r="C413">
        <v>69252</v>
      </c>
    </row>
    <row r="414" spans="1:3" x14ac:dyDescent="0.3">
      <c r="A414" s="18">
        <v>27.120232708468002</v>
      </c>
      <c r="B414">
        <v>5594</v>
      </c>
      <c r="C414">
        <v>5594</v>
      </c>
    </row>
    <row r="415" spans="1:3" x14ac:dyDescent="0.3">
      <c r="A415" s="18">
        <v>27.908750334492908</v>
      </c>
      <c r="B415">
        <v>6953</v>
      </c>
      <c r="C415">
        <v>6953</v>
      </c>
    </row>
    <row r="416" spans="1:3" x14ac:dyDescent="0.3">
      <c r="A416" s="18">
        <v>27.959944108057755</v>
      </c>
      <c r="B416">
        <v>6003</v>
      </c>
      <c r="C416">
        <v>6003</v>
      </c>
    </row>
    <row r="417" spans="1:3" x14ac:dyDescent="0.3">
      <c r="A417" s="18">
        <v>27.962047520331684</v>
      </c>
      <c r="B417">
        <v>5845</v>
      </c>
      <c r="C417">
        <v>5845</v>
      </c>
    </row>
    <row r="418" spans="1:3" x14ac:dyDescent="0.3">
      <c r="A418" s="18">
        <v>28.140495867768596</v>
      </c>
      <c r="B418">
        <v>7037</v>
      </c>
      <c r="C418">
        <v>7037</v>
      </c>
    </row>
    <row r="419" spans="1:3" x14ac:dyDescent="0.3">
      <c r="A419" s="18">
        <v>28.143927059589711</v>
      </c>
      <c r="B419">
        <v>5762</v>
      </c>
      <c r="C419">
        <v>5762</v>
      </c>
    </row>
    <row r="420" spans="1:3" x14ac:dyDescent="0.3">
      <c r="A420" s="18">
        <v>28.1945788964182</v>
      </c>
      <c r="B420">
        <v>5825</v>
      </c>
      <c r="C420">
        <v>5825</v>
      </c>
    </row>
    <row r="421" spans="1:3" x14ac:dyDescent="0.3">
      <c r="A421" s="18">
        <v>28.312674930027988</v>
      </c>
      <c r="B421">
        <v>7081</v>
      </c>
      <c r="C421">
        <v>7081</v>
      </c>
    </row>
    <row r="422" spans="1:3" x14ac:dyDescent="0.3">
      <c r="A422" s="18">
        <v>28.474507688157537</v>
      </c>
      <c r="B422">
        <v>7037</v>
      </c>
      <c r="C422">
        <v>7037</v>
      </c>
    </row>
    <row r="423" spans="1:3" x14ac:dyDescent="0.3">
      <c r="A423" s="18">
        <v>29.462540716612377</v>
      </c>
      <c r="B423">
        <v>2412</v>
      </c>
      <c r="C423">
        <v>2412</v>
      </c>
    </row>
    <row r="424" spans="1:3" x14ac:dyDescent="0.3">
      <c r="A424" s="18">
        <v>29.530671058048583</v>
      </c>
      <c r="B424">
        <v>2391</v>
      </c>
      <c r="C424">
        <v>2391</v>
      </c>
    </row>
    <row r="425" spans="1:3" x14ac:dyDescent="0.3">
      <c r="A425" s="18">
        <v>29.543209876543209</v>
      </c>
      <c r="B425">
        <v>2393</v>
      </c>
      <c r="C425">
        <v>2393</v>
      </c>
    </row>
    <row r="426" spans="1:3" x14ac:dyDescent="0.3">
      <c r="A426" s="18">
        <v>29.564867042707494</v>
      </c>
      <c r="B426">
        <v>2446</v>
      </c>
      <c r="C426">
        <v>2446</v>
      </c>
    </row>
    <row r="427" spans="1:3" x14ac:dyDescent="0.3">
      <c r="A427" s="18">
        <v>29.569549621363091</v>
      </c>
      <c r="B427">
        <v>2473</v>
      </c>
      <c r="C427">
        <v>2473</v>
      </c>
    </row>
    <row r="428" spans="1:3" x14ac:dyDescent="0.3">
      <c r="A428" s="17">
        <v>30</v>
      </c>
      <c r="B428">
        <v>70804</v>
      </c>
      <c r="C428">
        <v>70804</v>
      </c>
    </row>
    <row r="429" spans="1:3" x14ac:dyDescent="0.3">
      <c r="A429" s="18">
        <v>27.602991340855418</v>
      </c>
      <c r="B429">
        <v>7013</v>
      </c>
      <c r="C429">
        <v>7013</v>
      </c>
    </row>
    <row r="430" spans="1:3" x14ac:dyDescent="0.3">
      <c r="A430" s="18">
        <v>27.657899145585525</v>
      </c>
      <c r="B430">
        <v>5503</v>
      </c>
      <c r="C430">
        <v>5503</v>
      </c>
    </row>
    <row r="431" spans="1:3" x14ac:dyDescent="0.3">
      <c r="A431" s="18">
        <v>27.862681744749594</v>
      </c>
      <c r="B431">
        <v>5749</v>
      </c>
      <c r="C431">
        <v>5749</v>
      </c>
    </row>
    <row r="432" spans="1:3" x14ac:dyDescent="0.3">
      <c r="A432" s="18">
        <v>27.86278381046397</v>
      </c>
      <c r="B432">
        <v>5645</v>
      </c>
      <c r="C432">
        <v>5645</v>
      </c>
    </row>
    <row r="433" spans="1:3" x14ac:dyDescent="0.3">
      <c r="A433" s="18">
        <v>27.899842684845304</v>
      </c>
      <c r="B433">
        <v>7094</v>
      </c>
      <c r="C433">
        <v>7094</v>
      </c>
    </row>
    <row r="434" spans="1:3" x14ac:dyDescent="0.3">
      <c r="A434" s="18">
        <v>27.992004126902245</v>
      </c>
      <c r="B434">
        <v>7235</v>
      </c>
      <c r="C434">
        <v>7235</v>
      </c>
    </row>
    <row r="435" spans="1:3" x14ac:dyDescent="0.3">
      <c r="A435" s="18">
        <v>27.992667277726856</v>
      </c>
      <c r="B435">
        <v>7126</v>
      </c>
      <c r="C435">
        <v>7126</v>
      </c>
    </row>
    <row r="436" spans="1:3" x14ac:dyDescent="0.3">
      <c r="A436" s="18">
        <v>28.116697056525137</v>
      </c>
      <c r="B436">
        <v>7196</v>
      </c>
      <c r="C436">
        <v>7196</v>
      </c>
    </row>
    <row r="437" spans="1:3" x14ac:dyDescent="0.3">
      <c r="A437" s="18">
        <v>28.30827067669173</v>
      </c>
      <c r="B437">
        <v>5773</v>
      </c>
      <c r="C437">
        <v>5773</v>
      </c>
    </row>
    <row r="438" spans="1:3" x14ac:dyDescent="0.3">
      <c r="A438" s="18">
        <v>29.527372981488778</v>
      </c>
      <c r="B438">
        <v>2499</v>
      </c>
      <c r="C438">
        <v>2499</v>
      </c>
    </row>
    <row r="439" spans="1:3" x14ac:dyDescent="0.3">
      <c r="A439" s="18">
        <v>29.552414605418139</v>
      </c>
      <c r="B439">
        <v>2509</v>
      </c>
      <c r="C439">
        <v>2509</v>
      </c>
    </row>
    <row r="440" spans="1:3" x14ac:dyDescent="0.3">
      <c r="A440" s="18">
        <v>29.55952380952381</v>
      </c>
      <c r="B440">
        <v>2483</v>
      </c>
      <c r="C440">
        <v>2483</v>
      </c>
    </row>
    <row r="441" spans="1:3" x14ac:dyDescent="0.3">
      <c r="A441" s="18">
        <v>29.617529880478088</v>
      </c>
      <c r="B441">
        <v>2478</v>
      </c>
      <c r="C441">
        <v>2478</v>
      </c>
    </row>
    <row r="442" spans="1:3" x14ac:dyDescent="0.3">
      <c r="A442" s="18">
        <v>29.761999206664022</v>
      </c>
      <c r="B442">
        <v>2501</v>
      </c>
      <c r="C442">
        <v>2501</v>
      </c>
    </row>
    <row r="443" spans="1:3" x14ac:dyDescent="0.3">
      <c r="A443" s="17">
        <v>31</v>
      </c>
      <c r="B443">
        <v>77697</v>
      </c>
      <c r="C443">
        <v>77697</v>
      </c>
    </row>
    <row r="444" spans="1:3" x14ac:dyDescent="0.3">
      <c r="A444" s="18">
        <v>27.670542635658915</v>
      </c>
      <c r="B444">
        <v>7139</v>
      </c>
      <c r="C444">
        <v>7139</v>
      </c>
    </row>
    <row r="445" spans="1:3" x14ac:dyDescent="0.3">
      <c r="A445" s="18">
        <v>27.886946535664158</v>
      </c>
      <c r="B445">
        <v>7285</v>
      </c>
      <c r="C445">
        <v>7285</v>
      </c>
    </row>
    <row r="446" spans="1:3" x14ac:dyDescent="0.3">
      <c r="A446" s="18">
        <v>27.892705519104595</v>
      </c>
      <c r="B446">
        <v>7227</v>
      </c>
      <c r="C446">
        <v>7227</v>
      </c>
    </row>
    <row r="447" spans="1:3" x14ac:dyDescent="0.3">
      <c r="A447" s="18">
        <v>28.05736137667304</v>
      </c>
      <c r="B447">
        <v>7337</v>
      </c>
      <c r="C447">
        <v>7337</v>
      </c>
    </row>
    <row r="448" spans="1:3" x14ac:dyDescent="0.3">
      <c r="A448" s="18">
        <v>28.16483235218838</v>
      </c>
      <c r="B448">
        <v>7336</v>
      </c>
      <c r="C448">
        <v>7336</v>
      </c>
    </row>
    <row r="449" spans="1:3" x14ac:dyDescent="0.3">
      <c r="A449" s="18">
        <v>28.297071814166532</v>
      </c>
      <c r="B449">
        <v>5766</v>
      </c>
      <c r="C449">
        <v>5766</v>
      </c>
    </row>
    <row r="450" spans="1:3" x14ac:dyDescent="0.3">
      <c r="A450" s="18">
        <v>28.714703018500487</v>
      </c>
      <c r="B450">
        <v>5898</v>
      </c>
      <c r="C450">
        <v>5898</v>
      </c>
    </row>
    <row r="451" spans="1:3" x14ac:dyDescent="0.3">
      <c r="A451" s="18">
        <v>28.971428571428572</v>
      </c>
      <c r="B451">
        <v>5915</v>
      </c>
      <c r="C451">
        <v>5915</v>
      </c>
    </row>
    <row r="452" spans="1:3" x14ac:dyDescent="0.3">
      <c r="A452" s="18">
        <v>28.98952879581152</v>
      </c>
      <c r="B452">
        <v>5537</v>
      </c>
      <c r="C452">
        <v>5537</v>
      </c>
    </row>
    <row r="453" spans="1:3" x14ac:dyDescent="0.3">
      <c r="A453" s="18">
        <v>29.058250797381234</v>
      </c>
      <c r="B453">
        <v>5770</v>
      </c>
      <c r="C453">
        <v>5770</v>
      </c>
    </row>
    <row r="454" spans="1:3" x14ac:dyDescent="0.3">
      <c r="A454" s="18">
        <v>29.442467378410438</v>
      </c>
      <c r="B454">
        <v>2482</v>
      </c>
      <c r="C454">
        <v>2482</v>
      </c>
    </row>
    <row r="455" spans="1:3" x14ac:dyDescent="0.3">
      <c r="A455" s="18">
        <v>29.551534225019672</v>
      </c>
      <c r="B455">
        <v>2504</v>
      </c>
      <c r="C455">
        <v>2504</v>
      </c>
    </row>
    <row r="456" spans="1:3" x14ac:dyDescent="0.3">
      <c r="A456" s="18">
        <v>29.620853080568722</v>
      </c>
      <c r="B456">
        <v>2500</v>
      </c>
      <c r="C456">
        <v>2500</v>
      </c>
    </row>
    <row r="457" spans="1:3" x14ac:dyDescent="0.3">
      <c r="A457" s="18">
        <v>29.645250295624752</v>
      </c>
      <c r="B457">
        <v>2507</v>
      </c>
      <c r="C457">
        <v>2507</v>
      </c>
    </row>
    <row r="458" spans="1:3" x14ac:dyDescent="0.3">
      <c r="A458" s="18">
        <v>29.655172413793103</v>
      </c>
      <c r="B458">
        <v>2494</v>
      </c>
      <c r="C458">
        <v>2494</v>
      </c>
    </row>
    <row r="459" spans="1:3" x14ac:dyDescent="0.3">
      <c r="A459" s="17">
        <v>32</v>
      </c>
      <c r="B459">
        <v>79861</v>
      </c>
      <c r="C459">
        <v>79861</v>
      </c>
    </row>
    <row r="460" spans="1:3" x14ac:dyDescent="0.3">
      <c r="A460" s="18">
        <v>27.577450482478415</v>
      </c>
      <c r="B460">
        <v>7240</v>
      </c>
      <c r="C460">
        <v>7240</v>
      </c>
    </row>
    <row r="461" spans="1:3" x14ac:dyDescent="0.3">
      <c r="A461" s="18">
        <v>27.882843075369269</v>
      </c>
      <c r="B461">
        <v>7362</v>
      </c>
      <c r="C461">
        <v>7362</v>
      </c>
    </row>
    <row r="462" spans="1:3" x14ac:dyDescent="0.3">
      <c r="A462" s="18">
        <v>27.902566009669023</v>
      </c>
      <c r="B462">
        <v>7503</v>
      </c>
      <c r="C462">
        <v>7503</v>
      </c>
    </row>
    <row r="463" spans="1:3" x14ac:dyDescent="0.3">
      <c r="A463" s="18">
        <v>27.962962962962965</v>
      </c>
      <c r="B463">
        <v>6191</v>
      </c>
      <c r="C463">
        <v>6191</v>
      </c>
    </row>
    <row r="464" spans="1:3" x14ac:dyDescent="0.3">
      <c r="A464" s="18">
        <v>27.972872075659534</v>
      </c>
      <c r="B464">
        <v>7493</v>
      </c>
      <c r="C464">
        <v>7493</v>
      </c>
    </row>
    <row r="465" spans="1:3" x14ac:dyDescent="0.3">
      <c r="A465" s="18">
        <v>28.100340964442278</v>
      </c>
      <c r="B465">
        <v>5769</v>
      </c>
      <c r="C465">
        <v>5769</v>
      </c>
    </row>
    <row r="466" spans="1:3" x14ac:dyDescent="0.3">
      <c r="A466" s="18">
        <v>28.209183673469386</v>
      </c>
      <c r="B466">
        <v>7372</v>
      </c>
      <c r="C466">
        <v>7372</v>
      </c>
    </row>
    <row r="467" spans="1:3" x14ac:dyDescent="0.3">
      <c r="A467" s="18">
        <v>28.329571106094811</v>
      </c>
      <c r="B467">
        <v>6275</v>
      </c>
      <c r="C467">
        <v>6275</v>
      </c>
    </row>
    <row r="468" spans="1:3" x14ac:dyDescent="0.3">
      <c r="A468" s="18">
        <v>28.558397133083563</v>
      </c>
      <c r="B468">
        <v>5844</v>
      </c>
      <c r="C468">
        <v>5844</v>
      </c>
    </row>
    <row r="469" spans="1:3" x14ac:dyDescent="0.3">
      <c r="A469" s="18">
        <v>28.593184559710497</v>
      </c>
      <c r="B469">
        <v>6321</v>
      </c>
      <c r="C469">
        <v>6321</v>
      </c>
    </row>
    <row r="470" spans="1:3" x14ac:dyDescent="0.3">
      <c r="A470" s="18">
        <v>29.373522458628841</v>
      </c>
      <c r="B470">
        <v>2485</v>
      </c>
      <c r="C470">
        <v>2485</v>
      </c>
    </row>
    <row r="471" spans="1:3" x14ac:dyDescent="0.3">
      <c r="A471" s="18">
        <v>29.422169811320757</v>
      </c>
      <c r="B471">
        <v>2495</v>
      </c>
      <c r="C471">
        <v>2495</v>
      </c>
    </row>
    <row r="472" spans="1:3" x14ac:dyDescent="0.3">
      <c r="A472" s="18">
        <v>29.576802507836991</v>
      </c>
      <c r="B472">
        <v>2516</v>
      </c>
      <c r="C472">
        <v>2516</v>
      </c>
    </row>
    <row r="473" spans="1:3" x14ac:dyDescent="0.3">
      <c r="A473" s="18">
        <v>29.584651898734176</v>
      </c>
      <c r="B473">
        <v>2493</v>
      </c>
      <c r="C473">
        <v>2493</v>
      </c>
    </row>
    <row r="474" spans="1:3" x14ac:dyDescent="0.3">
      <c r="A474" s="18">
        <v>29.586125344895546</v>
      </c>
      <c r="B474">
        <v>2502</v>
      </c>
      <c r="C474">
        <v>2502</v>
      </c>
    </row>
    <row r="475" spans="1:3" x14ac:dyDescent="0.3">
      <c r="A475" s="17">
        <v>33</v>
      </c>
      <c r="B475">
        <v>74395</v>
      </c>
      <c r="C475">
        <v>74395</v>
      </c>
    </row>
    <row r="476" spans="1:3" x14ac:dyDescent="0.3">
      <c r="A476" s="18">
        <v>27.725386646548472</v>
      </c>
      <c r="B476">
        <v>7350</v>
      </c>
      <c r="C476">
        <v>7350</v>
      </c>
    </row>
    <row r="477" spans="1:3" x14ac:dyDescent="0.3">
      <c r="A477" s="18">
        <v>27.756305684527543</v>
      </c>
      <c r="B477">
        <v>7373</v>
      </c>
      <c r="C477">
        <v>7373</v>
      </c>
    </row>
    <row r="478" spans="1:3" x14ac:dyDescent="0.3">
      <c r="A478" s="18">
        <v>28.011415228953169</v>
      </c>
      <c r="B478">
        <v>7198</v>
      </c>
      <c r="C478">
        <v>7198</v>
      </c>
    </row>
    <row r="479" spans="1:3" x14ac:dyDescent="0.3">
      <c r="A479" s="18">
        <v>28.072366726757661</v>
      </c>
      <c r="B479">
        <v>14534</v>
      </c>
      <c r="C479">
        <v>14534</v>
      </c>
    </row>
    <row r="480" spans="1:3" x14ac:dyDescent="0.3">
      <c r="A480" s="18">
        <v>28.22018624211475</v>
      </c>
      <c r="B480">
        <v>6263</v>
      </c>
      <c r="C480">
        <v>6263</v>
      </c>
    </row>
    <row r="481" spans="1:3" x14ac:dyDescent="0.3">
      <c r="A481" s="18">
        <v>28.437323546019197</v>
      </c>
      <c r="B481">
        <v>6715</v>
      </c>
      <c r="C481">
        <v>6715</v>
      </c>
    </row>
    <row r="482" spans="1:3" x14ac:dyDescent="0.3">
      <c r="A482" s="18">
        <v>28.660633484162897</v>
      </c>
      <c r="B482">
        <v>6334</v>
      </c>
      <c r="C482">
        <v>6334</v>
      </c>
    </row>
    <row r="483" spans="1:3" x14ac:dyDescent="0.3">
      <c r="A483" s="18">
        <v>28.780316837235386</v>
      </c>
      <c r="B483">
        <v>6843</v>
      </c>
      <c r="C483">
        <v>6843</v>
      </c>
    </row>
    <row r="484" spans="1:3" x14ac:dyDescent="0.3">
      <c r="A484" s="18">
        <v>28.9437508767008</v>
      </c>
      <c r="B484">
        <v>6878</v>
      </c>
      <c r="C484">
        <v>6878</v>
      </c>
    </row>
    <row r="485" spans="1:3" x14ac:dyDescent="0.3">
      <c r="A485" s="18">
        <v>29.051008303677342</v>
      </c>
      <c r="B485">
        <v>2449</v>
      </c>
      <c r="C485">
        <v>2449</v>
      </c>
    </row>
    <row r="486" spans="1:3" x14ac:dyDescent="0.3">
      <c r="A486" s="18">
        <v>29.390195296931047</v>
      </c>
      <c r="B486">
        <v>2458</v>
      </c>
      <c r="C486">
        <v>2458</v>
      </c>
    </row>
    <row r="487" spans="1:3" x14ac:dyDescent="0.3">
      <c r="A487" s="17">
        <v>34</v>
      </c>
      <c r="B487">
        <v>84641</v>
      </c>
      <c r="C487">
        <v>84641</v>
      </c>
    </row>
    <row r="488" spans="1:3" x14ac:dyDescent="0.3">
      <c r="A488" s="18">
        <v>27.674813749836623</v>
      </c>
      <c r="B488">
        <v>7058</v>
      </c>
      <c r="C488">
        <v>7058</v>
      </c>
    </row>
    <row r="489" spans="1:3" x14ac:dyDescent="0.3">
      <c r="A489" s="18">
        <v>27.821631878557874</v>
      </c>
      <c r="B489">
        <v>7331</v>
      </c>
      <c r="C489">
        <v>7331</v>
      </c>
    </row>
    <row r="490" spans="1:3" x14ac:dyDescent="0.3">
      <c r="A490" s="18">
        <v>27.863990796369677</v>
      </c>
      <c r="B490">
        <v>7266</v>
      </c>
      <c r="C490">
        <v>7266</v>
      </c>
    </row>
    <row r="491" spans="1:3" x14ac:dyDescent="0.3">
      <c r="A491" s="18">
        <v>28.092105263157894</v>
      </c>
      <c r="B491">
        <v>7259</v>
      </c>
      <c r="C491">
        <v>7259</v>
      </c>
    </row>
    <row r="492" spans="1:3" x14ac:dyDescent="0.3">
      <c r="A492" s="18">
        <v>28.106050662816642</v>
      </c>
      <c r="B492">
        <v>7138</v>
      </c>
      <c r="C492">
        <v>7138</v>
      </c>
    </row>
    <row r="493" spans="1:3" x14ac:dyDescent="0.3">
      <c r="A493" s="18">
        <v>28.192771084337352</v>
      </c>
      <c r="B493">
        <v>7176</v>
      </c>
      <c r="C493">
        <v>7176</v>
      </c>
    </row>
    <row r="494" spans="1:3" x14ac:dyDescent="0.3">
      <c r="A494" s="18">
        <v>28.515742128935532</v>
      </c>
      <c r="B494">
        <v>7608</v>
      </c>
      <c r="C494">
        <v>7608</v>
      </c>
    </row>
    <row r="495" spans="1:3" x14ac:dyDescent="0.3">
      <c r="A495" s="18">
        <v>28.665638256845352</v>
      </c>
      <c r="B495">
        <v>7433</v>
      </c>
      <c r="C495">
        <v>7433</v>
      </c>
    </row>
    <row r="496" spans="1:3" x14ac:dyDescent="0.3">
      <c r="A496" s="18">
        <v>28.808250572956457</v>
      </c>
      <c r="B496">
        <v>7542</v>
      </c>
      <c r="C496">
        <v>7542</v>
      </c>
    </row>
    <row r="497" spans="1:3" x14ac:dyDescent="0.3">
      <c r="A497" s="18">
        <v>28.864795918367349</v>
      </c>
      <c r="B497">
        <v>6789</v>
      </c>
      <c r="C497">
        <v>6789</v>
      </c>
    </row>
    <row r="498" spans="1:3" x14ac:dyDescent="0.3">
      <c r="A498" s="18">
        <v>29.446947972142567</v>
      </c>
      <c r="B498">
        <v>2396</v>
      </c>
      <c r="C498">
        <v>2396</v>
      </c>
    </row>
    <row r="499" spans="1:3" x14ac:dyDescent="0.3">
      <c r="A499" s="18">
        <v>29.492574257425741</v>
      </c>
      <c r="B499">
        <v>2383</v>
      </c>
      <c r="C499">
        <v>2383</v>
      </c>
    </row>
    <row r="500" spans="1:3" x14ac:dyDescent="0.3">
      <c r="A500" s="18">
        <v>29.50474618241849</v>
      </c>
      <c r="B500">
        <v>2383</v>
      </c>
      <c r="C500">
        <v>2383</v>
      </c>
    </row>
    <row r="501" spans="1:3" x14ac:dyDescent="0.3">
      <c r="A501" s="18">
        <v>29.549695740365113</v>
      </c>
      <c r="B501">
        <v>2428</v>
      </c>
      <c r="C501">
        <v>2428</v>
      </c>
    </row>
    <row r="502" spans="1:3" x14ac:dyDescent="0.3">
      <c r="A502" s="18">
        <v>29.60144927536232</v>
      </c>
      <c r="B502">
        <v>2451</v>
      </c>
      <c r="C502">
        <v>2451</v>
      </c>
    </row>
    <row r="503" spans="1:3" x14ac:dyDescent="0.3">
      <c r="A503" s="17">
        <v>35</v>
      </c>
      <c r="B503">
        <v>74253</v>
      </c>
      <c r="C503">
        <v>74253</v>
      </c>
    </row>
    <row r="504" spans="1:3" x14ac:dyDescent="0.3">
      <c r="A504" s="18">
        <v>27.721280602636533</v>
      </c>
      <c r="B504">
        <v>7360</v>
      </c>
      <c r="C504">
        <v>7360</v>
      </c>
    </row>
    <row r="505" spans="1:3" x14ac:dyDescent="0.3">
      <c r="A505" s="18">
        <v>27.904495808991616</v>
      </c>
      <c r="B505">
        <v>7324</v>
      </c>
      <c r="C505">
        <v>7324</v>
      </c>
    </row>
    <row r="506" spans="1:3" x14ac:dyDescent="0.3">
      <c r="A506" s="18">
        <v>28.053177106804867</v>
      </c>
      <c r="B506">
        <v>8300</v>
      </c>
      <c r="C506">
        <v>8300</v>
      </c>
    </row>
    <row r="507" spans="1:3" x14ac:dyDescent="0.3">
      <c r="A507" s="18">
        <v>28.067681895093063</v>
      </c>
      <c r="B507">
        <v>8294</v>
      </c>
      <c r="C507">
        <v>8294</v>
      </c>
    </row>
    <row r="508" spans="1:3" x14ac:dyDescent="0.3">
      <c r="A508" s="18">
        <v>28.075287643821909</v>
      </c>
      <c r="B508">
        <v>7483</v>
      </c>
      <c r="C508">
        <v>7483</v>
      </c>
    </row>
    <row r="509" spans="1:3" x14ac:dyDescent="0.3">
      <c r="A509" s="18">
        <v>28.130268199233718</v>
      </c>
      <c r="B509">
        <v>7342</v>
      </c>
      <c r="C509">
        <v>7342</v>
      </c>
    </row>
    <row r="510" spans="1:3" x14ac:dyDescent="0.3">
      <c r="A510" s="18">
        <v>28.349232201023732</v>
      </c>
      <c r="B510">
        <v>8123</v>
      </c>
      <c r="C510">
        <v>8123</v>
      </c>
    </row>
    <row r="511" spans="1:3" x14ac:dyDescent="0.3">
      <c r="A511" s="18">
        <v>28.388500744473713</v>
      </c>
      <c r="B511">
        <v>8262</v>
      </c>
      <c r="C511">
        <v>8262</v>
      </c>
    </row>
    <row r="512" spans="1:3" x14ac:dyDescent="0.3">
      <c r="A512" s="18">
        <v>29.38026981450253</v>
      </c>
      <c r="B512">
        <v>2323</v>
      </c>
      <c r="C512">
        <v>2323</v>
      </c>
    </row>
    <row r="513" spans="1:3" x14ac:dyDescent="0.3">
      <c r="A513" s="18">
        <v>29.492600422832982</v>
      </c>
      <c r="B513">
        <v>2325</v>
      </c>
      <c r="C513">
        <v>2325</v>
      </c>
    </row>
    <row r="514" spans="1:3" x14ac:dyDescent="0.3">
      <c r="A514" s="18">
        <v>29.505154639175256</v>
      </c>
      <c r="B514">
        <v>2385</v>
      </c>
      <c r="C514">
        <v>2385</v>
      </c>
    </row>
    <row r="515" spans="1:3" x14ac:dyDescent="0.3">
      <c r="A515" s="18">
        <v>29.559748427672954</v>
      </c>
      <c r="B515">
        <v>2350</v>
      </c>
      <c r="C515">
        <v>2350</v>
      </c>
    </row>
    <row r="516" spans="1:3" x14ac:dyDescent="0.3">
      <c r="A516" s="18">
        <v>29.713097713097714</v>
      </c>
      <c r="B516">
        <v>2382</v>
      </c>
      <c r="C516">
        <v>2382</v>
      </c>
    </row>
    <row r="517" spans="1:3" x14ac:dyDescent="0.3">
      <c r="A517" s="17">
        <v>36</v>
      </c>
      <c r="B517">
        <v>71730</v>
      </c>
      <c r="C517">
        <v>71730</v>
      </c>
    </row>
    <row r="518" spans="1:3" x14ac:dyDescent="0.3">
      <c r="A518" s="18">
        <v>27.344782034346103</v>
      </c>
      <c r="B518">
        <v>8280</v>
      </c>
      <c r="C518">
        <v>8280</v>
      </c>
    </row>
    <row r="519" spans="1:3" x14ac:dyDescent="0.3">
      <c r="A519" s="18">
        <v>27.828327259017218</v>
      </c>
      <c r="B519">
        <v>7381</v>
      </c>
      <c r="C519">
        <v>7381</v>
      </c>
    </row>
    <row r="520" spans="1:3" x14ac:dyDescent="0.3">
      <c r="A520" s="18">
        <v>27.890534449452673</v>
      </c>
      <c r="B520">
        <v>7219</v>
      </c>
      <c r="C520">
        <v>7219</v>
      </c>
    </row>
    <row r="521" spans="1:3" x14ac:dyDescent="0.3">
      <c r="A521" s="18">
        <v>27.979630808402291</v>
      </c>
      <c r="B521">
        <v>7326</v>
      </c>
      <c r="C521">
        <v>7326</v>
      </c>
    </row>
    <row r="522" spans="1:3" x14ac:dyDescent="0.3">
      <c r="A522" s="18">
        <v>28.029221503457507</v>
      </c>
      <c r="B522">
        <v>8377</v>
      </c>
      <c r="C522">
        <v>8377</v>
      </c>
    </row>
    <row r="523" spans="1:3" x14ac:dyDescent="0.3">
      <c r="A523" s="18">
        <v>28.112658227848101</v>
      </c>
      <c r="B523">
        <v>7403</v>
      </c>
      <c r="C523">
        <v>7403</v>
      </c>
    </row>
    <row r="524" spans="1:3" x14ac:dyDescent="0.3">
      <c r="A524" s="18">
        <v>28.115746971736204</v>
      </c>
      <c r="B524">
        <v>8356</v>
      </c>
      <c r="C524">
        <v>8356</v>
      </c>
    </row>
    <row r="525" spans="1:3" x14ac:dyDescent="0.3">
      <c r="A525" s="18">
        <v>28.127586206896552</v>
      </c>
      <c r="B525">
        <v>8157</v>
      </c>
      <c r="C525">
        <v>8157</v>
      </c>
    </row>
    <row r="526" spans="1:3" x14ac:dyDescent="0.3">
      <c r="A526" s="18">
        <v>29.229473684210529</v>
      </c>
      <c r="B526">
        <v>2314</v>
      </c>
      <c r="C526">
        <v>2314</v>
      </c>
    </row>
    <row r="527" spans="1:3" x14ac:dyDescent="0.3">
      <c r="A527" s="18">
        <v>29.38408896492729</v>
      </c>
      <c r="B527">
        <v>2290</v>
      </c>
      <c r="C527">
        <v>2290</v>
      </c>
    </row>
    <row r="528" spans="1:3" x14ac:dyDescent="0.3">
      <c r="A528" s="18">
        <v>29.411011523687581</v>
      </c>
      <c r="B528">
        <v>2297</v>
      </c>
      <c r="C528">
        <v>2297</v>
      </c>
    </row>
    <row r="529" spans="1:3" x14ac:dyDescent="0.3">
      <c r="A529" s="18">
        <v>29.543533389687234</v>
      </c>
      <c r="B529">
        <v>2330</v>
      </c>
      <c r="C529">
        <v>2330</v>
      </c>
    </row>
    <row r="530" spans="1:3" x14ac:dyDescent="0.3">
      <c r="A530" s="17">
        <v>37</v>
      </c>
      <c r="B530">
        <v>96740</v>
      </c>
      <c r="C530">
        <v>96740</v>
      </c>
    </row>
    <row r="531" spans="1:3" x14ac:dyDescent="0.3">
      <c r="A531" s="18">
        <v>27.49935583612471</v>
      </c>
      <c r="B531">
        <v>7115</v>
      </c>
      <c r="C531">
        <v>7115</v>
      </c>
    </row>
    <row r="532" spans="1:3" x14ac:dyDescent="0.3">
      <c r="A532" s="18">
        <v>27.578780321922469</v>
      </c>
      <c r="B532">
        <v>8110</v>
      </c>
      <c r="C532">
        <v>8110</v>
      </c>
    </row>
    <row r="533" spans="1:3" x14ac:dyDescent="0.3">
      <c r="A533" s="18">
        <v>27.632473253618627</v>
      </c>
      <c r="B533">
        <v>7318</v>
      </c>
      <c r="C533">
        <v>7318</v>
      </c>
    </row>
    <row r="534" spans="1:3" x14ac:dyDescent="0.3">
      <c r="A534" s="18">
        <v>27.727841762643965</v>
      </c>
      <c r="B534">
        <v>7383</v>
      </c>
      <c r="C534">
        <v>7383</v>
      </c>
    </row>
    <row r="535" spans="1:3" x14ac:dyDescent="0.3">
      <c r="A535" s="18">
        <v>27.797815595631192</v>
      </c>
      <c r="B535">
        <v>7296</v>
      </c>
      <c r="C535">
        <v>7296</v>
      </c>
    </row>
    <row r="536" spans="1:3" x14ac:dyDescent="0.3">
      <c r="A536" s="18">
        <v>27.911636270228616</v>
      </c>
      <c r="B536">
        <v>7244</v>
      </c>
      <c r="C536">
        <v>7244</v>
      </c>
    </row>
    <row r="537" spans="1:3" x14ac:dyDescent="0.3">
      <c r="A537" s="18">
        <v>27.946339847631666</v>
      </c>
      <c r="B537">
        <v>8437</v>
      </c>
      <c r="C537">
        <v>8437</v>
      </c>
    </row>
    <row r="538" spans="1:3" x14ac:dyDescent="0.3">
      <c r="A538" s="18">
        <v>28.059272365365477</v>
      </c>
      <c r="B538">
        <v>8458</v>
      </c>
      <c r="C538">
        <v>8458</v>
      </c>
    </row>
    <row r="539" spans="1:3" x14ac:dyDescent="0.3">
      <c r="A539" s="18">
        <v>28.092427616926503</v>
      </c>
      <c r="B539">
        <v>8409</v>
      </c>
      <c r="C539">
        <v>8409</v>
      </c>
    </row>
    <row r="540" spans="1:3" x14ac:dyDescent="0.3">
      <c r="A540" s="18">
        <v>28.125244618395303</v>
      </c>
      <c r="B540">
        <v>7186</v>
      </c>
      <c r="C540">
        <v>7186</v>
      </c>
    </row>
    <row r="541" spans="1:3" x14ac:dyDescent="0.3">
      <c r="A541" s="18">
        <v>28.148022980736734</v>
      </c>
      <c r="B541">
        <v>8329</v>
      </c>
      <c r="C541">
        <v>8329</v>
      </c>
    </row>
    <row r="542" spans="1:3" x14ac:dyDescent="0.3">
      <c r="A542" s="18">
        <v>29.436138402392139</v>
      </c>
      <c r="B542">
        <v>2297</v>
      </c>
      <c r="C542">
        <v>2297</v>
      </c>
    </row>
    <row r="543" spans="1:3" x14ac:dyDescent="0.3">
      <c r="A543" s="18">
        <v>29.484757406612278</v>
      </c>
      <c r="B543">
        <v>2289</v>
      </c>
      <c r="C543">
        <v>2289</v>
      </c>
    </row>
    <row r="544" spans="1:3" x14ac:dyDescent="0.3">
      <c r="A544" s="18">
        <v>29.560912613000433</v>
      </c>
      <c r="B544">
        <v>2289</v>
      </c>
      <c r="C544">
        <v>2289</v>
      </c>
    </row>
    <row r="545" spans="1:3" x14ac:dyDescent="0.3">
      <c r="A545" s="18">
        <v>29.562794684954994</v>
      </c>
      <c r="B545">
        <v>2299</v>
      </c>
      <c r="C545">
        <v>2299</v>
      </c>
    </row>
    <row r="546" spans="1:3" x14ac:dyDescent="0.3">
      <c r="A546" s="18">
        <v>29.71341728180634</v>
      </c>
      <c r="B546">
        <v>2281</v>
      </c>
      <c r="C546">
        <v>2281</v>
      </c>
    </row>
    <row r="547" spans="1:3" x14ac:dyDescent="0.3">
      <c r="A547" s="17">
        <v>38</v>
      </c>
      <c r="B547">
        <v>85719</v>
      </c>
      <c r="C547">
        <v>85719</v>
      </c>
    </row>
    <row r="548" spans="1:3" x14ac:dyDescent="0.3">
      <c r="A548" s="18">
        <v>27.350131524297382</v>
      </c>
      <c r="B548">
        <v>6585</v>
      </c>
      <c r="C548">
        <v>6585</v>
      </c>
    </row>
    <row r="549" spans="1:3" x14ac:dyDescent="0.3">
      <c r="A549" s="18">
        <v>27.650058846606512</v>
      </c>
      <c r="B549">
        <v>7048</v>
      </c>
      <c r="C549">
        <v>7048</v>
      </c>
    </row>
    <row r="550" spans="1:3" x14ac:dyDescent="0.3">
      <c r="A550" s="18">
        <v>27.723830132539895</v>
      </c>
      <c r="B550">
        <v>6833</v>
      </c>
      <c r="C550">
        <v>6833</v>
      </c>
    </row>
    <row r="551" spans="1:3" x14ac:dyDescent="0.3">
      <c r="A551" s="18">
        <v>27.724028548770818</v>
      </c>
      <c r="B551">
        <v>6992</v>
      </c>
      <c r="C551">
        <v>6992</v>
      </c>
    </row>
    <row r="552" spans="1:3" x14ac:dyDescent="0.3">
      <c r="A552" s="18">
        <v>27.751691205730204</v>
      </c>
      <c r="B552">
        <v>6974</v>
      </c>
      <c r="C552">
        <v>6974</v>
      </c>
    </row>
    <row r="553" spans="1:3" x14ac:dyDescent="0.3">
      <c r="A553" s="18">
        <v>27.892679459843638</v>
      </c>
      <c r="B553">
        <v>7849</v>
      </c>
      <c r="C553">
        <v>7849</v>
      </c>
    </row>
    <row r="554" spans="1:3" x14ac:dyDescent="0.3">
      <c r="A554" s="18">
        <v>28.119677529238107</v>
      </c>
      <c r="B554">
        <v>8255</v>
      </c>
      <c r="C554">
        <v>8255</v>
      </c>
    </row>
    <row r="555" spans="1:3" x14ac:dyDescent="0.3">
      <c r="A555" s="18">
        <v>28.129144851657941</v>
      </c>
      <c r="B555">
        <v>8059</v>
      </c>
      <c r="C555">
        <v>8059</v>
      </c>
    </row>
    <row r="556" spans="1:3" x14ac:dyDescent="0.3">
      <c r="A556" s="18">
        <v>28.202583114087542</v>
      </c>
      <c r="B556">
        <v>7861</v>
      </c>
      <c r="C556">
        <v>7861</v>
      </c>
    </row>
    <row r="557" spans="1:3" x14ac:dyDescent="0.3">
      <c r="A557" s="18">
        <v>28.428519461622408</v>
      </c>
      <c r="B557">
        <v>7815</v>
      </c>
      <c r="C557">
        <v>7815</v>
      </c>
    </row>
    <row r="558" spans="1:3" x14ac:dyDescent="0.3">
      <c r="A558" s="18">
        <v>29.48141745894555</v>
      </c>
      <c r="B558">
        <v>2274</v>
      </c>
      <c r="C558">
        <v>2274</v>
      </c>
    </row>
    <row r="559" spans="1:3" x14ac:dyDescent="0.3">
      <c r="A559" s="18">
        <v>29.508832399827661</v>
      </c>
      <c r="B559">
        <v>2283</v>
      </c>
      <c r="C559">
        <v>2283</v>
      </c>
    </row>
    <row r="560" spans="1:3" x14ac:dyDescent="0.3">
      <c r="A560" s="18">
        <v>29.535283993115318</v>
      </c>
      <c r="B560">
        <v>2288</v>
      </c>
      <c r="C560">
        <v>2288</v>
      </c>
    </row>
    <row r="561" spans="1:3" x14ac:dyDescent="0.3">
      <c r="A561" s="18">
        <v>29.601371624517789</v>
      </c>
      <c r="B561">
        <v>2302</v>
      </c>
      <c r="C561">
        <v>2302</v>
      </c>
    </row>
    <row r="562" spans="1:3" x14ac:dyDescent="0.3">
      <c r="A562" s="18">
        <v>29.754310344827587</v>
      </c>
      <c r="B562">
        <v>2301</v>
      </c>
      <c r="C562">
        <v>2301</v>
      </c>
    </row>
    <row r="563" spans="1:3" x14ac:dyDescent="0.3">
      <c r="A563" s="17">
        <v>39</v>
      </c>
      <c r="B563">
        <v>80118</v>
      </c>
      <c r="C563">
        <v>80118</v>
      </c>
    </row>
    <row r="564" spans="1:3" x14ac:dyDescent="0.3">
      <c r="A564" s="18">
        <v>27.389473684210525</v>
      </c>
      <c r="B564">
        <v>6505</v>
      </c>
      <c r="C564">
        <v>6505</v>
      </c>
    </row>
    <row r="565" spans="1:3" x14ac:dyDescent="0.3">
      <c r="A565" s="18">
        <v>27.471815107102593</v>
      </c>
      <c r="B565">
        <v>6498</v>
      </c>
      <c r="C565">
        <v>6498</v>
      </c>
    </row>
    <row r="566" spans="1:3" x14ac:dyDescent="0.3">
      <c r="A566" s="18">
        <v>27.52340425531915</v>
      </c>
      <c r="B566">
        <v>6468</v>
      </c>
      <c r="C566">
        <v>6468</v>
      </c>
    </row>
    <row r="567" spans="1:3" x14ac:dyDescent="0.3">
      <c r="A567" s="18">
        <v>27.647308181432809</v>
      </c>
      <c r="B567">
        <v>6522</v>
      </c>
      <c r="C567">
        <v>6522</v>
      </c>
    </row>
    <row r="568" spans="1:3" x14ac:dyDescent="0.3">
      <c r="A568" s="18">
        <v>27.683397683397686</v>
      </c>
      <c r="B568">
        <v>7170</v>
      </c>
      <c r="C568">
        <v>7170</v>
      </c>
    </row>
    <row r="569" spans="1:3" x14ac:dyDescent="0.3">
      <c r="A569" s="18">
        <v>27.684837498381459</v>
      </c>
      <c r="B569">
        <v>7127</v>
      </c>
      <c r="C569">
        <v>7127</v>
      </c>
    </row>
    <row r="570" spans="1:3" x14ac:dyDescent="0.3">
      <c r="A570" s="18">
        <v>27.811224489795919</v>
      </c>
      <c r="B570">
        <v>7268</v>
      </c>
      <c r="C570">
        <v>7268</v>
      </c>
    </row>
    <row r="571" spans="1:3" x14ac:dyDescent="0.3">
      <c r="A571" s="18">
        <v>27.878006872852236</v>
      </c>
      <c r="B571">
        <v>6490</v>
      </c>
      <c r="C571">
        <v>6490</v>
      </c>
    </row>
    <row r="572" spans="1:3" x14ac:dyDescent="0.3">
      <c r="A572" s="18">
        <v>27.995323652473544</v>
      </c>
      <c r="B572">
        <v>7583</v>
      </c>
      <c r="C572">
        <v>7583</v>
      </c>
    </row>
    <row r="573" spans="1:3" x14ac:dyDescent="0.3">
      <c r="A573" s="18">
        <v>28.015167364016737</v>
      </c>
      <c r="B573">
        <v>7142</v>
      </c>
      <c r="C573">
        <v>7142</v>
      </c>
    </row>
    <row r="574" spans="1:3" x14ac:dyDescent="0.3">
      <c r="A574" s="18">
        <v>29.49306759098787</v>
      </c>
      <c r="B574">
        <v>2269</v>
      </c>
      <c r="C574">
        <v>2269</v>
      </c>
    </row>
    <row r="575" spans="1:3" x14ac:dyDescent="0.3">
      <c r="A575" s="18">
        <v>29.593709043250328</v>
      </c>
      <c r="B575">
        <v>2258</v>
      </c>
      <c r="C575">
        <v>2258</v>
      </c>
    </row>
    <row r="576" spans="1:3" x14ac:dyDescent="0.3">
      <c r="A576" s="18">
        <v>29.593886462882097</v>
      </c>
      <c r="B576">
        <v>2259</v>
      </c>
      <c r="C576">
        <v>2259</v>
      </c>
    </row>
    <row r="577" spans="1:3" x14ac:dyDescent="0.3">
      <c r="A577" s="18">
        <v>29.623213512343003</v>
      </c>
      <c r="B577">
        <v>2280</v>
      </c>
      <c r="C577">
        <v>2280</v>
      </c>
    </row>
    <row r="578" spans="1:3" x14ac:dyDescent="0.3">
      <c r="A578" s="18">
        <v>29.661605206073752</v>
      </c>
      <c r="B578">
        <v>2279</v>
      </c>
      <c r="C578">
        <v>2279</v>
      </c>
    </row>
    <row r="579" spans="1:3" x14ac:dyDescent="0.3">
      <c r="A579" s="17">
        <v>40</v>
      </c>
      <c r="B579">
        <v>81548</v>
      </c>
      <c r="C579">
        <v>81548</v>
      </c>
    </row>
    <row r="580" spans="1:3" x14ac:dyDescent="0.3">
      <c r="A580" s="18">
        <v>27.665454545454548</v>
      </c>
      <c r="B580">
        <v>6340</v>
      </c>
      <c r="C580">
        <v>6340</v>
      </c>
    </row>
    <row r="581" spans="1:3" x14ac:dyDescent="0.3">
      <c r="A581" s="18">
        <v>27.81246098139593</v>
      </c>
      <c r="B581">
        <v>7425</v>
      </c>
      <c r="C581">
        <v>7425</v>
      </c>
    </row>
    <row r="582" spans="1:3" x14ac:dyDescent="0.3">
      <c r="A582" s="18">
        <v>27.827221714733131</v>
      </c>
      <c r="B582">
        <v>7108</v>
      </c>
      <c r="C582">
        <v>7108</v>
      </c>
    </row>
    <row r="583" spans="1:3" x14ac:dyDescent="0.3">
      <c r="A583" s="18">
        <v>27.860227718884961</v>
      </c>
      <c r="B583">
        <v>7096</v>
      </c>
      <c r="C583">
        <v>7096</v>
      </c>
    </row>
    <row r="584" spans="1:3" x14ac:dyDescent="0.3">
      <c r="A584" s="18">
        <v>27.871863171176223</v>
      </c>
      <c r="B584">
        <v>6627</v>
      </c>
      <c r="C584">
        <v>6627</v>
      </c>
    </row>
    <row r="585" spans="1:3" x14ac:dyDescent="0.3">
      <c r="A585" s="18">
        <v>28.049150904321415</v>
      </c>
      <c r="B585">
        <v>6772</v>
      </c>
      <c r="C585">
        <v>6772</v>
      </c>
    </row>
    <row r="586" spans="1:3" x14ac:dyDescent="0.3">
      <c r="A586" s="18">
        <v>28.163946587537094</v>
      </c>
      <c r="B586">
        <v>7593</v>
      </c>
      <c r="C586">
        <v>7593</v>
      </c>
    </row>
    <row r="587" spans="1:3" x14ac:dyDescent="0.3">
      <c r="A587" s="18">
        <v>28.216957605985037</v>
      </c>
      <c r="B587">
        <v>6789</v>
      </c>
      <c r="C587">
        <v>6789</v>
      </c>
    </row>
    <row r="588" spans="1:3" x14ac:dyDescent="0.3">
      <c r="A588" s="18">
        <v>28.511135551278525</v>
      </c>
      <c r="B588">
        <v>6913</v>
      </c>
      <c r="C588">
        <v>6913</v>
      </c>
    </row>
    <row r="589" spans="1:3" x14ac:dyDescent="0.3">
      <c r="A589" s="18">
        <v>28.538925101463533</v>
      </c>
      <c r="B589">
        <v>7735</v>
      </c>
      <c r="C589">
        <v>7735</v>
      </c>
    </row>
    <row r="590" spans="1:3" x14ac:dyDescent="0.3">
      <c r="A590" s="18">
        <v>29.433465085639</v>
      </c>
      <c r="B590">
        <v>2234</v>
      </c>
      <c r="C590">
        <v>2234</v>
      </c>
    </row>
    <row r="591" spans="1:3" x14ac:dyDescent="0.3">
      <c r="A591" s="18">
        <v>29.546465095598045</v>
      </c>
      <c r="B591">
        <v>2215</v>
      </c>
      <c r="C591">
        <v>2215</v>
      </c>
    </row>
    <row r="592" spans="1:3" x14ac:dyDescent="0.3">
      <c r="A592" s="18">
        <v>29.641434262948209</v>
      </c>
      <c r="B592">
        <v>2232</v>
      </c>
      <c r="C592">
        <v>2232</v>
      </c>
    </row>
    <row r="593" spans="1:3" x14ac:dyDescent="0.3">
      <c r="A593" s="18">
        <v>29.666370106761565</v>
      </c>
      <c r="B593">
        <v>2223</v>
      </c>
      <c r="C593">
        <v>2223</v>
      </c>
    </row>
    <row r="594" spans="1:3" x14ac:dyDescent="0.3">
      <c r="A594" s="18">
        <v>29.682819383259911</v>
      </c>
      <c r="B594">
        <v>2246</v>
      </c>
      <c r="C594">
        <v>2246</v>
      </c>
    </row>
    <row r="595" spans="1:3" x14ac:dyDescent="0.3">
      <c r="A595" s="17">
        <v>41</v>
      </c>
      <c r="B595">
        <v>75694</v>
      </c>
      <c r="C595">
        <v>75694</v>
      </c>
    </row>
    <row r="596" spans="1:3" x14ac:dyDescent="0.3">
      <c r="A596" s="18">
        <v>27.847943498130455</v>
      </c>
      <c r="B596">
        <v>6703</v>
      </c>
      <c r="C596">
        <v>6703</v>
      </c>
    </row>
    <row r="597" spans="1:3" x14ac:dyDescent="0.3">
      <c r="A597" s="18">
        <v>28.006165228113442</v>
      </c>
      <c r="B597">
        <v>7571</v>
      </c>
      <c r="C597">
        <v>7571</v>
      </c>
    </row>
    <row r="598" spans="1:3" x14ac:dyDescent="0.3">
      <c r="A598" s="18">
        <v>28.200712589073632</v>
      </c>
      <c r="B598">
        <v>7915</v>
      </c>
      <c r="C598">
        <v>7915</v>
      </c>
    </row>
    <row r="599" spans="1:3" x14ac:dyDescent="0.3">
      <c r="A599" s="18">
        <v>28.202929617720613</v>
      </c>
      <c r="B599">
        <v>7894</v>
      </c>
      <c r="C599">
        <v>7894</v>
      </c>
    </row>
    <row r="600" spans="1:3" x14ac:dyDescent="0.3">
      <c r="A600" s="18">
        <v>28.206283971894472</v>
      </c>
      <c r="B600">
        <v>7092</v>
      </c>
      <c r="C600">
        <v>7092</v>
      </c>
    </row>
    <row r="601" spans="1:3" x14ac:dyDescent="0.3">
      <c r="A601" s="18">
        <v>28.215102974828376</v>
      </c>
      <c r="B601">
        <v>7809</v>
      </c>
      <c r="C601">
        <v>7809</v>
      </c>
    </row>
    <row r="602" spans="1:3" x14ac:dyDescent="0.3">
      <c r="A602" s="18">
        <v>28.251338896500187</v>
      </c>
      <c r="B602">
        <v>7561</v>
      </c>
      <c r="C602">
        <v>7561</v>
      </c>
    </row>
    <row r="603" spans="1:3" x14ac:dyDescent="0.3">
      <c r="A603" s="18">
        <v>28.443769799366418</v>
      </c>
      <c r="B603">
        <v>7183</v>
      </c>
      <c r="C603">
        <v>7183</v>
      </c>
    </row>
    <row r="604" spans="1:3" x14ac:dyDescent="0.3">
      <c r="A604" s="18">
        <v>28.565389696169088</v>
      </c>
      <c r="B604">
        <v>7208</v>
      </c>
      <c r="C604">
        <v>7208</v>
      </c>
    </row>
    <row r="605" spans="1:3" x14ac:dyDescent="0.3">
      <c r="A605" s="18">
        <v>29.35339021104625</v>
      </c>
      <c r="B605">
        <v>2179</v>
      </c>
      <c r="C605">
        <v>2179</v>
      </c>
    </row>
    <row r="606" spans="1:3" x14ac:dyDescent="0.3">
      <c r="A606" s="18">
        <v>29.544439481911567</v>
      </c>
      <c r="B606">
        <v>2205</v>
      </c>
      <c r="C606">
        <v>2205</v>
      </c>
    </row>
    <row r="607" spans="1:3" x14ac:dyDescent="0.3">
      <c r="A607" s="18">
        <v>29.594229035166816</v>
      </c>
      <c r="B607">
        <v>2188</v>
      </c>
      <c r="C607">
        <v>2188</v>
      </c>
    </row>
    <row r="608" spans="1:3" x14ac:dyDescent="0.3">
      <c r="A608" s="18">
        <v>29.701086956521738</v>
      </c>
      <c r="B608">
        <v>2186</v>
      </c>
      <c r="C608">
        <v>2186</v>
      </c>
    </row>
    <row r="609" spans="1:3" x14ac:dyDescent="0.3">
      <c r="A609" s="17">
        <v>42</v>
      </c>
      <c r="B609">
        <v>78766</v>
      </c>
      <c r="C609">
        <v>78766</v>
      </c>
    </row>
    <row r="610" spans="1:3" x14ac:dyDescent="0.3">
      <c r="A610" s="18">
        <v>27.585093167701864</v>
      </c>
      <c r="B610">
        <v>7402</v>
      </c>
      <c r="C610">
        <v>7402</v>
      </c>
    </row>
    <row r="611" spans="1:3" x14ac:dyDescent="0.3">
      <c r="A611" s="18">
        <v>27.8072260518184</v>
      </c>
      <c r="B611">
        <v>7799</v>
      </c>
      <c r="C611">
        <v>7799</v>
      </c>
    </row>
    <row r="612" spans="1:3" x14ac:dyDescent="0.3">
      <c r="A612" s="18">
        <v>27.839169218479565</v>
      </c>
      <c r="B612">
        <v>6970</v>
      </c>
      <c r="C612">
        <v>6970</v>
      </c>
    </row>
    <row r="613" spans="1:3" x14ac:dyDescent="0.3">
      <c r="A613" s="18">
        <v>28.042128333130403</v>
      </c>
      <c r="B613">
        <v>7677</v>
      </c>
      <c r="C613">
        <v>7677</v>
      </c>
    </row>
    <row r="614" spans="1:3" x14ac:dyDescent="0.3">
      <c r="A614" s="18">
        <v>28.158924205378973</v>
      </c>
      <c r="B614">
        <v>7678</v>
      </c>
      <c r="C614">
        <v>7678</v>
      </c>
    </row>
    <row r="615" spans="1:3" x14ac:dyDescent="0.3">
      <c r="A615" s="18">
        <v>28.182893647225836</v>
      </c>
      <c r="B615">
        <v>7941</v>
      </c>
      <c r="C615">
        <v>7941</v>
      </c>
    </row>
    <row r="616" spans="1:3" x14ac:dyDescent="0.3">
      <c r="A616" s="18">
        <v>28.228187919463085</v>
      </c>
      <c r="B616">
        <v>7711</v>
      </c>
      <c r="C616">
        <v>7711</v>
      </c>
    </row>
    <row r="617" spans="1:3" x14ac:dyDescent="0.3">
      <c r="A617" s="18">
        <v>28.373301358912869</v>
      </c>
      <c r="B617">
        <v>7099</v>
      </c>
      <c r="C617">
        <v>7099</v>
      </c>
    </row>
    <row r="618" spans="1:3" x14ac:dyDescent="0.3">
      <c r="A618" s="18">
        <v>28.451116807030392</v>
      </c>
      <c r="B618">
        <v>7770</v>
      </c>
      <c r="C618">
        <v>7770</v>
      </c>
    </row>
    <row r="619" spans="1:3" x14ac:dyDescent="0.3">
      <c r="A619" s="18">
        <v>29.570438799076211</v>
      </c>
      <c r="B619">
        <v>2134</v>
      </c>
      <c r="C619">
        <v>2134</v>
      </c>
    </row>
    <row r="620" spans="1:3" x14ac:dyDescent="0.3">
      <c r="A620" s="18">
        <v>29.653419593345657</v>
      </c>
      <c r="B620">
        <v>2139</v>
      </c>
      <c r="C620">
        <v>2139</v>
      </c>
    </row>
    <row r="621" spans="1:3" x14ac:dyDescent="0.3">
      <c r="A621" s="18">
        <v>29.683486238532108</v>
      </c>
      <c r="B621">
        <v>2157</v>
      </c>
      <c r="C621">
        <v>2157</v>
      </c>
    </row>
    <row r="622" spans="1:3" x14ac:dyDescent="0.3">
      <c r="A622" s="18">
        <v>29.710743801652892</v>
      </c>
      <c r="B622">
        <v>2157</v>
      </c>
      <c r="C622">
        <v>2157</v>
      </c>
    </row>
    <row r="623" spans="1:3" x14ac:dyDescent="0.3">
      <c r="A623" s="18">
        <v>29.721189591078069</v>
      </c>
      <c r="B623">
        <v>2132</v>
      </c>
      <c r="C623">
        <v>2132</v>
      </c>
    </row>
    <row r="624" spans="1:3" x14ac:dyDescent="0.3">
      <c r="A624" s="17">
        <v>43</v>
      </c>
      <c r="B624">
        <v>80666</v>
      </c>
      <c r="C624">
        <v>80666</v>
      </c>
    </row>
    <row r="625" spans="1:3" x14ac:dyDescent="0.3">
      <c r="A625" s="18">
        <v>27.658948915839765</v>
      </c>
      <c r="B625">
        <v>7526</v>
      </c>
      <c r="C625">
        <v>7526</v>
      </c>
    </row>
    <row r="626" spans="1:3" x14ac:dyDescent="0.3">
      <c r="A626" s="18">
        <v>27.783269492153714</v>
      </c>
      <c r="B626">
        <v>7495</v>
      </c>
      <c r="C626">
        <v>7495</v>
      </c>
    </row>
    <row r="627" spans="1:3" x14ac:dyDescent="0.3">
      <c r="A627" s="18">
        <v>27.826450226784434</v>
      </c>
      <c r="B627">
        <v>7771</v>
      </c>
      <c r="C627">
        <v>7771</v>
      </c>
    </row>
    <row r="628" spans="1:3" x14ac:dyDescent="0.3">
      <c r="A628" s="18">
        <v>28.12634344399331</v>
      </c>
      <c r="B628">
        <v>7851</v>
      </c>
      <c r="C628">
        <v>7851</v>
      </c>
    </row>
    <row r="629" spans="1:3" x14ac:dyDescent="0.3">
      <c r="A629" s="18">
        <v>28.260259558049807</v>
      </c>
      <c r="B629">
        <v>8057</v>
      </c>
      <c r="C629">
        <v>8057</v>
      </c>
    </row>
    <row r="630" spans="1:3" x14ac:dyDescent="0.3">
      <c r="A630" s="18">
        <v>28.264340990050364</v>
      </c>
      <c r="B630">
        <v>7670</v>
      </c>
      <c r="C630">
        <v>7670</v>
      </c>
    </row>
    <row r="631" spans="1:3" x14ac:dyDescent="0.3">
      <c r="A631" s="18">
        <v>28.436293436293436</v>
      </c>
      <c r="B631">
        <v>7856</v>
      </c>
      <c r="C631">
        <v>7856</v>
      </c>
    </row>
    <row r="632" spans="1:3" x14ac:dyDescent="0.3">
      <c r="A632" s="18">
        <v>28.508266993263931</v>
      </c>
      <c r="B632">
        <v>7759</v>
      </c>
      <c r="C632">
        <v>7759</v>
      </c>
    </row>
    <row r="633" spans="1:3" x14ac:dyDescent="0.3">
      <c r="A633" s="18">
        <v>28.567750994617363</v>
      </c>
      <c r="B633">
        <v>8138</v>
      </c>
      <c r="C633">
        <v>8138</v>
      </c>
    </row>
    <row r="634" spans="1:3" x14ac:dyDescent="0.3">
      <c r="A634" s="18">
        <v>29.412039197386839</v>
      </c>
      <c r="B634">
        <v>2101</v>
      </c>
      <c r="C634">
        <v>2101</v>
      </c>
    </row>
    <row r="635" spans="1:3" x14ac:dyDescent="0.3">
      <c r="A635" s="18">
        <v>29.565623540401681</v>
      </c>
      <c r="B635">
        <v>2110</v>
      </c>
      <c r="C635">
        <v>2110</v>
      </c>
    </row>
    <row r="636" spans="1:3" x14ac:dyDescent="0.3">
      <c r="A636" s="18">
        <v>29.622201492537314</v>
      </c>
      <c r="B636">
        <v>2117</v>
      </c>
      <c r="C636">
        <v>2117</v>
      </c>
    </row>
    <row r="637" spans="1:3" x14ac:dyDescent="0.3">
      <c r="A637" s="18">
        <v>29.689411764705884</v>
      </c>
      <c r="B637">
        <v>2103</v>
      </c>
      <c r="C637">
        <v>2103</v>
      </c>
    </row>
    <row r="638" spans="1:3" x14ac:dyDescent="0.3">
      <c r="A638" s="18">
        <v>29.802445907808089</v>
      </c>
      <c r="B638">
        <v>2112</v>
      </c>
      <c r="C638">
        <v>2112</v>
      </c>
    </row>
    <row r="639" spans="1:3" x14ac:dyDescent="0.3">
      <c r="A639" s="17">
        <v>44</v>
      </c>
      <c r="B639">
        <v>90129</v>
      </c>
      <c r="C639">
        <v>90129</v>
      </c>
    </row>
    <row r="640" spans="1:3" x14ac:dyDescent="0.3">
      <c r="A640" s="18">
        <v>27.799241961119943</v>
      </c>
      <c r="B640">
        <v>7579</v>
      </c>
      <c r="C640">
        <v>7579</v>
      </c>
    </row>
    <row r="641" spans="1:3" x14ac:dyDescent="0.3">
      <c r="A641" s="18">
        <v>27.845705967976713</v>
      </c>
      <c r="B641">
        <v>7652</v>
      </c>
      <c r="C641">
        <v>7652</v>
      </c>
    </row>
    <row r="642" spans="1:3" x14ac:dyDescent="0.3">
      <c r="A642" s="18">
        <v>27.866731164590639</v>
      </c>
      <c r="B642">
        <v>7681</v>
      </c>
      <c r="C642">
        <v>7681</v>
      </c>
    </row>
    <row r="643" spans="1:3" x14ac:dyDescent="0.3">
      <c r="A643" s="18">
        <v>27.908027336962817</v>
      </c>
      <c r="B643">
        <v>8031</v>
      </c>
      <c r="C643">
        <v>8031</v>
      </c>
    </row>
    <row r="644" spans="1:3" x14ac:dyDescent="0.3">
      <c r="A644" s="18">
        <v>27.962427745664741</v>
      </c>
      <c r="B644">
        <v>8385</v>
      </c>
      <c r="C644">
        <v>8385</v>
      </c>
    </row>
    <row r="645" spans="1:3" x14ac:dyDescent="0.3">
      <c r="A645" s="18">
        <v>28.048381824125531</v>
      </c>
      <c r="B645">
        <v>8580</v>
      </c>
      <c r="C645">
        <v>8580</v>
      </c>
    </row>
    <row r="646" spans="1:3" x14ac:dyDescent="0.3">
      <c r="A646" s="18">
        <v>28.133988936693303</v>
      </c>
      <c r="B646">
        <v>7629</v>
      </c>
      <c r="C646">
        <v>7629</v>
      </c>
    </row>
    <row r="647" spans="1:3" x14ac:dyDescent="0.3">
      <c r="A647" s="18">
        <v>28.159981343283579</v>
      </c>
      <c r="B647">
        <v>8050</v>
      </c>
      <c r="C647">
        <v>8050</v>
      </c>
    </row>
    <row r="648" spans="1:3" x14ac:dyDescent="0.3">
      <c r="A648" s="18">
        <v>28.222782984859407</v>
      </c>
      <c r="B648">
        <v>7829</v>
      </c>
      <c r="C648">
        <v>7829</v>
      </c>
    </row>
    <row r="649" spans="1:3" x14ac:dyDescent="0.3">
      <c r="A649" s="18">
        <v>28.606843575418996</v>
      </c>
      <c r="B649">
        <v>8193</v>
      </c>
      <c r="C649">
        <v>8193</v>
      </c>
    </row>
    <row r="650" spans="1:3" x14ac:dyDescent="0.3">
      <c r="A650" s="18">
        <v>29.236817761332102</v>
      </c>
      <c r="B650">
        <v>2107</v>
      </c>
      <c r="C650">
        <v>2107</v>
      </c>
    </row>
    <row r="651" spans="1:3" x14ac:dyDescent="0.3">
      <c r="A651" s="18">
        <v>29.289363678588018</v>
      </c>
      <c r="B651">
        <v>2102</v>
      </c>
      <c r="C651">
        <v>2102</v>
      </c>
    </row>
    <row r="652" spans="1:3" x14ac:dyDescent="0.3">
      <c r="A652" s="18">
        <v>29.562764456981665</v>
      </c>
      <c r="B652">
        <v>2096</v>
      </c>
      <c r="C652">
        <v>2096</v>
      </c>
    </row>
    <row r="653" spans="1:3" x14ac:dyDescent="0.3">
      <c r="A653" s="18">
        <v>29.633974659784137</v>
      </c>
      <c r="B653">
        <v>2105</v>
      </c>
      <c r="C653">
        <v>2105</v>
      </c>
    </row>
    <row r="654" spans="1:3" x14ac:dyDescent="0.3">
      <c r="A654" s="18">
        <v>29.634831460674157</v>
      </c>
      <c r="B654">
        <v>2110</v>
      </c>
      <c r="C654">
        <v>2110</v>
      </c>
    </row>
    <row r="655" spans="1:3" x14ac:dyDescent="0.3">
      <c r="A655" s="17">
        <v>45</v>
      </c>
      <c r="B655">
        <v>89184</v>
      </c>
      <c r="C655">
        <v>89184</v>
      </c>
    </row>
    <row r="656" spans="1:3" x14ac:dyDescent="0.3">
      <c r="A656" s="18">
        <v>27.552301255230127</v>
      </c>
      <c r="B656">
        <v>8341</v>
      </c>
      <c r="C656">
        <v>8341</v>
      </c>
    </row>
    <row r="657" spans="1:3" x14ac:dyDescent="0.3">
      <c r="A657" s="18">
        <v>27.654943169633281</v>
      </c>
      <c r="B657">
        <v>8597</v>
      </c>
      <c r="C657">
        <v>8597</v>
      </c>
    </row>
    <row r="658" spans="1:3" x14ac:dyDescent="0.3">
      <c r="A658" s="18">
        <v>27.676867798290175</v>
      </c>
      <c r="B658">
        <v>7446</v>
      </c>
      <c r="C658">
        <v>7446</v>
      </c>
    </row>
    <row r="659" spans="1:3" x14ac:dyDescent="0.3">
      <c r="A659" s="18">
        <v>27.78385332904471</v>
      </c>
      <c r="B659">
        <v>8638</v>
      </c>
      <c r="C659">
        <v>8638</v>
      </c>
    </row>
    <row r="660" spans="1:3" x14ac:dyDescent="0.3">
      <c r="A660" s="18">
        <v>28.056746948201916</v>
      </c>
      <c r="B660">
        <v>8504</v>
      </c>
      <c r="C660">
        <v>8504</v>
      </c>
    </row>
    <row r="661" spans="1:3" x14ac:dyDescent="0.3">
      <c r="A661" s="18">
        <v>28.150253305325588</v>
      </c>
      <c r="B661">
        <v>7594</v>
      </c>
      <c r="C661">
        <v>7594</v>
      </c>
    </row>
    <row r="662" spans="1:3" x14ac:dyDescent="0.3">
      <c r="A662" s="18">
        <v>28.156983455175066</v>
      </c>
      <c r="B662">
        <v>7318</v>
      </c>
      <c r="C662">
        <v>7318</v>
      </c>
    </row>
    <row r="663" spans="1:3" x14ac:dyDescent="0.3">
      <c r="A663" s="18">
        <v>28.24228911185433</v>
      </c>
      <c r="B663">
        <v>7600</v>
      </c>
      <c r="C663">
        <v>7600</v>
      </c>
    </row>
    <row r="664" spans="1:3" x14ac:dyDescent="0.3">
      <c r="A664" s="18">
        <v>28.304476873608706</v>
      </c>
      <c r="B664">
        <v>7629</v>
      </c>
      <c r="C664">
        <v>7629</v>
      </c>
    </row>
    <row r="665" spans="1:3" x14ac:dyDescent="0.3">
      <c r="A665" s="18">
        <v>28.335339827076723</v>
      </c>
      <c r="B665">
        <v>8630</v>
      </c>
      <c r="C665">
        <v>8630</v>
      </c>
    </row>
    <row r="666" spans="1:3" x14ac:dyDescent="0.3">
      <c r="A666" s="18">
        <v>29.198218262806236</v>
      </c>
      <c r="B666">
        <v>2185</v>
      </c>
      <c r="C666">
        <v>2185</v>
      </c>
    </row>
    <row r="667" spans="1:3" x14ac:dyDescent="0.3">
      <c r="A667" s="18">
        <v>29.202834366696191</v>
      </c>
      <c r="B667">
        <v>2198</v>
      </c>
      <c r="C667">
        <v>2198</v>
      </c>
    </row>
    <row r="668" spans="1:3" x14ac:dyDescent="0.3">
      <c r="A668" s="18">
        <v>29.281671745755332</v>
      </c>
      <c r="B668">
        <v>2242</v>
      </c>
      <c r="C668">
        <v>2242</v>
      </c>
    </row>
    <row r="669" spans="1:3" x14ac:dyDescent="0.3">
      <c r="A669" s="18">
        <v>29.300518134715027</v>
      </c>
      <c r="B669">
        <v>2262</v>
      </c>
      <c r="C669">
        <v>2262</v>
      </c>
    </row>
    <row r="670" spans="1:3" x14ac:dyDescent="0.3">
      <c r="A670" s="17">
        <v>46</v>
      </c>
      <c r="B670">
        <v>75875</v>
      </c>
      <c r="C670">
        <v>75875</v>
      </c>
    </row>
    <row r="671" spans="1:3" x14ac:dyDescent="0.3">
      <c r="A671" s="18">
        <v>27.278746413595233</v>
      </c>
      <c r="B671">
        <v>8240</v>
      </c>
      <c r="C671">
        <v>8240</v>
      </c>
    </row>
    <row r="672" spans="1:3" x14ac:dyDescent="0.3">
      <c r="A672" s="18">
        <v>27.568717277486911</v>
      </c>
      <c r="B672">
        <v>8425</v>
      </c>
      <c r="C672">
        <v>8425</v>
      </c>
    </row>
    <row r="673" spans="1:3" x14ac:dyDescent="0.3">
      <c r="A673" s="18">
        <v>27.585341912967607</v>
      </c>
      <c r="B673">
        <v>8431</v>
      </c>
      <c r="C673">
        <v>8431</v>
      </c>
    </row>
    <row r="674" spans="1:3" x14ac:dyDescent="0.3">
      <c r="A674" s="18">
        <v>27.780414150129424</v>
      </c>
      <c r="B674">
        <v>8586</v>
      </c>
      <c r="C674">
        <v>8586</v>
      </c>
    </row>
    <row r="675" spans="1:3" x14ac:dyDescent="0.3">
      <c r="A675" s="18">
        <v>27.917747313819934</v>
      </c>
      <c r="B675">
        <v>7535</v>
      </c>
      <c r="C675">
        <v>7535</v>
      </c>
    </row>
    <row r="676" spans="1:3" x14ac:dyDescent="0.3">
      <c r="A676" s="18">
        <v>28.18260977733549</v>
      </c>
      <c r="B676">
        <v>7552</v>
      </c>
      <c r="C676">
        <v>7552</v>
      </c>
    </row>
    <row r="677" spans="1:3" x14ac:dyDescent="0.3">
      <c r="A677" s="18">
        <v>28.275222551928781</v>
      </c>
      <c r="B677">
        <v>7623</v>
      </c>
      <c r="C677">
        <v>7623</v>
      </c>
    </row>
    <row r="678" spans="1:3" x14ac:dyDescent="0.3">
      <c r="A678" s="18">
        <v>28.46153846153846</v>
      </c>
      <c r="B678">
        <v>7696</v>
      </c>
      <c r="C678">
        <v>7696</v>
      </c>
    </row>
    <row r="679" spans="1:3" x14ac:dyDescent="0.3">
      <c r="A679" s="18">
        <v>29.289099526066352</v>
      </c>
      <c r="B679">
        <v>2266</v>
      </c>
      <c r="C679">
        <v>2266</v>
      </c>
    </row>
    <row r="680" spans="1:3" x14ac:dyDescent="0.3">
      <c r="A680" s="18">
        <v>29.351620947630924</v>
      </c>
      <c r="B680">
        <v>2354</v>
      </c>
      <c r="C680">
        <v>2354</v>
      </c>
    </row>
    <row r="681" spans="1:3" x14ac:dyDescent="0.3">
      <c r="A681" s="18">
        <v>29.433264887063658</v>
      </c>
      <c r="B681">
        <v>2389</v>
      </c>
      <c r="C681">
        <v>2389</v>
      </c>
    </row>
    <row r="682" spans="1:3" x14ac:dyDescent="0.3">
      <c r="A682" s="18">
        <v>29.457236842105264</v>
      </c>
      <c r="B682">
        <v>2388</v>
      </c>
      <c r="C682">
        <v>2388</v>
      </c>
    </row>
    <row r="683" spans="1:3" x14ac:dyDescent="0.3">
      <c r="A683" s="18">
        <v>29.628099173553721</v>
      </c>
      <c r="B683">
        <v>2390</v>
      </c>
      <c r="C683">
        <v>2390</v>
      </c>
    </row>
    <row r="684" spans="1:3" x14ac:dyDescent="0.3">
      <c r="A684" s="17">
        <v>47</v>
      </c>
      <c r="B684">
        <v>89184</v>
      </c>
      <c r="C684">
        <v>89184</v>
      </c>
    </row>
    <row r="685" spans="1:3" x14ac:dyDescent="0.3">
      <c r="A685" s="18">
        <v>27.261985145172179</v>
      </c>
      <c r="B685">
        <v>8075</v>
      </c>
      <c r="C685">
        <v>8075</v>
      </c>
    </row>
    <row r="686" spans="1:3" x14ac:dyDescent="0.3">
      <c r="A686" s="18">
        <v>27.397647591042752</v>
      </c>
      <c r="B686">
        <v>8075</v>
      </c>
      <c r="C686">
        <v>8075</v>
      </c>
    </row>
    <row r="687" spans="1:3" x14ac:dyDescent="0.3">
      <c r="A687" s="18">
        <v>27.690793789634814</v>
      </c>
      <c r="B687">
        <v>8442</v>
      </c>
      <c r="C687">
        <v>8442</v>
      </c>
    </row>
    <row r="688" spans="1:3" x14ac:dyDescent="0.3">
      <c r="A688" s="18">
        <v>27.691795270345288</v>
      </c>
      <c r="B688">
        <v>8314</v>
      </c>
      <c r="C688">
        <v>8314</v>
      </c>
    </row>
    <row r="689" spans="1:3" x14ac:dyDescent="0.3">
      <c r="A689" s="18">
        <v>27.964338781575037</v>
      </c>
      <c r="B689">
        <v>7528</v>
      </c>
      <c r="C689">
        <v>7528</v>
      </c>
    </row>
    <row r="690" spans="1:3" x14ac:dyDescent="0.3">
      <c r="A690" s="18">
        <v>28.026670085908449</v>
      </c>
      <c r="B690">
        <v>7286</v>
      </c>
      <c r="C690">
        <v>7286</v>
      </c>
    </row>
    <row r="691" spans="1:3" x14ac:dyDescent="0.3">
      <c r="A691" s="18">
        <v>28.087371105444063</v>
      </c>
      <c r="B691">
        <v>8444</v>
      </c>
      <c r="C691">
        <v>8444</v>
      </c>
    </row>
    <row r="692" spans="1:3" x14ac:dyDescent="0.3">
      <c r="A692" s="18">
        <v>28.090810288612488</v>
      </c>
      <c r="B692">
        <v>7754</v>
      </c>
      <c r="C692">
        <v>7754</v>
      </c>
    </row>
    <row r="693" spans="1:3" x14ac:dyDescent="0.3">
      <c r="A693" s="18">
        <v>28.170822019254508</v>
      </c>
      <c r="B693">
        <v>7608</v>
      </c>
      <c r="C693">
        <v>7608</v>
      </c>
    </row>
    <row r="694" spans="1:3" x14ac:dyDescent="0.3">
      <c r="A694" s="18">
        <v>28.363236909556939</v>
      </c>
      <c r="B694">
        <v>7746</v>
      </c>
      <c r="C694">
        <v>7746</v>
      </c>
    </row>
    <row r="695" spans="1:3" x14ac:dyDescent="0.3">
      <c r="A695" s="18">
        <v>29.328094302554028</v>
      </c>
      <c r="B695">
        <v>2488</v>
      </c>
      <c r="C695">
        <v>2488</v>
      </c>
    </row>
    <row r="696" spans="1:3" x14ac:dyDescent="0.3">
      <c r="A696" s="18">
        <v>29.372693726937268</v>
      </c>
      <c r="B696">
        <v>2388</v>
      </c>
      <c r="C696">
        <v>2388</v>
      </c>
    </row>
    <row r="697" spans="1:3" x14ac:dyDescent="0.3">
      <c r="A697" s="18">
        <v>29.575638506876228</v>
      </c>
      <c r="B697">
        <v>2509</v>
      </c>
      <c r="C697">
        <v>2509</v>
      </c>
    </row>
    <row r="698" spans="1:3" x14ac:dyDescent="0.3">
      <c r="A698" s="18">
        <v>29.671232876712331</v>
      </c>
      <c r="B698">
        <v>2527</v>
      </c>
      <c r="C698">
        <v>2527</v>
      </c>
    </row>
    <row r="699" spans="1:3" x14ac:dyDescent="0.3">
      <c r="A699" s="17">
        <v>48</v>
      </c>
      <c r="B699">
        <v>84408</v>
      </c>
      <c r="C699">
        <v>84408</v>
      </c>
    </row>
    <row r="700" spans="1:3" x14ac:dyDescent="0.3">
      <c r="A700" s="18">
        <v>27.257830788094971</v>
      </c>
      <c r="B700">
        <v>8151</v>
      </c>
      <c r="C700">
        <v>8151</v>
      </c>
    </row>
    <row r="701" spans="1:3" x14ac:dyDescent="0.3">
      <c r="A701" s="18">
        <v>27.797400866377874</v>
      </c>
      <c r="B701">
        <v>8342</v>
      </c>
      <c r="C701">
        <v>8342</v>
      </c>
    </row>
    <row r="702" spans="1:3" x14ac:dyDescent="0.3">
      <c r="A702" s="18">
        <v>27.824999999999999</v>
      </c>
      <c r="B702">
        <v>8162</v>
      </c>
      <c r="C702">
        <v>8162</v>
      </c>
    </row>
    <row r="703" spans="1:3" x14ac:dyDescent="0.3">
      <c r="A703" s="18">
        <v>27.849113165126155</v>
      </c>
      <c r="B703">
        <v>7432</v>
      </c>
      <c r="C703">
        <v>7432</v>
      </c>
    </row>
    <row r="704" spans="1:3" x14ac:dyDescent="0.3">
      <c r="A704" s="18">
        <v>28.017561634582911</v>
      </c>
      <c r="B704">
        <v>8296</v>
      </c>
      <c r="C704">
        <v>8296</v>
      </c>
    </row>
    <row r="705" spans="1:3" x14ac:dyDescent="0.3">
      <c r="A705" s="18">
        <v>28.050891242572977</v>
      </c>
      <c r="B705">
        <v>7239</v>
      </c>
      <c r="C705">
        <v>7239</v>
      </c>
    </row>
    <row r="706" spans="1:3" x14ac:dyDescent="0.3">
      <c r="A706" s="18">
        <v>28.125424496264433</v>
      </c>
      <c r="B706">
        <v>8282</v>
      </c>
      <c r="C706">
        <v>8282</v>
      </c>
    </row>
    <row r="707" spans="1:3" x14ac:dyDescent="0.3">
      <c r="A707" s="18">
        <v>28.181705503222609</v>
      </c>
      <c r="B707">
        <v>7579</v>
      </c>
      <c r="C707">
        <v>7579</v>
      </c>
    </row>
    <row r="708" spans="1:3" x14ac:dyDescent="0.3">
      <c r="A708" s="18">
        <v>28.323980546202769</v>
      </c>
      <c r="B708">
        <v>7571</v>
      </c>
      <c r="C708">
        <v>7571</v>
      </c>
    </row>
    <row r="709" spans="1:3" x14ac:dyDescent="0.3">
      <c r="A709" s="18">
        <v>29.069264069264069</v>
      </c>
      <c r="B709">
        <v>2686</v>
      </c>
      <c r="C709">
        <v>2686</v>
      </c>
    </row>
    <row r="710" spans="1:3" x14ac:dyDescent="0.3">
      <c r="A710" s="18">
        <v>29.093254699594546</v>
      </c>
      <c r="B710">
        <v>2631</v>
      </c>
      <c r="C710">
        <v>2631</v>
      </c>
    </row>
    <row r="711" spans="1:3" x14ac:dyDescent="0.3">
      <c r="A711" s="18">
        <v>29.147966339410942</v>
      </c>
      <c r="B711">
        <v>2771</v>
      </c>
      <c r="C711">
        <v>2771</v>
      </c>
    </row>
    <row r="712" spans="1:3" x14ac:dyDescent="0.3">
      <c r="A712" s="18">
        <v>29.23431407302375</v>
      </c>
      <c r="B712">
        <v>2749</v>
      </c>
      <c r="C712">
        <v>2749</v>
      </c>
    </row>
    <row r="713" spans="1:3" x14ac:dyDescent="0.3">
      <c r="A713" s="18">
        <v>29.62338171832091</v>
      </c>
      <c r="B713">
        <v>2517</v>
      </c>
      <c r="C713">
        <v>2517</v>
      </c>
    </row>
    <row r="714" spans="1:3" x14ac:dyDescent="0.3">
      <c r="A714" s="17">
        <v>49</v>
      </c>
      <c r="B714">
        <v>92602</v>
      </c>
      <c r="C714">
        <v>92602</v>
      </c>
    </row>
    <row r="715" spans="1:3" x14ac:dyDescent="0.3">
      <c r="A715" s="18">
        <v>26.98284914245712</v>
      </c>
      <c r="B715">
        <v>7709</v>
      </c>
      <c r="C715">
        <v>7709</v>
      </c>
    </row>
    <row r="716" spans="1:3" x14ac:dyDescent="0.3">
      <c r="A716" s="18">
        <v>27.188902958443652</v>
      </c>
      <c r="B716">
        <v>7873</v>
      </c>
      <c r="C716">
        <v>7873</v>
      </c>
    </row>
    <row r="717" spans="1:3" x14ac:dyDescent="0.3">
      <c r="A717" s="18">
        <v>27.648902821316614</v>
      </c>
      <c r="B717">
        <v>7938</v>
      </c>
      <c r="C717">
        <v>7938</v>
      </c>
    </row>
    <row r="718" spans="1:3" x14ac:dyDescent="0.3">
      <c r="A718" s="18">
        <v>27.662520535085658</v>
      </c>
      <c r="B718">
        <v>7858</v>
      </c>
      <c r="C718">
        <v>7858</v>
      </c>
    </row>
    <row r="719" spans="1:3" x14ac:dyDescent="0.3">
      <c r="A719" s="18">
        <v>27.837140751658069</v>
      </c>
      <c r="B719">
        <v>7555</v>
      </c>
      <c r="C719">
        <v>7555</v>
      </c>
    </row>
    <row r="720" spans="1:3" x14ac:dyDescent="0.3">
      <c r="A720" s="18">
        <v>27.957313081052767</v>
      </c>
      <c r="B720">
        <v>7117</v>
      </c>
      <c r="C720">
        <v>7117</v>
      </c>
    </row>
    <row r="721" spans="1:3" x14ac:dyDescent="0.3">
      <c r="A721" s="18">
        <v>28.102576747626678</v>
      </c>
      <c r="B721">
        <v>7598</v>
      </c>
      <c r="C721">
        <v>7598</v>
      </c>
    </row>
    <row r="722" spans="1:3" x14ac:dyDescent="0.3">
      <c r="A722" s="18">
        <v>28.179419525065963</v>
      </c>
      <c r="B722">
        <v>8188</v>
      </c>
      <c r="C722">
        <v>8188</v>
      </c>
    </row>
    <row r="723" spans="1:3" x14ac:dyDescent="0.3">
      <c r="A723" s="18">
        <v>28.347338935574228</v>
      </c>
      <c r="B723">
        <v>3036</v>
      </c>
      <c r="C723">
        <v>3036</v>
      </c>
    </row>
    <row r="724" spans="1:3" x14ac:dyDescent="0.3">
      <c r="A724" s="18">
        <v>28.720997679814385</v>
      </c>
      <c r="B724">
        <v>3301</v>
      </c>
      <c r="C724">
        <v>3301</v>
      </c>
    </row>
    <row r="725" spans="1:3" x14ac:dyDescent="0.3">
      <c r="A725" s="18">
        <v>28.73722188815394</v>
      </c>
      <c r="B725">
        <v>3186</v>
      </c>
      <c r="C725">
        <v>3186</v>
      </c>
    </row>
    <row r="726" spans="1:3" x14ac:dyDescent="0.3">
      <c r="A726" s="18">
        <v>28.837772397094433</v>
      </c>
      <c r="B726">
        <v>2779</v>
      </c>
      <c r="C726">
        <v>2779</v>
      </c>
    </row>
    <row r="727" spans="1:3" x14ac:dyDescent="0.3">
      <c r="A727" s="18">
        <v>28.874890125988866</v>
      </c>
      <c r="B727">
        <v>3285</v>
      </c>
      <c r="C727">
        <v>3285</v>
      </c>
    </row>
    <row r="728" spans="1:3" x14ac:dyDescent="0.3">
      <c r="A728" s="18">
        <v>29.15525703952467</v>
      </c>
      <c r="B728">
        <v>7524</v>
      </c>
      <c r="C728">
        <v>7524</v>
      </c>
    </row>
    <row r="729" spans="1:3" x14ac:dyDescent="0.3">
      <c r="A729" s="18">
        <v>29.161904761904761</v>
      </c>
      <c r="B729">
        <v>7655</v>
      </c>
      <c r="C729">
        <v>7655</v>
      </c>
    </row>
    <row r="730" spans="1:3" x14ac:dyDescent="0.3">
      <c r="A730" s="17">
        <v>50</v>
      </c>
      <c r="B730">
        <v>95278</v>
      </c>
      <c r="C730">
        <v>95278</v>
      </c>
    </row>
    <row r="731" spans="1:3" x14ac:dyDescent="0.3">
      <c r="A731" s="18">
        <v>26.861217641418982</v>
      </c>
      <c r="B731">
        <v>7471</v>
      </c>
      <c r="C731">
        <v>7471</v>
      </c>
    </row>
    <row r="732" spans="1:3" x14ac:dyDescent="0.3">
      <c r="A732" s="18">
        <v>27.18562168532705</v>
      </c>
      <c r="B732">
        <v>7689</v>
      </c>
      <c r="C732">
        <v>7689</v>
      </c>
    </row>
    <row r="733" spans="1:3" x14ac:dyDescent="0.3">
      <c r="A733" s="18">
        <v>27.417149478563154</v>
      </c>
      <c r="B733">
        <v>7887</v>
      </c>
      <c r="C733">
        <v>7887</v>
      </c>
    </row>
    <row r="734" spans="1:3" x14ac:dyDescent="0.3">
      <c r="A734" s="18">
        <v>27.452626529143679</v>
      </c>
      <c r="B734">
        <v>7630</v>
      </c>
      <c r="C734">
        <v>7630</v>
      </c>
    </row>
    <row r="735" spans="1:3" x14ac:dyDescent="0.3">
      <c r="A735" s="18">
        <v>27.765882352941176</v>
      </c>
      <c r="B735">
        <v>7867</v>
      </c>
      <c r="C735">
        <v>7867</v>
      </c>
    </row>
    <row r="736" spans="1:3" x14ac:dyDescent="0.3">
      <c r="A736" s="18">
        <v>28.373751783166906</v>
      </c>
      <c r="B736">
        <v>3315</v>
      </c>
      <c r="C736">
        <v>3315</v>
      </c>
    </row>
    <row r="737" spans="1:3" x14ac:dyDescent="0.3">
      <c r="A737" s="18">
        <v>28.47919293820933</v>
      </c>
      <c r="B737">
        <v>3764</v>
      </c>
      <c r="C737">
        <v>3764</v>
      </c>
    </row>
    <row r="738" spans="1:3" x14ac:dyDescent="0.3">
      <c r="A738" s="18">
        <v>28.57969489742241</v>
      </c>
      <c r="B738">
        <v>7244</v>
      </c>
      <c r="C738">
        <v>7244</v>
      </c>
    </row>
    <row r="739" spans="1:3" x14ac:dyDescent="0.3">
      <c r="A739" s="18">
        <v>28.718557190317988</v>
      </c>
      <c r="B739">
        <v>4034</v>
      </c>
      <c r="C739">
        <v>4034</v>
      </c>
    </row>
    <row r="740" spans="1:3" x14ac:dyDescent="0.3">
      <c r="A740" s="18">
        <v>28.817790167257982</v>
      </c>
      <c r="B740">
        <v>7581</v>
      </c>
      <c r="C740">
        <v>7581</v>
      </c>
    </row>
    <row r="741" spans="1:3" x14ac:dyDescent="0.3">
      <c r="A741" s="18">
        <v>28.906020558002936</v>
      </c>
      <c r="B741">
        <v>3937</v>
      </c>
      <c r="C741">
        <v>3937</v>
      </c>
    </row>
    <row r="742" spans="1:3" x14ac:dyDescent="0.3">
      <c r="A742" s="18">
        <v>28.914354644149576</v>
      </c>
      <c r="B742">
        <v>3995</v>
      </c>
      <c r="C742">
        <v>3995</v>
      </c>
    </row>
    <row r="743" spans="1:3" x14ac:dyDescent="0.3">
      <c r="A743" s="18">
        <v>29.005671077504726</v>
      </c>
      <c r="B743">
        <v>7672</v>
      </c>
      <c r="C743">
        <v>7672</v>
      </c>
    </row>
    <row r="744" spans="1:3" x14ac:dyDescent="0.3">
      <c r="A744" s="18">
        <v>29.038091573682188</v>
      </c>
      <c r="B744">
        <v>7547</v>
      </c>
      <c r="C744">
        <v>7547</v>
      </c>
    </row>
    <row r="745" spans="1:3" x14ac:dyDescent="0.3">
      <c r="A745" s="18">
        <v>29.257558362035972</v>
      </c>
      <c r="B745">
        <v>7645</v>
      </c>
      <c r="C745">
        <v>7645</v>
      </c>
    </row>
    <row r="746" spans="1:3" x14ac:dyDescent="0.3">
      <c r="A746" s="17">
        <v>51</v>
      </c>
      <c r="B746">
        <v>97514</v>
      </c>
      <c r="C746">
        <v>97514</v>
      </c>
    </row>
    <row r="747" spans="1:3" x14ac:dyDescent="0.3">
      <c r="A747" s="18">
        <v>27.951821813339787</v>
      </c>
      <c r="B747">
        <v>7697</v>
      </c>
      <c r="C747">
        <v>7697</v>
      </c>
    </row>
    <row r="748" spans="1:3" x14ac:dyDescent="0.3">
      <c r="A748" s="18">
        <v>28.272195005376986</v>
      </c>
      <c r="B748">
        <v>7887</v>
      </c>
      <c r="C748">
        <v>7887</v>
      </c>
    </row>
    <row r="749" spans="1:3" x14ac:dyDescent="0.3">
      <c r="A749" s="18">
        <v>28.317925321167007</v>
      </c>
      <c r="B749">
        <v>7862</v>
      </c>
      <c r="C749">
        <v>7862</v>
      </c>
    </row>
    <row r="750" spans="1:3" x14ac:dyDescent="0.3">
      <c r="A750" s="18">
        <v>28.371388630009321</v>
      </c>
      <c r="B750">
        <v>4059</v>
      </c>
      <c r="C750">
        <v>4059</v>
      </c>
    </row>
    <row r="751" spans="1:3" x14ac:dyDescent="0.3">
      <c r="A751" s="18">
        <v>28.409284497444634</v>
      </c>
      <c r="B751">
        <v>4447</v>
      </c>
      <c r="C751">
        <v>4447</v>
      </c>
    </row>
    <row r="752" spans="1:3" x14ac:dyDescent="0.3">
      <c r="A752" s="18">
        <v>28.43363463368221</v>
      </c>
      <c r="B752">
        <v>7969</v>
      </c>
      <c r="C752">
        <v>7969</v>
      </c>
    </row>
    <row r="753" spans="1:3" x14ac:dyDescent="0.3">
      <c r="A753" s="18">
        <v>28.454583683767872</v>
      </c>
      <c r="B753">
        <v>4511</v>
      </c>
      <c r="C753">
        <v>4511</v>
      </c>
    </row>
    <row r="754" spans="1:3" x14ac:dyDescent="0.3">
      <c r="A754" s="18">
        <v>28.611148064387386</v>
      </c>
      <c r="B754">
        <v>7169</v>
      </c>
      <c r="C754">
        <v>7169</v>
      </c>
    </row>
    <row r="755" spans="1:3" x14ac:dyDescent="0.3">
      <c r="A755" s="18">
        <v>28.621718377088303</v>
      </c>
      <c r="B755">
        <v>7995</v>
      </c>
      <c r="C755">
        <v>7995</v>
      </c>
    </row>
    <row r="756" spans="1:3" x14ac:dyDescent="0.3">
      <c r="A756" s="18">
        <v>28.845349323664763</v>
      </c>
      <c r="B756">
        <v>6895</v>
      </c>
      <c r="C756">
        <v>6895</v>
      </c>
    </row>
    <row r="757" spans="1:3" x14ac:dyDescent="0.3">
      <c r="A757" s="18">
        <v>28.878271707519733</v>
      </c>
      <c r="B757">
        <v>4634</v>
      </c>
      <c r="C757">
        <v>4634</v>
      </c>
    </row>
    <row r="758" spans="1:3" x14ac:dyDescent="0.3">
      <c r="A758" s="18">
        <v>29.054570259208731</v>
      </c>
      <c r="B758">
        <v>7099</v>
      </c>
      <c r="C758">
        <v>7099</v>
      </c>
    </row>
    <row r="759" spans="1:3" x14ac:dyDescent="0.3">
      <c r="A759" s="18">
        <v>29.129096989966555</v>
      </c>
      <c r="B759">
        <v>7258</v>
      </c>
      <c r="C759">
        <v>7258</v>
      </c>
    </row>
    <row r="760" spans="1:3" x14ac:dyDescent="0.3">
      <c r="A760" s="18">
        <v>29.198412698412699</v>
      </c>
      <c r="B760">
        <v>7358</v>
      </c>
      <c r="C760">
        <v>7358</v>
      </c>
    </row>
    <row r="761" spans="1:3" x14ac:dyDescent="0.3">
      <c r="A761" s="18">
        <v>29.261268781302171</v>
      </c>
      <c r="B761">
        <v>4674</v>
      </c>
      <c r="C761">
        <v>4674</v>
      </c>
    </row>
    <row r="762" spans="1:3" x14ac:dyDescent="0.3">
      <c r="A762" s="17">
        <v>52</v>
      </c>
      <c r="B762">
        <v>63583</v>
      </c>
      <c r="C762">
        <v>63583</v>
      </c>
    </row>
    <row r="763" spans="1:3" x14ac:dyDescent="0.3">
      <c r="A763" s="18">
        <v>27.783653119806619</v>
      </c>
      <c r="B763">
        <v>6130</v>
      </c>
      <c r="C763">
        <v>6130</v>
      </c>
    </row>
    <row r="764" spans="1:3" x14ac:dyDescent="0.3">
      <c r="A764" s="18">
        <v>27.902304510537721</v>
      </c>
      <c r="B764">
        <v>4722</v>
      </c>
      <c r="C764">
        <v>4722</v>
      </c>
    </row>
    <row r="765" spans="1:3" x14ac:dyDescent="0.3">
      <c r="A765" s="18">
        <v>27.94142259414226</v>
      </c>
      <c r="B765">
        <v>4452</v>
      </c>
      <c r="C765">
        <v>4452</v>
      </c>
    </row>
    <row r="766" spans="1:3" x14ac:dyDescent="0.3">
      <c r="A766" s="18">
        <v>27.955631817624706</v>
      </c>
      <c r="B766">
        <v>7603</v>
      </c>
      <c r="C766">
        <v>7603</v>
      </c>
    </row>
    <row r="767" spans="1:3" x14ac:dyDescent="0.3">
      <c r="A767" s="18">
        <v>28.006075334143375</v>
      </c>
      <c r="B767">
        <v>7683</v>
      </c>
      <c r="C767">
        <v>7683</v>
      </c>
    </row>
    <row r="768" spans="1:3" x14ac:dyDescent="0.3">
      <c r="A768" s="18">
        <v>28.069101678183614</v>
      </c>
      <c r="B768">
        <v>4739</v>
      </c>
      <c r="C768">
        <v>4739</v>
      </c>
    </row>
    <row r="769" spans="1:3" x14ac:dyDescent="0.3">
      <c r="A769" s="18">
        <v>28.075897187196897</v>
      </c>
      <c r="B769">
        <v>7719</v>
      </c>
      <c r="C769">
        <v>7719</v>
      </c>
    </row>
    <row r="770" spans="1:3" x14ac:dyDescent="0.3">
      <c r="A770" s="18">
        <v>28.29900654228253</v>
      </c>
      <c r="B770">
        <v>7786</v>
      </c>
      <c r="C770">
        <v>7786</v>
      </c>
    </row>
    <row r="771" spans="1:3" x14ac:dyDescent="0.3">
      <c r="A771" s="18">
        <v>28.447156071639441</v>
      </c>
      <c r="B771">
        <v>4818</v>
      </c>
      <c r="C771">
        <v>4818</v>
      </c>
    </row>
    <row r="772" spans="1:3" x14ac:dyDescent="0.3">
      <c r="A772" s="18">
        <v>28.457122353785433</v>
      </c>
      <c r="B772">
        <v>7931</v>
      </c>
      <c r="C772">
        <v>7931</v>
      </c>
    </row>
    <row r="773" spans="1:3" x14ac:dyDescent="0.3">
      <c r="A773" s="17">
        <v>53</v>
      </c>
      <c r="B773">
        <v>15744</v>
      </c>
      <c r="C773">
        <v>15744</v>
      </c>
    </row>
    <row r="774" spans="1:3" x14ac:dyDescent="0.3">
      <c r="A774" s="18">
        <v>28.935196636161269</v>
      </c>
      <c r="B774">
        <v>7799</v>
      </c>
      <c r="C774">
        <v>7799</v>
      </c>
    </row>
    <row r="775" spans="1:3" x14ac:dyDescent="0.3">
      <c r="A775" s="18">
        <v>29.131019310681985</v>
      </c>
      <c r="B775">
        <v>7945</v>
      </c>
      <c r="C775">
        <v>7945</v>
      </c>
    </row>
    <row r="776" spans="1:3" x14ac:dyDescent="0.3">
      <c r="A776" s="17" t="s">
        <v>13</v>
      </c>
      <c r="B776">
        <v>4239265</v>
      </c>
      <c r="C776">
        <v>4239265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0C2C-94E8-493B-AA63-4827A6E731A9}">
  <dimension ref="A3:D9"/>
  <sheetViews>
    <sheetView workbookViewId="0">
      <selection activeCell="D1" sqref="D1:D1048576"/>
    </sheetView>
  </sheetViews>
  <sheetFormatPr defaultRowHeight="14.4" x14ac:dyDescent="0.3"/>
  <cols>
    <col min="1" max="1" width="12.77734375" bestFit="1" customWidth="1"/>
    <col min="2" max="2" width="23.6640625" bestFit="1" customWidth="1"/>
    <col min="3" max="3" width="13.77734375" bestFit="1" customWidth="1"/>
    <col min="4" max="4" width="26.33203125" style="13" bestFit="1" customWidth="1"/>
  </cols>
  <sheetData>
    <row r="3" spans="1:4" x14ac:dyDescent="0.3">
      <c r="A3" s="6" t="s">
        <v>12</v>
      </c>
      <c r="B3" t="s">
        <v>48</v>
      </c>
      <c r="C3" t="s">
        <v>49</v>
      </c>
      <c r="D3" s="13" t="s">
        <v>50</v>
      </c>
    </row>
    <row r="4" spans="1:4" x14ac:dyDescent="0.3">
      <c r="A4" s="7" t="s">
        <v>14</v>
      </c>
    </row>
    <row r="5" spans="1:4" x14ac:dyDescent="0.3">
      <c r="A5" s="7" t="s">
        <v>31</v>
      </c>
      <c r="B5">
        <v>172</v>
      </c>
      <c r="C5">
        <v>172</v>
      </c>
      <c r="D5" s="13">
        <v>3.8513634019032748</v>
      </c>
    </row>
    <row r="6" spans="1:4" x14ac:dyDescent="0.3">
      <c r="A6" s="7" t="s">
        <v>32</v>
      </c>
      <c r="B6">
        <v>185</v>
      </c>
      <c r="C6">
        <v>185</v>
      </c>
      <c r="D6" s="13">
        <v>3.9211489974500662</v>
      </c>
    </row>
    <row r="7" spans="1:4" x14ac:dyDescent="0.3">
      <c r="A7" s="7" t="s">
        <v>33</v>
      </c>
      <c r="B7">
        <v>185</v>
      </c>
      <c r="C7">
        <v>185</v>
      </c>
      <c r="D7" s="13">
        <v>4.1659411638768002</v>
      </c>
    </row>
    <row r="8" spans="1:4" x14ac:dyDescent="0.3">
      <c r="A8" s="7" t="s">
        <v>34</v>
      </c>
      <c r="B8">
        <v>178</v>
      </c>
      <c r="C8">
        <v>178</v>
      </c>
      <c r="D8" s="13">
        <v>4.6714696735404626</v>
      </c>
    </row>
    <row r="9" spans="1:4" x14ac:dyDescent="0.3">
      <c r="A9" s="7" t="s">
        <v>13</v>
      </c>
      <c r="B9">
        <v>720</v>
      </c>
      <c r="C9">
        <v>720</v>
      </c>
      <c r="D9" s="13">
        <v>16.609923236770609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C700E-0C37-40AA-9CD7-127C98593893}">
  <dimension ref="A1:T721"/>
  <sheetViews>
    <sheetView tabSelected="1" topLeftCell="A55" workbookViewId="0">
      <selection activeCell="S55" sqref="S1:S1048576"/>
    </sheetView>
  </sheetViews>
  <sheetFormatPr defaultRowHeight="14.4" x14ac:dyDescent="0.3"/>
  <cols>
    <col min="1" max="1" width="10.5546875" style="4" bestFit="1" customWidth="1"/>
    <col min="2" max="4" width="8.88671875" style="2"/>
    <col min="7" max="7" width="8.88671875" style="2"/>
    <col min="9" max="9" width="8.88671875" style="13"/>
    <col min="11" max="13" width="8.88671875" style="13"/>
    <col min="14" max="14" width="9" customWidth="1"/>
    <col min="16" max="17" width="8.88671875" style="13"/>
    <col min="18" max="18" width="8.88671875" style="15"/>
    <col min="19" max="19" width="8.88671875" style="13"/>
    <col min="20" max="20" width="27.88671875" bestFit="1" customWidth="1"/>
  </cols>
  <sheetData>
    <row r="1" spans="1:20" x14ac:dyDescent="0.3">
      <c r="A1" s="3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1" t="s">
        <v>6</v>
      </c>
      <c r="H1" s="5" t="s">
        <v>7</v>
      </c>
      <c r="I1" s="12" t="s">
        <v>8</v>
      </c>
      <c r="J1" s="5" t="s">
        <v>9</v>
      </c>
      <c r="K1" s="12" t="s">
        <v>24</v>
      </c>
      <c r="L1" s="12" t="s">
        <v>10</v>
      </c>
      <c r="M1" s="12" t="s">
        <v>22</v>
      </c>
      <c r="N1" s="5" t="s">
        <v>11</v>
      </c>
      <c r="O1" s="5" t="s">
        <v>21</v>
      </c>
      <c r="P1" s="12" t="s">
        <v>25</v>
      </c>
      <c r="Q1" s="12" t="s">
        <v>26</v>
      </c>
      <c r="R1" s="14" t="s">
        <v>27</v>
      </c>
      <c r="S1" s="12" t="s">
        <v>47</v>
      </c>
    </row>
    <row r="2" spans="1:20" x14ac:dyDescent="0.3">
      <c r="A2" s="4">
        <v>44938</v>
      </c>
      <c r="B2" s="2">
        <v>6</v>
      </c>
      <c r="C2" s="2">
        <v>18</v>
      </c>
      <c r="D2" s="2">
        <v>11</v>
      </c>
      <c r="E2">
        <v>2484</v>
      </c>
      <c r="F2">
        <v>14</v>
      </c>
      <c r="G2" s="2">
        <f>C2+E2</f>
        <v>2502</v>
      </c>
      <c r="H2">
        <f>E2-F2</f>
        <v>2470</v>
      </c>
      <c r="I2" s="13">
        <f>(H3-H2)/H2</f>
        <v>-5.6680161943319842E-3</v>
      </c>
      <c r="J2" t="str">
        <f>IF(I2&gt;0,"Backlog","No Backlog")</f>
        <v>No Backlog</v>
      </c>
      <c r="K2" s="13">
        <f>H2/G2</f>
        <v>0.98721023181454837</v>
      </c>
      <c r="L2" s="13">
        <f>K2*7</f>
        <v>6.9104716227018388</v>
      </c>
      <c r="M2" s="13">
        <f>K2*30</f>
        <v>29.61630695443645</v>
      </c>
      <c r="N2" t="b">
        <f>IF(D2&lt;C2,F2&lt;E2)</f>
        <v>1</v>
      </c>
      <c r="O2">
        <f>WEEKNUM(A2)</f>
        <v>2</v>
      </c>
      <c r="P2" s="13">
        <f>AVERAGE(K2,K8)</f>
        <v>0.98213168595558331</v>
      </c>
      <c r="Q2" s="13">
        <f>AVERAGE(K2,K14)</f>
        <v>0.98564917955476505</v>
      </c>
      <c r="R2" s="15" t="b">
        <f>IF(I2&gt;0,"STRAIN")</f>
        <v>0</v>
      </c>
      <c r="S2" s="13">
        <f>F2/G2</f>
        <v>5.5955235811350921E-3</v>
      </c>
    </row>
    <row r="3" spans="1:20" x14ac:dyDescent="0.3">
      <c r="A3" s="4">
        <v>44948</v>
      </c>
      <c r="B3" s="2">
        <v>11</v>
      </c>
      <c r="C3" s="2">
        <v>50</v>
      </c>
      <c r="D3" s="2">
        <v>6</v>
      </c>
      <c r="E3">
        <v>2472</v>
      </c>
      <c r="F3">
        <v>16</v>
      </c>
      <c r="G3" s="2">
        <f t="shared" ref="G3:G66" si="0">C3+E3</f>
        <v>2522</v>
      </c>
      <c r="H3">
        <f t="shared" ref="H3:H66" si="1">E3-F3</f>
        <v>2456</v>
      </c>
      <c r="I3" s="13">
        <f t="shared" ref="I3:I66" si="2">(H4-H3)/H3</f>
        <v>6.1074918566775245E-3</v>
      </c>
      <c r="J3" t="str">
        <f t="shared" ref="J3:J66" si="3">IF(I3&gt;0,"Backlog","No Backlog")</f>
        <v>Backlog</v>
      </c>
      <c r="K3" s="13">
        <f t="shared" ref="K3:K66" si="4">H3/G3</f>
        <v>0.97383029341792227</v>
      </c>
      <c r="L3" s="13">
        <f t="shared" ref="L3:L66" si="5">K3*7</f>
        <v>6.8168120539254557</v>
      </c>
      <c r="M3" s="13">
        <f t="shared" ref="M3:M66" si="6">K3*30</f>
        <v>29.214908802537668</v>
      </c>
      <c r="N3" t="b">
        <f t="shared" ref="N3:N66" si="7">IF(D3&lt;C3,F3&lt;E3)</f>
        <v>1</v>
      </c>
      <c r="O3">
        <f t="shared" ref="O3:O66" si="8">WEEKNUM(A3)</f>
        <v>4</v>
      </c>
      <c r="P3" s="13">
        <f t="shared" ref="P3:P66" si="9">AVERAGE(K3,K9)</f>
        <v>0.97427976764758928</v>
      </c>
      <c r="Q3" s="13">
        <f t="shared" ref="Q3:Q66" si="10">AVERAGE(K3,K15)</f>
        <v>0.97831211516451222</v>
      </c>
      <c r="R3" s="15" t="str">
        <f t="shared" ref="R3:R66" si="11">IF(I3&gt;0,"STRAIN")</f>
        <v>STRAIN</v>
      </c>
      <c r="S3" s="13">
        <f t="shared" ref="S3:S66" si="12">F3/G3</f>
        <v>6.3441712926249009E-3</v>
      </c>
    </row>
    <row r="4" spans="1:20" ht="17.399999999999999" x14ac:dyDescent="0.45">
      <c r="A4" s="4">
        <v>44949</v>
      </c>
      <c r="B4" s="2">
        <v>7</v>
      </c>
      <c r="C4" s="2">
        <v>31</v>
      </c>
      <c r="D4" s="2">
        <v>11</v>
      </c>
      <c r="E4">
        <v>2481</v>
      </c>
      <c r="F4">
        <v>10</v>
      </c>
      <c r="G4" s="2">
        <f t="shared" si="0"/>
        <v>2512</v>
      </c>
      <c r="H4">
        <f t="shared" si="1"/>
        <v>2471</v>
      </c>
      <c r="I4" s="13">
        <f t="shared" si="2"/>
        <v>-4.8563334682314848E-3</v>
      </c>
      <c r="J4" t="str">
        <f t="shared" si="3"/>
        <v>No Backlog</v>
      </c>
      <c r="K4" s="13">
        <f t="shared" si="4"/>
        <v>0.98367834394904463</v>
      </c>
      <c r="L4" s="13">
        <f t="shared" si="5"/>
        <v>6.8857484076433124</v>
      </c>
      <c r="M4" s="13">
        <f t="shared" si="6"/>
        <v>29.510350318471339</v>
      </c>
      <c r="N4" t="b">
        <f t="shared" si="7"/>
        <v>1</v>
      </c>
      <c r="O4">
        <f t="shared" si="8"/>
        <v>4</v>
      </c>
      <c r="P4" s="13">
        <f t="shared" si="9"/>
        <v>0.98415619583218505</v>
      </c>
      <c r="Q4" s="13">
        <f t="shared" si="10"/>
        <v>0.9846552639285453</v>
      </c>
      <c r="R4" s="15" t="b">
        <f t="shared" si="11"/>
        <v>0</v>
      </c>
      <c r="S4" s="13">
        <f t="shared" si="12"/>
        <v>3.9808917197452229E-3</v>
      </c>
      <c r="T4" s="8" t="s">
        <v>28</v>
      </c>
    </row>
    <row r="5" spans="1:20" x14ac:dyDescent="0.3">
      <c r="A5" s="4">
        <v>44950</v>
      </c>
      <c r="B5" s="2">
        <v>8</v>
      </c>
      <c r="C5" s="2">
        <v>54</v>
      </c>
      <c r="D5" s="2">
        <v>15</v>
      </c>
      <c r="E5">
        <v>2468</v>
      </c>
      <c r="F5">
        <v>9</v>
      </c>
      <c r="G5" s="2">
        <f t="shared" si="0"/>
        <v>2522</v>
      </c>
      <c r="H5">
        <f t="shared" si="1"/>
        <v>2459</v>
      </c>
      <c r="I5" s="13">
        <f t="shared" si="2"/>
        <v>1.6266775111834079E-3</v>
      </c>
      <c r="J5" t="str">
        <f t="shared" si="3"/>
        <v>Backlog</v>
      </c>
      <c r="K5" s="13">
        <f t="shared" si="4"/>
        <v>0.97501982553528943</v>
      </c>
      <c r="L5" s="13">
        <f t="shared" si="5"/>
        <v>6.8251387787470259</v>
      </c>
      <c r="M5" s="13">
        <f t="shared" si="6"/>
        <v>29.250594766058683</v>
      </c>
      <c r="N5" t="b">
        <f t="shared" si="7"/>
        <v>1</v>
      </c>
      <c r="O5">
        <f t="shared" si="8"/>
        <v>4</v>
      </c>
      <c r="P5" s="13">
        <f t="shared" si="9"/>
        <v>0.98122697802909586</v>
      </c>
      <c r="Q5" s="13">
        <f t="shared" si="10"/>
        <v>0.98381077589958066</v>
      </c>
      <c r="R5" s="15" t="str">
        <f t="shared" si="11"/>
        <v>STRAIN</v>
      </c>
      <c r="S5" s="13">
        <f t="shared" si="12"/>
        <v>3.5685963521015066E-3</v>
      </c>
      <c r="T5" s="9">
        <f>_xlfn.STDEV.S(I:I)</f>
        <v>4.3389412568014103E-2</v>
      </c>
    </row>
    <row r="6" spans="1:20" x14ac:dyDescent="0.3">
      <c r="A6" s="4">
        <v>44951</v>
      </c>
      <c r="B6" s="2">
        <v>11</v>
      </c>
      <c r="C6" s="2">
        <v>42</v>
      </c>
      <c r="D6" s="2">
        <v>9</v>
      </c>
      <c r="E6">
        <v>2470</v>
      </c>
      <c r="F6">
        <v>7</v>
      </c>
      <c r="G6" s="2">
        <f t="shared" si="0"/>
        <v>2512</v>
      </c>
      <c r="H6">
        <f t="shared" si="1"/>
        <v>2463</v>
      </c>
      <c r="I6" s="13">
        <f t="shared" si="2"/>
        <v>-3.6540803897685747E-3</v>
      </c>
      <c r="J6" t="str">
        <f t="shared" si="3"/>
        <v>No Backlog</v>
      </c>
      <c r="K6" s="13">
        <f t="shared" si="4"/>
        <v>0.98049363057324845</v>
      </c>
      <c r="L6" s="13">
        <f t="shared" si="5"/>
        <v>6.8634554140127388</v>
      </c>
      <c r="M6" s="13">
        <f t="shared" si="6"/>
        <v>29.414808917197455</v>
      </c>
      <c r="N6" t="b">
        <f t="shared" si="7"/>
        <v>1</v>
      </c>
      <c r="O6">
        <f t="shared" si="8"/>
        <v>4</v>
      </c>
      <c r="P6" s="13">
        <f t="shared" si="9"/>
        <v>0.98290886176032988</v>
      </c>
      <c r="Q6" s="13">
        <f t="shared" si="10"/>
        <v>0.98382327612375642</v>
      </c>
      <c r="R6" s="15" t="b">
        <f t="shared" si="11"/>
        <v>0</v>
      </c>
      <c r="S6" s="13">
        <f t="shared" si="12"/>
        <v>2.7866242038216559E-3</v>
      </c>
    </row>
    <row r="7" spans="1:20" x14ac:dyDescent="0.3">
      <c r="A7" s="4">
        <v>44955</v>
      </c>
      <c r="B7" s="2">
        <v>8</v>
      </c>
      <c r="C7" s="2">
        <v>35</v>
      </c>
      <c r="D7" s="2">
        <v>4</v>
      </c>
      <c r="E7">
        <v>2462</v>
      </c>
      <c r="F7">
        <v>8</v>
      </c>
      <c r="G7" s="2">
        <f t="shared" si="0"/>
        <v>2497</v>
      </c>
      <c r="H7">
        <f t="shared" si="1"/>
        <v>2454</v>
      </c>
      <c r="I7" s="13">
        <f t="shared" si="2"/>
        <v>-1.1002444987775062E-2</v>
      </c>
      <c r="J7" t="str">
        <f t="shared" si="3"/>
        <v>No Backlog</v>
      </c>
      <c r="K7" s="13">
        <f t="shared" si="4"/>
        <v>0.9827793352022427</v>
      </c>
      <c r="L7" s="13">
        <f t="shared" si="5"/>
        <v>6.8794553464156989</v>
      </c>
      <c r="M7" s="13">
        <f t="shared" si="6"/>
        <v>29.483380056067283</v>
      </c>
      <c r="N7" t="b">
        <f t="shared" si="7"/>
        <v>1</v>
      </c>
      <c r="O7">
        <f t="shared" si="8"/>
        <v>5</v>
      </c>
      <c r="P7" s="13">
        <f t="shared" si="9"/>
        <v>0.98080765701911077</v>
      </c>
      <c r="Q7" s="13">
        <f t="shared" si="10"/>
        <v>0.9794160920437307</v>
      </c>
      <c r="R7" s="15" t="b">
        <f t="shared" si="11"/>
        <v>0</v>
      </c>
      <c r="S7" s="13">
        <f t="shared" si="12"/>
        <v>3.2038446135362435E-3</v>
      </c>
    </row>
    <row r="8" spans="1:20" x14ac:dyDescent="0.3">
      <c r="A8" s="4">
        <v>44956</v>
      </c>
      <c r="B8" s="2">
        <v>7</v>
      </c>
      <c r="C8" s="2">
        <v>47</v>
      </c>
      <c r="D8" s="2">
        <v>9</v>
      </c>
      <c r="E8">
        <v>2437</v>
      </c>
      <c r="F8">
        <v>10</v>
      </c>
      <c r="G8" s="2">
        <f t="shared" si="0"/>
        <v>2484</v>
      </c>
      <c r="H8">
        <f t="shared" si="1"/>
        <v>2427</v>
      </c>
      <c r="I8" s="13">
        <f t="shared" si="2"/>
        <v>1.2360939431396785E-3</v>
      </c>
      <c r="J8" t="str">
        <f t="shared" si="3"/>
        <v>Backlog</v>
      </c>
      <c r="K8" s="13">
        <f t="shared" si="4"/>
        <v>0.97705314009661837</v>
      </c>
      <c r="L8" s="13">
        <f t="shared" si="5"/>
        <v>6.8393719806763285</v>
      </c>
      <c r="M8" s="13">
        <f t="shared" si="6"/>
        <v>29.311594202898551</v>
      </c>
      <c r="N8" t="b">
        <f t="shared" si="7"/>
        <v>1</v>
      </c>
      <c r="O8">
        <f t="shared" si="8"/>
        <v>5</v>
      </c>
      <c r="P8" s="13">
        <f t="shared" si="9"/>
        <v>0.9805706336958</v>
      </c>
      <c r="Q8" s="13">
        <f t="shared" si="10"/>
        <v>0.97753528012711466</v>
      </c>
      <c r="R8" s="15" t="str">
        <f t="shared" si="11"/>
        <v>STRAIN</v>
      </c>
      <c r="S8" s="13">
        <f t="shared" si="12"/>
        <v>4.0257648953301124E-3</v>
      </c>
    </row>
    <row r="9" spans="1:20" x14ac:dyDescent="0.3">
      <c r="A9" s="4">
        <v>44957</v>
      </c>
      <c r="B9" s="2">
        <v>10</v>
      </c>
      <c r="C9" s="2">
        <v>54</v>
      </c>
      <c r="D9" s="2">
        <v>5</v>
      </c>
      <c r="E9">
        <v>2439</v>
      </c>
      <c r="F9">
        <v>9</v>
      </c>
      <c r="G9" s="2">
        <f t="shared" si="0"/>
        <v>2493</v>
      </c>
      <c r="H9">
        <f t="shared" si="1"/>
        <v>2430</v>
      </c>
      <c r="I9" s="13">
        <f t="shared" si="2"/>
        <v>2.05761316872428E-3</v>
      </c>
      <c r="J9" t="str">
        <f t="shared" si="3"/>
        <v>Backlog</v>
      </c>
      <c r="K9" s="13">
        <f t="shared" si="4"/>
        <v>0.97472924187725629</v>
      </c>
      <c r="L9" s="13">
        <f t="shared" si="5"/>
        <v>6.8231046931407944</v>
      </c>
      <c r="M9" s="13">
        <f t="shared" si="6"/>
        <v>29.241877256317689</v>
      </c>
      <c r="N9" t="b">
        <f t="shared" si="7"/>
        <v>1</v>
      </c>
      <c r="O9">
        <f t="shared" si="8"/>
        <v>5</v>
      </c>
      <c r="P9" s="13">
        <f t="shared" si="9"/>
        <v>0.97876158939417923</v>
      </c>
      <c r="Q9" s="13">
        <f t="shared" si="10"/>
        <v>0.97765788818356825</v>
      </c>
      <c r="R9" s="15" t="str">
        <f t="shared" si="11"/>
        <v>STRAIN</v>
      </c>
      <c r="S9" s="13">
        <f t="shared" si="12"/>
        <v>3.6101083032490976E-3</v>
      </c>
    </row>
    <row r="10" spans="1:20" x14ac:dyDescent="0.3">
      <c r="A10" s="4">
        <v>44958</v>
      </c>
      <c r="B10" s="2">
        <v>4</v>
      </c>
      <c r="C10" s="2">
        <v>30</v>
      </c>
      <c r="D10" s="2">
        <v>7</v>
      </c>
      <c r="E10">
        <v>2443</v>
      </c>
      <c r="F10">
        <v>8</v>
      </c>
      <c r="G10" s="2">
        <f t="shared" si="0"/>
        <v>2473</v>
      </c>
      <c r="H10">
        <f t="shared" si="1"/>
        <v>2435</v>
      </c>
      <c r="I10" s="13">
        <f t="shared" si="2"/>
        <v>4.1067761806981519E-4</v>
      </c>
      <c r="J10" t="str">
        <f t="shared" si="3"/>
        <v>Backlog</v>
      </c>
      <c r="K10" s="13">
        <f t="shared" si="4"/>
        <v>0.98463404771532548</v>
      </c>
      <c r="L10" s="13">
        <f t="shared" si="5"/>
        <v>6.8924383340072781</v>
      </c>
      <c r="M10" s="13">
        <f t="shared" si="6"/>
        <v>29.539021431459766</v>
      </c>
      <c r="N10" t="b">
        <f t="shared" si="7"/>
        <v>1</v>
      </c>
      <c r="O10">
        <f t="shared" si="8"/>
        <v>5</v>
      </c>
      <c r="P10" s="13">
        <f t="shared" si="9"/>
        <v>0.98513311581168572</v>
      </c>
      <c r="Q10" s="13">
        <f t="shared" si="10"/>
        <v>0.97854981484639869</v>
      </c>
      <c r="R10" s="15" t="str">
        <f t="shared" si="11"/>
        <v>STRAIN</v>
      </c>
      <c r="S10" s="13">
        <f t="shared" si="12"/>
        <v>3.234937323089365E-3</v>
      </c>
    </row>
    <row r="11" spans="1:20" x14ac:dyDescent="0.3">
      <c r="A11" s="4">
        <v>44959</v>
      </c>
      <c r="B11" s="2">
        <v>9</v>
      </c>
      <c r="C11" s="2">
        <v>27</v>
      </c>
      <c r="D11" s="2">
        <v>9</v>
      </c>
      <c r="E11">
        <v>2440</v>
      </c>
      <c r="F11">
        <v>4</v>
      </c>
      <c r="G11" s="2">
        <f t="shared" si="0"/>
        <v>2467</v>
      </c>
      <c r="H11">
        <f t="shared" si="1"/>
        <v>2436</v>
      </c>
      <c r="I11" s="13">
        <f t="shared" si="2"/>
        <v>-7.7996715927750411E-3</v>
      </c>
      <c r="J11" t="str">
        <f t="shared" si="3"/>
        <v>No Backlog</v>
      </c>
      <c r="K11" s="13">
        <f t="shared" si="4"/>
        <v>0.9874341305229023</v>
      </c>
      <c r="L11" s="13">
        <f t="shared" si="5"/>
        <v>6.9120389136603162</v>
      </c>
      <c r="M11" s="13">
        <f t="shared" si="6"/>
        <v>29.623023915687067</v>
      </c>
      <c r="N11" t="b">
        <f t="shared" si="7"/>
        <v>1</v>
      </c>
      <c r="O11">
        <f t="shared" si="8"/>
        <v>5</v>
      </c>
      <c r="P11" s="13">
        <f t="shared" si="9"/>
        <v>0.99001792839338698</v>
      </c>
      <c r="Q11" s="13">
        <f t="shared" si="10"/>
        <v>0.9848637768972015</v>
      </c>
      <c r="R11" s="15" t="b">
        <f t="shared" si="11"/>
        <v>0</v>
      </c>
      <c r="S11" s="13">
        <f t="shared" si="12"/>
        <v>1.6214025131738954E-3</v>
      </c>
    </row>
    <row r="12" spans="1:20" x14ac:dyDescent="0.3">
      <c r="A12" s="4">
        <v>44962</v>
      </c>
      <c r="B12" s="2">
        <v>4</v>
      </c>
      <c r="C12" s="2">
        <v>24</v>
      </c>
      <c r="D12" s="2">
        <v>13</v>
      </c>
      <c r="E12">
        <v>2429</v>
      </c>
      <c r="F12">
        <v>12</v>
      </c>
      <c r="G12" s="2">
        <f t="shared" si="0"/>
        <v>2453</v>
      </c>
      <c r="H12">
        <f t="shared" si="1"/>
        <v>2417</v>
      </c>
      <c r="I12" s="13">
        <f t="shared" si="2"/>
        <v>-4.9648324369052548E-3</v>
      </c>
      <c r="J12" t="str">
        <f t="shared" si="3"/>
        <v>No Backlog</v>
      </c>
      <c r="K12" s="13">
        <f t="shared" si="4"/>
        <v>0.9853240929474113</v>
      </c>
      <c r="L12" s="13">
        <f t="shared" si="5"/>
        <v>6.8972686506318794</v>
      </c>
      <c r="M12" s="13">
        <f t="shared" si="6"/>
        <v>29.559722788422338</v>
      </c>
      <c r="N12" t="b">
        <f t="shared" si="7"/>
        <v>1</v>
      </c>
      <c r="O12">
        <f t="shared" si="8"/>
        <v>6</v>
      </c>
      <c r="P12" s="13">
        <f t="shared" si="9"/>
        <v>0.98623850731083784</v>
      </c>
      <c r="Q12" s="13">
        <f t="shared" si="10"/>
        <v>0.98217106871457849</v>
      </c>
      <c r="R12" s="15" t="b">
        <f t="shared" si="11"/>
        <v>0</v>
      </c>
      <c r="S12" s="13">
        <f t="shared" si="12"/>
        <v>4.8919690175295554E-3</v>
      </c>
    </row>
    <row r="13" spans="1:20" x14ac:dyDescent="0.3">
      <c r="A13" s="4">
        <v>44963</v>
      </c>
      <c r="B13" s="2">
        <v>16</v>
      </c>
      <c r="C13" s="2">
        <v>39</v>
      </c>
      <c r="D13" s="2">
        <v>7</v>
      </c>
      <c r="E13">
        <v>2418</v>
      </c>
      <c r="F13">
        <v>13</v>
      </c>
      <c r="G13" s="2">
        <f t="shared" si="0"/>
        <v>2457</v>
      </c>
      <c r="H13">
        <f t="shared" si="1"/>
        <v>2405</v>
      </c>
      <c r="I13" s="13">
        <f t="shared" si="2"/>
        <v>2.9106029106029108E-3</v>
      </c>
      <c r="J13" t="str">
        <f t="shared" si="3"/>
        <v>Backlog</v>
      </c>
      <c r="K13" s="13">
        <f t="shared" si="4"/>
        <v>0.97883597883597884</v>
      </c>
      <c r="L13" s="13">
        <f t="shared" si="5"/>
        <v>6.8518518518518521</v>
      </c>
      <c r="M13" s="13">
        <f t="shared" si="6"/>
        <v>29.365079365079364</v>
      </c>
      <c r="N13" t="b">
        <f t="shared" si="7"/>
        <v>1</v>
      </c>
      <c r="O13">
        <f t="shared" si="8"/>
        <v>6</v>
      </c>
      <c r="P13" s="13">
        <f t="shared" si="9"/>
        <v>0.97744441386059888</v>
      </c>
      <c r="Q13" s="13">
        <f t="shared" si="10"/>
        <v>0.98037677831622316</v>
      </c>
      <c r="R13" s="15" t="str">
        <f t="shared" si="11"/>
        <v>STRAIN</v>
      </c>
      <c r="S13" s="13">
        <f t="shared" si="12"/>
        <v>5.2910052910052907E-3</v>
      </c>
    </row>
    <row r="14" spans="1:20" x14ac:dyDescent="0.3">
      <c r="A14" s="4">
        <v>44964</v>
      </c>
      <c r="B14" s="2">
        <v>4</v>
      </c>
      <c r="C14" s="2">
        <v>32</v>
      </c>
      <c r="D14" s="2">
        <v>8</v>
      </c>
      <c r="E14">
        <v>2419</v>
      </c>
      <c r="F14">
        <v>7</v>
      </c>
      <c r="G14" s="2">
        <f t="shared" si="0"/>
        <v>2451</v>
      </c>
      <c r="H14">
        <f t="shared" si="1"/>
        <v>2412</v>
      </c>
      <c r="I14" s="13">
        <f t="shared" si="2"/>
        <v>-5.3897180762852402E-3</v>
      </c>
      <c r="J14" t="str">
        <f t="shared" si="3"/>
        <v>No Backlog</v>
      </c>
      <c r="K14" s="13">
        <f t="shared" si="4"/>
        <v>0.98408812729498163</v>
      </c>
      <c r="L14" s="13">
        <f t="shared" si="5"/>
        <v>6.8886168910648715</v>
      </c>
      <c r="M14" s="13">
        <f t="shared" si="6"/>
        <v>29.522643818849449</v>
      </c>
      <c r="N14" t="b">
        <f t="shared" si="7"/>
        <v>1</v>
      </c>
      <c r="O14">
        <f t="shared" si="8"/>
        <v>6</v>
      </c>
      <c r="P14" s="13">
        <f t="shared" si="9"/>
        <v>0.98105277372629629</v>
      </c>
      <c r="Q14" s="13">
        <f t="shared" si="10"/>
        <v>0.98632856830456106</v>
      </c>
      <c r="R14" s="15" t="b">
        <f t="shared" si="11"/>
        <v>0</v>
      </c>
      <c r="S14" s="13">
        <f t="shared" si="12"/>
        <v>2.8559771521827824E-3</v>
      </c>
    </row>
    <row r="15" spans="1:20" x14ac:dyDescent="0.3">
      <c r="A15" s="4">
        <v>44965</v>
      </c>
      <c r="B15" s="2">
        <v>7</v>
      </c>
      <c r="C15" s="2">
        <v>34</v>
      </c>
      <c r="D15" s="2">
        <v>6</v>
      </c>
      <c r="E15">
        <v>2407</v>
      </c>
      <c r="F15">
        <v>8</v>
      </c>
      <c r="G15" s="2">
        <f t="shared" si="0"/>
        <v>2441</v>
      </c>
      <c r="H15">
        <f t="shared" si="1"/>
        <v>2399</v>
      </c>
      <c r="I15" s="13">
        <f t="shared" si="2"/>
        <v>8.3368070029178826E-4</v>
      </c>
      <c r="J15" t="str">
        <f t="shared" si="3"/>
        <v>Backlog</v>
      </c>
      <c r="K15" s="13">
        <f t="shared" si="4"/>
        <v>0.98279393691110206</v>
      </c>
      <c r="L15" s="13">
        <f t="shared" si="5"/>
        <v>6.879557558377714</v>
      </c>
      <c r="M15" s="13">
        <f t="shared" si="6"/>
        <v>29.483818107333061</v>
      </c>
      <c r="N15" t="b">
        <f t="shared" si="7"/>
        <v>1</v>
      </c>
      <c r="O15">
        <f t="shared" si="8"/>
        <v>6</v>
      </c>
      <c r="P15" s="13">
        <f t="shared" si="9"/>
        <v>0.98169023570049108</v>
      </c>
      <c r="Q15" s="13">
        <f t="shared" si="10"/>
        <v>0.98478151817812898</v>
      </c>
      <c r="R15" s="15" t="str">
        <f t="shared" si="11"/>
        <v>STRAIN</v>
      </c>
      <c r="S15" s="13">
        <f t="shared" si="12"/>
        <v>3.2773453502662844E-3</v>
      </c>
    </row>
    <row r="16" spans="1:20" x14ac:dyDescent="0.3">
      <c r="A16" s="4">
        <v>44966</v>
      </c>
      <c r="B16" s="2">
        <v>4</v>
      </c>
      <c r="C16" s="2">
        <v>26</v>
      </c>
      <c r="D16" s="2">
        <v>4</v>
      </c>
      <c r="E16">
        <v>2410</v>
      </c>
      <c r="F16">
        <v>9</v>
      </c>
      <c r="G16" s="2">
        <f t="shared" si="0"/>
        <v>2436</v>
      </c>
      <c r="H16">
        <f t="shared" si="1"/>
        <v>2401</v>
      </c>
      <c r="I16" s="13">
        <f t="shared" si="2"/>
        <v>5.8309037900874635E-3</v>
      </c>
      <c r="J16" t="str">
        <f t="shared" si="3"/>
        <v>Backlog</v>
      </c>
      <c r="K16" s="13">
        <f t="shared" si="4"/>
        <v>0.98563218390804597</v>
      </c>
      <c r="L16" s="13">
        <f t="shared" si="5"/>
        <v>6.8994252873563218</v>
      </c>
      <c r="M16" s="13">
        <f t="shared" si="6"/>
        <v>29.568965517241381</v>
      </c>
      <c r="N16" t="b">
        <f t="shared" si="7"/>
        <v>1</v>
      </c>
      <c r="O16">
        <f t="shared" si="8"/>
        <v>6</v>
      </c>
      <c r="P16" s="13">
        <f t="shared" si="9"/>
        <v>0.97904888294275882</v>
      </c>
      <c r="Q16" s="13">
        <f t="shared" si="10"/>
        <v>0.98111396429444853</v>
      </c>
      <c r="R16" s="15" t="str">
        <f t="shared" si="11"/>
        <v>STRAIN</v>
      </c>
      <c r="S16" s="13">
        <f t="shared" si="12"/>
        <v>3.6945812807881772E-3</v>
      </c>
    </row>
    <row r="17" spans="1:19" x14ac:dyDescent="0.3">
      <c r="A17" s="4">
        <v>44969</v>
      </c>
      <c r="B17" s="2">
        <v>4</v>
      </c>
      <c r="C17" s="2">
        <v>18</v>
      </c>
      <c r="D17" s="2">
        <v>10</v>
      </c>
      <c r="E17">
        <v>2415</v>
      </c>
      <c r="F17">
        <v>0</v>
      </c>
      <c r="G17" s="2">
        <f t="shared" si="0"/>
        <v>2433</v>
      </c>
      <c r="H17">
        <f t="shared" si="1"/>
        <v>2415</v>
      </c>
      <c r="I17" s="13">
        <f t="shared" si="2"/>
        <v>-1.3664596273291925E-2</v>
      </c>
      <c r="J17" t="str">
        <f t="shared" si="3"/>
        <v>No Backlog</v>
      </c>
      <c r="K17" s="13">
        <f t="shared" si="4"/>
        <v>0.99260172626387178</v>
      </c>
      <c r="L17" s="13">
        <f t="shared" si="5"/>
        <v>6.9482120838471024</v>
      </c>
      <c r="M17" s="13">
        <f t="shared" si="6"/>
        <v>29.778051787916155</v>
      </c>
      <c r="N17" t="b">
        <f t="shared" si="7"/>
        <v>1</v>
      </c>
      <c r="O17">
        <f t="shared" si="8"/>
        <v>7</v>
      </c>
      <c r="P17" s="13">
        <f t="shared" si="9"/>
        <v>0.9874475747676863</v>
      </c>
      <c r="Q17" s="13">
        <f t="shared" si="10"/>
        <v>0.98494209759400198</v>
      </c>
      <c r="R17" s="15" t="b">
        <f t="shared" si="11"/>
        <v>0</v>
      </c>
      <c r="S17" s="13">
        <f t="shared" si="12"/>
        <v>0</v>
      </c>
    </row>
    <row r="18" spans="1:19" x14ac:dyDescent="0.3">
      <c r="A18" s="4">
        <v>44970</v>
      </c>
      <c r="B18" s="2">
        <v>4</v>
      </c>
      <c r="C18" s="2">
        <v>24</v>
      </c>
      <c r="D18" s="2">
        <v>8</v>
      </c>
      <c r="E18">
        <v>2389</v>
      </c>
      <c r="F18">
        <v>7</v>
      </c>
      <c r="G18" s="2">
        <f t="shared" si="0"/>
        <v>2413</v>
      </c>
      <c r="H18">
        <f t="shared" si="1"/>
        <v>2382</v>
      </c>
      <c r="I18" s="13">
        <f t="shared" si="2"/>
        <v>-7.556675062972292E-3</v>
      </c>
      <c r="J18" t="str">
        <f t="shared" si="3"/>
        <v>No Backlog</v>
      </c>
      <c r="K18" s="13">
        <f t="shared" si="4"/>
        <v>0.98715292167426438</v>
      </c>
      <c r="L18" s="13">
        <f t="shared" si="5"/>
        <v>6.910070451719851</v>
      </c>
      <c r="M18" s="13">
        <f t="shared" si="6"/>
        <v>29.614587650227932</v>
      </c>
      <c r="N18" t="b">
        <f t="shared" si="7"/>
        <v>1</v>
      </c>
      <c r="O18">
        <f t="shared" si="8"/>
        <v>7</v>
      </c>
      <c r="P18" s="13">
        <f t="shared" si="9"/>
        <v>0.98308548307800503</v>
      </c>
      <c r="Q18" s="13">
        <f t="shared" si="10"/>
        <v>0.98562631042888116</v>
      </c>
      <c r="R18" s="15" t="b">
        <f t="shared" si="11"/>
        <v>0</v>
      </c>
      <c r="S18" s="13">
        <f t="shared" si="12"/>
        <v>2.9009531703273932E-3</v>
      </c>
    </row>
    <row r="19" spans="1:19" x14ac:dyDescent="0.3">
      <c r="A19" s="4">
        <v>44971</v>
      </c>
      <c r="B19" s="2">
        <v>6</v>
      </c>
      <c r="C19" s="2">
        <v>47</v>
      </c>
      <c r="D19" s="2">
        <v>14</v>
      </c>
      <c r="E19">
        <v>2375</v>
      </c>
      <c r="F19">
        <v>11</v>
      </c>
      <c r="G19" s="2">
        <f t="shared" si="0"/>
        <v>2422</v>
      </c>
      <c r="H19">
        <f t="shared" si="1"/>
        <v>2364</v>
      </c>
      <c r="I19" s="13">
        <f t="shared" si="2"/>
        <v>-2.5380710659898475E-3</v>
      </c>
      <c r="J19" t="str">
        <f t="shared" si="3"/>
        <v>No Backlog</v>
      </c>
      <c r="K19" s="13">
        <f t="shared" si="4"/>
        <v>0.97605284888521882</v>
      </c>
      <c r="L19" s="13">
        <f t="shared" si="5"/>
        <v>6.8323699421965314</v>
      </c>
      <c r="M19" s="13">
        <f t="shared" si="6"/>
        <v>29.281585466556564</v>
      </c>
      <c r="N19" t="b">
        <f t="shared" si="7"/>
        <v>1</v>
      </c>
      <c r="O19">
        <f t="shared" si="8"/>
        <v>7</v>
      </c>
      <c r="P19" s="13">
        <f t="shared" si="9"/>
        <v>0.97898521334084321</v>
      </c>
      <c r="Q19" s="13">
        <f t="shared" si="10"/>
        <v>0.97670731255754195</v>
      </c>
      <c r="R19" s="15" t="b">
        <f t="shared" si="11"/>
        <v>0</v>
      </c>
      <c r="S19" s="13">
        <f t="shared" si="12"/>
        <v>4.5417010734929812E-3</v>
      </c>
    </row>
    <row r="20" spans="1:19" x14ac:dyDescent="0.3">
      <c r="A20" s="4">
        <v>44972</v>
      </c>
      <c r="B20" s="2">
        <v>9</v>
      </c>
      <c r="C20" s="2">
        <v>40</v>
      </c>
      <c r="D20" s="2">
        <v>9</v>
      </c>
      <c r="E20">
        <v>2371</v>
      </c>
      <c r="F20">
        <v>13</v>
      </c>
      <c r="G20" s="2">
        <f t="shared" si="0"/>
        <v>2411</v>
      </c>
      <c r="H20">
        <f t="shared" si="1"/>
        <v>2358</v>
      </c>
      <c r="I20" s="13">
        <f t="shared" si="2"/>
        <v>6.7854113655640372E-3</v>
      </c>
      <c r="J20" t="str">
        <f t="shared" si="3"/>
        <v>Backlog</v>
      </c>
      <c r="K20" s="13">
        <f t="shared" si="4"/>
        <v>0.97801742015761095</v>
      </c>
      <c r="L20" s="13">
        <f t="shared" si="5"/>
        <v>6.8461219411032763</v>
      </c>
      <c r="M20" s="13">
        <f t="shared" si="6"/>
        <v>29.340522604728328</v>
      </c>
      <c r="N20" t="b">
        <f t="shared" si="7"/>
        <v>1</v>
      </c>
      <c r="O20">
        <f t="shared" si="8"/>
        <v>7</v>
      </c>
      <c r="P20" s="13">
        <f t="shared" si="9"/>
        <v>0.98329321473587572</v>
      </c>
      <c r="Q20" s="13">
        <f t="shared" si="10"/>
        <v>0.97863257518905189</v>
      </c>
      <c r="R20" s="15" t="str">
        <f t="shared" si="11"/>
        <v>STRAIN</v>
      </c>
      <c r="S20" s="13">
        <f t="shared" si="12"/>
        <v>5.3919535462463707E-3</v>
      </c>
    </row>
    <row r="21" spans="1:19" x14ac:dyDescent="0.3">
      <c r="A21" s="4">
        <v>44973</v>
      </c>
      <c r="B21" s="2">
        <v>3</v>
      </c>
      <c r="C21" s="2">
        <v>46</v>
      </c>
      <c r="D21" s="2">
        <v>22</v>
      </c>
      <c r="E21">
        <v>2375</v>
      </c>
      <c r="F21">
        <v>1</v>
      </c>
      <c r="G21" s="2">
        <f t="shared" si="0"/>
        <v>2421</v>
      </c>
      <c r="H21">
        <f t="shared" si="1"/>
        <v>2374</v>
      </c>
      <c r="I21" s="13">
        <f t="shared" si="2"/>
        <v>-1.8112889637742206E-2</v>
      </c>
      <c r="J21" t="str">
        <f t="shared" si="3"/>
        <v>No Backlog</v>
      </c>
      <c r="K21" s="13">
        <f t="shared" si="4"/>
        <v>0.9805865344898802</v>
      </c>
      <c r="L21" s="13">
        <f t="shared" si="5"/>
        <v>6.8641057414291611</v>
      </c>
      <c r="M21" s="13">
        <f t="shared" si="6"/>
        <v>29.417596034696405</v>
      </c>
      <c r="N21" t="b">
        <f t="shared" si="7"/>
        <v>1</v>
      </c>
      <c r="O21">
        <f t="shared" si="8"/>
        <v>7</v>
      </c>
      <c r="P21" s="13">
        <f t="shared" si="9"/>
        <v>0.98367781696751799</v>
      </c>
      <c r="Q21" s="13">
        <f t="shared" si="10"/>
        <v>0.98139183433134913</v>
      </c>
      <c r="R21" s="15" t="b">
        <f t="shared" si="11"/>
        <v>0</v>
      </c>
      <c r="S21" s="13">
        <f t="shared" si="12"/>
        <v>4.1305245766212311E-4</v>
      </c>
    </row>
    <row r="22" spans="1:19" x14ac:dyDescent="0.3">
      <c r="A22" s="4">
        <v>44977</v>
      </c>
      <c r="B22" s="2">
        <v>18</v>
      </c>
      <c r="C22" s="2">
        <v>57</v>
      </c>
      <c r="D22" s="2">
        <v>8</v>
      </c>
      <c r="E22">
        <v>2340</v>
      </c>
      <c r="F22">
        <v>9</v>
      </c>
      <c r="G22" s="2">
        <f t="shared" si="0"/>
        <v>2397</v>
      </c>
      <c r="H22">
        <f t="shared" si="1"/>
        <v>2331</v>
      </c>
      <c r="I22" s="13">
        <f t="shared" si="2"/>
        <v>-4.29000429000429E-4</v>
      </c>
      <c r="J22" t="str">
        <f t="shared" si="3"/>
        <v>No Backlog</v>
      </c>
      <c r="K22" s="13">
        <f t="shared" si="4"/>
        <v>0.97246558197747179</v>
      </c>
      <c r="L22" s="13">
        <f t="shared" si="5"/>
        <v>6.8072590738423022</v>
      </c>
      <c r="M22" s="13">
        <f t="shared" si="6"/>
        <v>29.173967459324153</v>
      </c>
      <c r="N22" t="b">
        <f t="shared" si="7"/>
        <v>1</v>
      </c>
      <c r="O22">
        <f t="shared" si="8"/>
        <v>8</v>
      </c>
      <c r="P22" s="13">
        <f t="shared" si="9"/>
        <v>0.9745306633291615</v>
      </c>
      <c r="Q22" s="13">
        <f t="shared" si="10"/>
        <v>0.97752578184637628</v>
      </c>
      <c r="R22" s="15" t="b">
        <f t="shared" si="11"/>
        <v>0</v>
      </c>
      <c r="S22" s="13">
        <f t="shared" si="12"/>
        <v>3.7546933667083854E-3</v>
      </c>
    </row>
    <row r="23" spans="1:19" x14ac:dyDescent="0.3">
      <c r="A23" s="4">
        <v>44978</v>
      </c>
      <c r="B23" s="2">
        <v>7</v>
      </c>
      <c r="C23" s="2">
        <v>32</v>
      </c>
      <c r="D23" s="2">
        <v>3</v>
      </c>
      <c r="E23">
        <v>2340</v>
      </c>
      <c r="F23">
        <v>10</v>
      </c>
      <c r="G23" s="2">
        <f t="shared" si="0"/>
        <v>2372</v>
      </c>
      <c r="H23">
        <f t="shared" si="1"/>
        <v>2330</v>
      </c>
      <c r="I23" s="13">
        <f t="shared" si="2"/>
        <v>1.2875536480686696E-3</v>
      </c>
      <c r="J23" t="str">
        <f t="shared" si="3"/>
        <v>Backlog</v>
      </c>
      <c r="K23" s="13">
        <f t="shared" si="4"/>
        <v>0.98229342327150082</v>
      </c>
      <c r="L23" s="13">
        <f t="shared" si="5"/>
        <v>6.8760539629005057</v>
      </c>
      <c r="M23" s="13">
        <f t="shared" si="6"/>
        <v>29.468802698145026</v>
      </c>
      <c r="N23" t="b">
        <f t="shared" si="7"/>
        <v>1</v>
      </c>
      <c r="O23">
        <f t="shared" si="8"/>
        <v>8</v>
      </c>
      <c r="P23" s="13">
        <f t="shared" si="9"/>
        <v>0.9797879460978165</v>
      </c>
      <c r="Q23" s="13">
        <f t="shared" si="10"/>
        <v>0.98505445750172083</v>
      </c>
      <c r="R23" s="15" t="str">
        <f t="shared" si="11"/>
        <v>STRAIN</v>
      </c>
      <c r="S23" s="13">
        <f t="shared" si="12"/>
        <v>4.2158516020236085E-3</v>
      </c>
    </row>
    <row r="24" spans="1:19" x14ac:dyDescent="0.3">
      <c r="A24" s="4">
        <v>44979</v>
      </c>
      <c r="B24" s="2">
        <v>2</v>
      </c>
      <c r="C24" s="2">
        <v>38</v>
      </c>
      <c r="D24" s="2">
        <v>8</v>
      </c>
      <c r="E24">
        <v>2345</v>
      </c>
      <c r="F24">
        <v>12</v>
      </c>
      <c r="G24" s="2">
        <f t="shared" si="0"/>
        <v>2383</v>
      </c>
      <c r="H24">
        <f t="shared" si="1"/>
        <v>2333</v>
      </c>
      <c r="I24" s="13">
        <f t="shared" si="2"/>
        <v>8.5726532361765965E-4</v>
      </c>
      <c r="J24" t="str">
        <f t="shared" si="3"/>
        <v>Backlog</v>
      </c>
      <c r="K24" s="13">
        <f t="shared" si="4"/>
        <v>0.97901804448174568</v>
      </c>
      <c r="L24" s="13">
        <f t="shared" si="5"/>
        <v>6.8531263113722201</v>
      </c>
      <c r="M24" s="13">
        <f t="shared" si="6"/>
        <v>29.370541334452369</v>
      </c>
      <c r="N24" t="b">
        <f t="shared" si="7"/>
        <v>1</v>
      </c>
      <c r="O24">
        <f t="shared" si="8"/>
        <v>8</v>
      </c>
      <c r="P24" s="13">
        <f t="shared" si="9"/>
        <v>0.9815588718326218</v>
      </c>
      <c r="Q24" s="13">
        <f t="shared" si="10"/>
        <v>0.98321561946309499</v>
      </c>
      <c r="R24" s="15" t="str">
        <f t="shared" si="11"/>
        <v>STRAIN</v>
      </c>
      <c r="S24" s="13">
        <f t="shared" si="12"/>
        <v>5.035669324381032E-3</v>
      </c>
    </row>
    <row r="25" spans="1:19" x14ac:dyDescent="0.3">
      <c r="A25" s="4">
        <v>44980</v>
      </c>
      <c r="B25" s="2">
        <v>1</v>
      </c>
      <c r="C25" s="2">
        <v>35</v>
      </c>
      <c r="D25" s="2">
        <v>6</v>
      </c>
      <c r="E25">
        <v>2343</v>
      </c>
      <c r="F25">
        <v>8</v>
      </c>
      <c r="G25" s="2">
        <f t="shared" si="0"/>
        <v>2378</v>
      </c>
      <c r="H25">
        <f t="shared" si="1"/>
        <v>2335</v>
      </c>
      <c r="I25" s="13">
        <f t="shared" si="2"/>
        <v>0</v>
      </c>
      <c r="J25" t="str">
        <f t="shared" si="3"/>
        <v>No Backlog</v>
      </c>
      <c r="K25" s="13">
        <f t="shared" si="4"/>
        <v>0.9819175777964676</v>
      </c>
      <c r="L25" s="13">
        <f t="shared" si="5"/>
        <v>6.8734230445752731</v>
      </c>
      <c r="M25" s="13">
        <f t="shared" si="6"/>
        <v>29.457527333894028</v>
      </c>
      <c r="N25" t="b">
        <f t="shared" si="7"/>
        <v>1</v>
      </c>
      <c r="O25">
        <f t="shared" si="8"/>
        <v>8</v>
      </c>
      <c r="P25" s="13">
        <f t="shared" si="9"/>
        <v>0.97963967701316634</v>
      </c>
      <c r="Q25" s="13">
        <f t="shared" si="10"/>
        <v>0.98184815983098872</v>
      </c>
      <c r="R25" s="15" t="b">
        <f t="shared" si="11"/>
        <v>0</v>
      </c>
      <c r="S25" s="13">
        <f t="shared" si="12"/>
        <v>3.3641715727502101E-3</v>
      </c>
    </row>
    <row r="26" spans="1:19" x14ac:dyDescent="0.3">
      <c r="A26" s="4">
        <v>44983</v>
      </c>
      <c r="B26" s="2">
        <v>5</v>
      </c>
      <c r="C26" s="2">
        <v>22</v>
      </c>
      <c r="D26" s="2">
        <v>3</v>
      </c>
      <c r="E26">
        <v>2340</v>
      </c>
      <c r="F26">
        <v>5</v>
      </c>
      <c r="G26" s="2">
        <f t="shared" si="0"/>
        <v>2362</v>
      </c>
      <c r="H26">
        <f t="shared" si="1"/>
        <v>2335</v>
      </c>
      <c r="I26" s="13">
        <f t="shared" si="2"/>
        <v>-9.8501070663811561E-3</v>
      </c>
      <c r="J26" t="str">
        <f t="shared" si="3"/>
        <v>No Backlog</v>
      </c>
      <c r="K26" s="13">
        <f t="shared" si="4"/>
        <v>0.9885690093141406</v>
      </c>
      <c r="L26" s="13">
        <f t="shared" si="5"/>
        <v>6.9199830651989842</v>
      </c>
      <c r="M26" s="13">
        <f t="shared" si="6"/>
        <v>29.657070279424218</v>
      </c>
      <c r="N26" t="b">
        <f t="shared" si="7"/>
        <v>1</v>
      </c>
      <c r="O26">
        <f t="shared" si="8"/>
        <v>9</v>
      </c>
      <c r="P26" s="13">
        <f t="shared" si="9"/>
        <v>0.98390836976731677</v>
      </c>
      <c r="Q26" s="13">
        <f t="shared" si="10"/>
        <v>0.9882186467714551</v>
      </c>
      <c r="R26" s="15" t="b">
        <f t="shared" si="11"/>
        <v>0</v>
      </c>
      <c r="S26" s="13">
        <f t="shared" si="12"/>
        <v>2.1168501270110076E-3</v>
      </c>
    </row>
    <row r="27" spans="1:19" x14ac:dyDescent="0.3">
      <c r="A27" s="4">
        <v>44984</v>
      </c>
      <c r="B27" s="2">
        <v>6</v>
      </c>
      <c r="C27" s="2">
        <v>26</v>
      </c>
      <c r="D27" s="2">
        <v>16</v>
      </c>
      <c r="E27">
        <v>2317</v>
      </c>
      <c r="F27">
        <v>5</v>
      </c>
      <c r="G27" s="2">
        <f t="shared" si="0"/>
        <v>2343</v>
      </c>
      <c r="H27">
        <f t="shared" si="1"/>
        <v>2312</v>
      </c>
      <c r="I27" s="13">
        <f t="shared" si="2"/>
        <v>-7.3529411764705881E-3</v>
      </c>
      <c r="J27" t="str">
        <f t="shared" si="3"/>
        <v>No Backlog</v>
      </c>
      <c r="K27" s="13">
        <f t="shared" si="4"/>
        <v>0.98676909944515578</v>
      </c>
      <c r="L27" s="13">
        <f t="shared" si="5"/>
        <v>6.9073836961160904</v>
      </c>
      <c r="M27" s="13">
        <f t="shared" si="6"/>
        <v>29.603072983354675</v>
      </c>
      <c r="N27" t="b">
        <f t="shared" si="7"/>
        <v>1</v>
      </c>
      <c r="O27">
        <f t="shared" si="8"/>
        <v>9</v>
      </c>
      <c r="P27" s="13">
        <f t="shared" si="9"/>
        <v>0.98448311680898692</v>
      </c>
      <c r="Q27" s="13">
        <f t="shared" si="10"/>
        <v>0.9843054316940435</v>
      </c>
      <c r="R27" s="15" t="b">
        <f t="shared" si="11"/>
        <v>0</v>
      </c>
      <c r="S27" s="13">
        <f t="shared" si="12"/>
        <v>2.134016218523261E-3</v>
      </c>
    </row>
    <row r="28" spans="1:19" x14ac:dyDescent="0.3">
      <c r="A28" s="4">
        <v>44985</v>
      </c>
      <c r="B28" s="2">
        <v>14</v>
      </c>
      <c r="C28" s="2">
        <v>48</v>
      </c>
      <c r="D28" s="2">
        <v>20</v>
      </c>
      <c r="E28">
        <v>2302</v>
      </c>
      <c r="F28">
        <v>7</v>
      </c>
      <c r="G28" s="2">
        <f t="shared" si="0"/>
        <v>2350</v>
      </c>
      <c r="H28">
        <f t="shared" si="1"/>
        <v>2295</v>
      </c>
      <c r="I28" s="13">
        <f t="shared" si="2"/>
        <v>-6.5359477124183009E-3</v>
      </c>
      <c r="J28" t="str">
        <f t="shared" si="3"/>
        <v>No Backlog</v>
      </c>
      <c r="K28" s="13">
        <f t="shared" si="4"/>
        <v>0.97659574468085109</v>
      </c>
      <c r="L28" s="13">
        <f t="shared" si="5"/>
        <v>6.8361702127659578</v>
      </c>
      <c r="M28" s="13">
        <f t="shared" si="6"/>
        <v>29.297872340425531</v>
      </c>
      <c r="N28" t="b">
        <f t="shared" si="7"/>
        <v>1</v>
      </c>
      <c r="O28">
        <f t="shared" si="8"/>
        <v>9</v>
      </c>
      <c r="P28" s="13">
        <f t="shared" si="9"/>
        <v>0.97959086319806588</v>
      </c>
      <c r="Q28" s="13">
        <f t="shared" si="10"/>
        <v>0.97856182733826191</v>
      </c>
      <c r="R28" s="15" t="b">
        <f t="shared" si="11"/>
        <v>0</v>
      </c>
      <c r="S28" s="13">
        <f t="shared" si="12"/>
        <v>2.9787234042553193E-3</v>
      </c>
    </row>
    <row r="29" spans="1:19" x14ac:dyDescent="0.3">
      <c r="A29" s="4">
        <v>44986</v>
      </c>
      <c r="B29" s="2">
        <v>11</v>
      </c>
      <c r="C29" s="2">
        <v>39</v>
      </c>
      <c r="D29" s="2">
        <v>12</v>
      </c>
      <c r="E29">
        <v>2294</v>
      </c>
      <c r="F29">
        <v>14</v>
      </c>
      <c r="G29" s="2">
        <f t="shared" si="0"/>
        <v>2333</v>
      </c>
      <c r="H29">
        <f t="shared" si="1"/>
        <v>2280</v>
      </c>
      <c r="I29" s="13">
        <f t="shared" si="2"/>
        <v>4.3859649122807015E-3</v>
      </c>
      <c r="J29" t="str">
        <f t="shared" si="3"/>
        <v>Backlog</v>
      </c>
      <c r="K29" s="13">
        <f t="shared" si="4"/>
        <v>0.97728246892413206</v>
      </c>
      <c r="L29" s="13">
        <f t="shared" si="5"/>
        <v>6.8409772824689243</v>
      </c>
      <c r="M29" s="13">
        <f t="shared" si="6"/>
        <v>29.318474067723962</v>
      </c>
      <c r="N29" t="b">
        <f t="shared" si="7"/>
        <v>1</v>
      </c>
      <c r="O29">
        <f t="shared" si="8"/>
        <v>9</v>
      </c>
      <c r="P29" s="13">
        <f t="shared" si="9"/>
        <v>0.9825489803280365</v>
      </c>
      <c r="Q29" s="13">
        <f t="shared" si="10"/>
        <v>0.97882876171893474</v>
      </c>
      <c r="R29" s="15" t="str">
        <f t="shared" si="11"/>
        <v>STRAIN</v>
      </c>
      <c r="S29" s="13">
        <f t="shared" si="12"/>
        <v>6.0008572653236173E-3</v>
      </c>
    </row>
    <row r="30" spans="1:19" x14ac:dyDescent="0.3">
      <c r="A30" s="4">
        <v>44987</v>
      </c>
      <c r="B30" s="2">
        <v>11</v>
      </c>
      <c r="C30" s="2">
        <v>33</v>
      </c>
      <c r="D30" s="2">
        <v>5</v>
      </c>
      <c r="E30">
        <v>2294</v>
      </c>
      <c r="F30">
        <v>4</v>
      </c>
      <c r="G30" s="2">
        <f t="shared" si="0"/>
        <v>2327</v>
      </c>
      <c r="H30">
        <f t="shared" si="1"/>
        <v>2290</v>
      </c>
      <c r="I30" s="13">
        <f t="shared" si="2"/>
        <v>-1.9650655021834062E-2</v>
      </c>
      <c r="J30" t="str">
        <f t="shared" si="3"/>
        <v>No Backlog</v>
      </c>
      <c r="K30" s="13">
        <f t="shared" si="4"/>
        <v>0.98409969918349804</v>
      </c>
      <c r="L30" s="13">
        <f t="shared" si="5"/>
        <v>6.8886978942844861</v>
      </c>
      <c r="M30" s="13">
        <f t="shared" si="6"/>
        <v>29.522990975504943</v>
      </c>
      <c r="N30" t="b">
        <f t="shared" si="7"/>
        <v>1</v>
      </c>
      <c r="O30">
        <f t="shared" si="8"/>
        <v>9</v>
      </c>
      <c r="P30" s="13">
        <f t="shared" si="9"/>
        <v>0.98575644681397123</v>
      </c>
      <c r="Q30" s="13">
        <f t="shared" si="10"/>
        <v>0.98032601112019013</v>
      </c>
      <c r="R30" s="15" t="b">
        <f t="shared" si="11"/>
        <v>0</v>
      </c>
      <c r="S30" s="13">
        <f t="shared" si="12"/>
        <v>1.7189514396218307E-3</v>
      </c>
    </row>
    <row r="31" spans="1:19" x14ac:dyDescent="0.3">
      <c r="A31" s="4">
        <v>44992</v>
      </c>
      <c r="B31" s="2">
        <v>6</v>
      </c>
      <c r="C31" s="2">
        <v>33</v>
      </c>
      <c r="D31" s="2">
        <v>9</v>
      </c>
      <c r="E31">
        <v>2264</v>
      </c>
      <c r="F31">
        <v>19</v>
      </c>
      <c r="G31" s="2">
        <f t="shared" si="0"/>
        <v>2297</v>
      </c>
      <c r="H31">
        <f t="shared" si="1"/>
        <v>2245</v>
      </c>
      <c r="I31" s="13">
        <f t="shared" si="2"/>
        <v>8.9086859688195987E-3</v>
      </c>
      <c r="J31" t="str">
        <f t="shared" si="3"/>
        <v>Backlog</v>
      </c>
      <c r="K31" s="13">
        <f t="shared" si="4"/>
        <v>0.97736177622986509</v>
      </c>
      <c r="L31" s="13">
        <f t="shared" si="5"/>
        <v>6.8415324336090553</v>
      </c>
      <c r="M31" s="13">
        <f t="shared" si="6"/>
        <v>29.320853286895954</v>
      </c>
      <c r="N31" t="b">
        <f t="shared" si="7"/>
        <v>1</v>
      </c>
      <c r="O31">
        <f t="shared" si="8"/>
        <v>10</v>
      </c>
      <c r="P31" s="13">
        <f t="shared" si="9"/>
        <v>0.97957025904768735</v>
      </c>
      <c r="Q31" s="13">
        <f t="shared" si="10"/>
        <v>0.97820053876995439</v>
      </c>
      <c r="R31" s="15" t="str">
        <f t="shared" si="11"/>
        <v>STRAIN</v>
      </c>
      <c r="S31" s="13">
        <f t="shared" si="12"/>
        <v>8.2716586852416198E-3</v>
      </c>
    </row>
    <row r="32" spans="1:19" x14ac:dyDescent="0.3">
      <c r="A32" s="4">
        <v>44993</v>
      </c>
      <c r="B32" s="2">
        <v>8</v>
      </c>
      <c r="C32" s="2">
        <v>41</v>
      </c>
      <c r="D32" s="2">
        <v>8</v>
      </c>
      <c r="E32">
        <v>2272</v>
      </c>
      <c r="F32">
        <v>7</v>
      </c>
      <c r="G32" s="2">
        <f t="shared" si="0"/>
        <v>2313</v>
      </c>
      <c r="H32">
        <f t="shared" si="1"/>
        <v>2265</v>
      </c>
      <c r="I32" s="13">
        <f t="shared" si="2"/>
        <v>-1.3245033112582781E-3</v>
      </c>
      <c r="J32" t="str">
        <f t="shared" si="3"/>
        <v>No Backlog</v>
      </c>
      <c r="K32" s="13">
        <f t="shared" si="4"/>
        <v>0.97924773022049283</v>
      </c>
      <c r="L32" s="13">
        <f t="shared" si="5"/>
        <v>6.8547341115434497</v>
      </c>
      <c r="M32" s="13">
        <f t="shared" si="6"/>
        <v>29.377431906614785</v>
      </c>
      <c r="N32" t="b">
        <f t="shared" si="7"/>
        <v>1</v>
      </c>
      <c r="O32">
        <f t="shared" si="8"/>
        <v>10</v>
      </c>
      <c r="P32" s="13">
        <f t="shared" si="9"/>
        <v>0.98355800722463116</v>
      </c>
      <c r="Q32" s="13">
        <f t="shared" si="10"/>
        <v>0.97954498693320868</v>
      </c>
      <c r="R32" s="15" t="b">
        <f t="shared" si="11"/>
        <v>0</v>
      </c>
      <c r="S32" s="13">
        <f t="shared" si="12"/>
        <v>3.0263726761781237E-3</v>
      </c>
    </row>
    <row r="33" spans="1:19" x14ac:dyDescent="0.3">
      <c r="A33" s="4">
        <v>44994</v>
      </c>
      <c r="B33" s="2">
        <v>6</v>
      </c>
      <c r="C33" s="2">
        <v>33</v>
      </c>
      <c r="D33" s="2">
        <v>6</v>
      </c>
      <c r="E33">
        <v>2270</v>
      </c>
      <c r="F33">
        <v>8</v>
      </c>
      <c r="G33" s="2">
        <f t="shared" si="0"/>
        <v>2303</v>
      </c>
      <c r="H33">
        <f t="shared" si="1"/>
        <v>2262</v>
      </c>
      <c r="I33" s="13">
        <f t="shared" si="2"/>
        <v>-2.2104332449160036E-3</v>
      </c>
      <c r="J33" t="str">
        <f t="shared" si="3"/>
        <v>No Backlog</v>
      </c>
      <c r="K33" s="13">
        <f t="shared" si="4"/>
        <v>0.98219713417281806</v>
      </c>
      <c r="L33" s="13">
        <f t="shared" si="5"/>
        <v>6.8753799392097266</v>
      </c>
      <c r="M33" s="13">
        <f t="shared" si="6"/>
        <v>29.465914025184542</v>
      </c>
      <c r="N33" t="b">
        <f t="shared" si="7"/>
        <v>1</v>
      </c>
      <c r="O33">
        <f t="shared" si="8"/>
        <v>10</v>
      </c>
      <c r="P33" s="13">
        <f t="shared" si="9"/>
        <v>0.98201944905787464</v>
      </c>
      <c r="Q33" s="13">
        <f t="shared" si="10"/>
        <v>0.98207170667249444</v>
      </c>
      <c r="R33" s="15" t="b">
        <f t="shared" si="11"/>
        <v>0</v>
      </c>
      <c r="S33" s="13">
        <f t="shared" si="12"/>
        <v>3.4737299174989146E-3</v>
      </c>
    </row>
    <row r="34" spans="1:19" x14ac:dyDescent="0.3">
      <c r="A34" s="4">
        <v>44998</v>
      </c>
      <c r="B34" s="2">
        <v>3</v>
      </c>
      <c r="C34" s="2">
        <v>28</v>
      </c>
      <c r="D34" s="2">
        <v>5</v>
      </c>
      <c r="E34">
        <v>2269</v>
      </c>
      <c r="F34">
        <v>12</v>
      </c>
      <c r="G34" s="2">
        <f t="shared" si="0"/>
        <v>2297</v>
      </c>
      <c r="H34">
        <f t="shared" si="1"/>
        <v>2257</v>
      </c>
      <c r="I34" s="13">
        <f t="shared" si="2"/>
        <v>5.7598582188746125E-3</v>
      </c>
      <c r="J34" t="str">
        <f t="shared" si="3"/>
        <v>Backlog</v>
      </c>
      <c r="K34" s="13">
        <f t="shared" si="4"/>
        <v>0.98258598171528078</v>
      </c>
      <c r="L34" s="13">
        <f t="shared" si="5"/>
        <v>6.8781018720069653</v>
      </c>
      <c r="M34" s="13">
        <f t="shared" si="6"/>
        <v>29.477579451458425</v>
      </c>
      <c r="N34" t="b">
        <f t="shared" si="7"/>
        <v>1</v>
      </c>
      <c r="O34">
        <f t="shared" si="8"/>
        <v>11</v>
      </c>
      <c r="P34" s="13">
        <f t="shared" si="9"/>
        <v>0.98155694585547681</v>
      </c>
      <c r="Q34" s="13">
        <f t="shared" si="10"/>
        <v>0.9820255592601117</v>
      </c>
      <c r="R34" s="15" t="str">
        <f t="shared" si="11"/>
        <v>STRAIN</v>
      </c>
      <c r="S34" s="13">
        <f t="shared" si="12"/>
        <v>5.2242054854157597E-3</v>
      </c>
    </row>
    <row r="35" spans="1:19" x14ac:dyDescent="0.3">
      <c r="A35" s="4">
        <v>44999</v>
      </c>
      <c r="B35" s="2">
        <v>5</v>
      </c>
      <c r="C35" s="2">
        <v>21</v>
      </c>
      <c r="D35" s="2">
        <v>10</v>
      </c>
      <c r="E35">
        <v>2277</v>
      </c>
      <c r="F35">
        <v>7</v>
      </c>
      <c r="G35" s="2">
        <f t="shared" si="0"/>
        <v>2298</v>
      </c>
      <c r="H35">
        <f t="shared" si="1"/>
        <v>2270</v>
      </c>
      <c r="I35" s="13">
        <f t="shared" si="2"/>
        <v>2.2026431718061676E-3</v>
      </c>
      <c r="J35" t="str">
        <f t="shared" si="3"/>
        <v>Backlog</v>
      </c>
      <c r="K35" s="13">
        <f t="shared" si="4"/>
        <v>0.98781549173194083</v>
      </c>
      <c r="L35" s="13">
        <f t="shared" si="5"/>
        <v>6.9147084421235858</v>
      </c>
      <c r="M35" s="13">
        <f t="shared" si="6"/>
        <v>29.634464751958227</v>
      </c>
      <c r="N35" t="b">
        <f t="shared" si="7"/>
        <v>1</v>
      </c>
      <c r="O35">
        <f t="shared" si="8"/>
        <v>11</v>
      </c>
      <c r="P35" s="13">
        <f t="shared" si="9"/>
        <v>0.98409527312283918</v>
      </c>
      <c r="Q35" s="13">
        <f t="shared" si="10"/>
        <v>0.9841473199564762</v>
      </c>
      <c r="R35" s="15" t="str">
        <f t="shared" si="11"/>
        <v>STRAIN</v>
      </c>
      <c r="S35" s="13">
        <f t="shared" si="12"/>
        <v>3.0461270670147957E-3</v>
      </c>
    </row>
    <row r="36" spans="1:19" x14ac:dyDescent="0.3">
      <c r="A36" s="4">
        <v>45000</v>
      </c>
      <c r="B36" s="2">
        <v>3</v>
      </c>
      <c r="C36" s="2">
        <v>17</v>
      </c>
      <c r="D36" s="2">
        <v>14</v>
      </c>
      <c r="E36">
        <v>2287</v>
      </c>
      <c r="F36">
        <v>12</v>
      </c>
      <c r="G36" s="2">
        <f t="shared" si="0"/>
        <v>2304</v>
      </c>
      <c r="H36">
        <f t="shared" si="1"/>
        <v>2275</v>
      </c>
      <c r="I36" s="13">
        <f t="shared" si="2"/>
        <v>-5.2747252747252747E-3</v>
      </c>
      <c r="J36" t="str">
        <f t="shared" si="3"/>
        <v>No Backlog</v>
      </c>
      <c r="K36" s="13">
        <f t="shared" si="4"/>
        <v>0.98741319444444442</v>
      </c>
      <c r="L36" s="13">
        <f t="shared" si="5"/>
        <v>6.9118923611111107</v>
      </c>
      <c r="M36" s="13">
        <f t="shared" si="6"/>
        <v>29.622395833333332</v>
      </c>
      <c r="N36" t="b">
        <f t="shared" si="7"/>
        <v>1</v>
      </c>
      <c r="O36">
        <f t="shared" si="8"/>
        <v>11</v>
      </c>
      <c r="P36" s="13">
        <f t="shared" si="9"/>
        <v>0.98198275875066332</v>
      </c>
      <c r="Q36" s="13">
        <f t="shared" si="10"/>
        <v>0.98531807625091972</v>
      </c>
      <c r="R36" s="15" t="b">
        <f t="shared" si="11"/>
        <v>0</v>
      </c>
      <c r="S36" s="13">
        <f t="shared" si="12"/>
        <v>5.208333333333333E-3</v>
      </c>
    </row>
    <row r="37" spans="1:19" x14ac:dyDescent="0.3">
      <c r="A37" s="4">
        <v>45001</v>
      </c>
      <c r="B37" s="2">
        <v>6</v>
      </c>
      <c r="C37" s="2">
        <v>25</v>
      </c>
      <c r="D37" s="2">
        <v>4</v>
      </c>
      <c r="E37">
        <v>2280</v>
      </c>
      <c r="F37">
        <v>17</v>
      </c>
      <c r="G37" s="2">
        <f t="shared" si="0"/>
        <v>2305</v>
      </c>
      <c r="H37">
        <f t="shared" si="1"/>
        <v>2263</v>
      </c>
      <c r="I37" s="13">
        <f t="shared" si="2"/>
        <v>7.5121520106053909E-3</v>
      </c>
      <c r="J37" t="str">
        <f t="shared" si="3"/>
        <v>Backlog</v>
      </c>
      <c r="K37" s="13">
        <f t="shared" si="4"/>
        <v>0.98177874186550973</v>
      </c>
      <c r="L37" s="13">
        <f t="shared" si="5"/>
        <v>6.8724511930585681</v>
      </c>
      <c r="M37" s="13">
        <f t="shared" si="6"/>
        <v>29.453362255965292</v>
      </c>
      <c r="N37" t="b">
        <f t="shared" si="7"/>
        <v>1</v>
      </c>
      <c r="O37">
        <f t="shared" si="8"/>
        <v>11</v>
      </c>
      <c r="P37" s="13">
        <f t="shared" si="9"/>
        <v>0.98040902158777676</v>
      </c>
      <c r="Q37" s="13">
        <f t="shared" si="10"/>
        <v>0.98421380350952381</v>
      </c>
      <c r="R37" s="15" t="str">
        <f t="shared" si="11"/>
        <v>STRAIN</v>
      </c>
      <c r="S37" s="13">
        <f t="shared" si="12"/>
        <v>7.37527114967462E-3</v>
      </c>
    </row>
    <row r="38" spans="1:19" x14ac:dyDescent="0.3">
      <c r="A38" s="4">
        <v>45004</v>
      </c>
      <c r="B38" s="2">
        <v>6</v>
      </c>
      <c r="C38" s="2">
        <v>22</v>
      </c>
      <c r="D38" s="2">
        <v>11</v>
      </c>
      <c r="E38">
        <v>2286</v>
      </c>
      <c r="F38">
        <v>6</v>
      </c>
      <c r="G38" s="2">
        <f t="shared" si="0"/>
        <v>2308</v>
      </c>
      <c r="H38">
        <f t="shared" si="1"/>
        <v>2280</v>
      </c>
      <c r="I38" s="13">
        <f t="shared" si="2"/>
        <v>-3.9473684210526317E-3</v>
      </c>
      <c r="J38" t="str">
        <f t="shared" si="3"/>
        <v>No Backlog</v>
      </c>
      <c r="K38" s="13">
        <f t="shared" si="4"/>
        <v>0.98786828422876949</v>
      </c>
      <c r="L38" s="13">
        <f t="shared" si="5"/>
        <v>6.9150779896013868</v>
      </c>
      <c r="M38" s="13">
        <f t="shared" si="6"/>
        <v>29.636048526863085</v>
      </c>
      <c r="N38" t="b">
        <f t="shared" si="7"/>
        <v>1</v>
      </c>
      <c r="O38">
        <f t="shared" si="8"/>
        <v>12</v>
      </c>
      <c r="P38" s="13">
        <f t="shared" si="9"/>
        <v>0.98385526393734701</v>
      </c>
      <c r="Q38" s="13">
        <f t="shared" si="10"/>
        <v>0.97902537486916885</v>
      </c>
      <c r="R38" s="15" t="b">
        <f t="shared" si="11"/>
        <v>0</v>
      </c>
      <c r="S38" s="13">
        <f t="shared" si="12"/>
        <v>2.5996533795493936E-3</v>
      </c>
    </row>
    <row r="39" spans="1:19" x14ac:dyDescent="0.3">
      <c r="A39" s="4">
        <v>45005</v>
      </c>
      <c r="B39" s="2">
        <v>2</v>
      </c>
      <c r="C39" s="2">
        <v>31</v>
      </c>
      <c r="D39" s="2">
        <v>8</v>
      </c>
      <c r="E39">
        <v>2282</v>
      </c>
      <c r="F39">
        <v>11</v>
      </c>
      <c r="G39" s="2">
        <f t="shared" si="0"/>
        <v>2313</v>
      </c>
      <c r="H39">
        <f t="shared" si="1"/>
        <v>2271</v>
      </c>
      <c r="I39" s="13">
        <f t="shared" si="2"/>
        <v>-2.2016732716864818E-3</v>
      </c>
      <c r="J39" t="str">
        <f t="shared" si="3"/>
        <v>No Backlog</v>
      </c>
      <c r="K39" s="13">
        <f t="shared" si="4"/>
        <v>0.98184176394293121</v>
      </c>
      <c r="L39" s="13">
        <f t="shared" si="5"/>
        <v>6.8728923476005184</v>
      </c>
      <c r="M39" s="13">
        <f t="shared" si="6"/>
        <v>29.455252918287936</v>
      </c>
      <c r="N39" t="b">
        <f t="shared" si="7"/>
        <v>1</v>
      </c>
      <c r="O39">
        <f t="shared" si="8"/>
        <v>12</v>
      </c>
      <c r="P39" s="13">
        <f t="shared" si="9"/>
        <v>0.98189402155755101</v>
      </c>
      <c r="Q39" s="13">
        <f t="shared" si="10"/>
        <v>0.97619531302902918</v>
      </c>
      <c r="R39" s="15" t="b">
        <f t="shared" si="11"/>
        <v>0</v>
      </c>
      <c r="S39" s="13">
        <f t="shared" si="12"/>
        <v>4.755728491137051E-3</v>
      </c>
    </row>
    <row r="40" spans="1:19" x14ac:dyDescent="0.3">
      <c r="A40" s="4">
        <v>45006</v>
      </c>
      <c r="B40" s="2">
        <v>4</v>
      </c>
      <c r="C40" s="2">
        <v>35</v>
      </c>
      <c r="D40" s="2">
        <v>12</v>
      </c>
      <c r="E40">
        <v>2276</v>
      </c>
      <c r="F40">
        <v>10</v>
      </c>
      <c r="G40" s="2">
        <f t="shared" si="0"/>
        <v>2311</v>
      </c>
      <c r="H40">
        <f t="shared" si="1"/>
        <v>2266</v>
      </c>
      <c r="I40" s="13">
        <f t="shared" si="2"/>
        <v>-7.9435127978817292E-3</v>
      </c>
      <c r="J40" t="str">
        <f t="shared" si="3"/>
        <v>No Backlog</v>
      </c>
      <c r="K40" s="13">
        <f t="shared" si="4"/>
        <v>0.98052790999567285</v>
      </c>
      <c r="L40" s="13">
        <f t="shared" si="5"/>
        <v>6.8636953699697099</v>
      </c>
      <c r="M40" s="13">
        <f t="shared" si="6"/>
        <v>29.415837299870187</v>
      </c>
      <c r="N40" t="b">
        <f t="shared" si="7"/>
        <v>1</v>
      </c>
      <c r="O40">
        <f t="shared" si="8"/>
        <v>12</v>
      </c>
      <c r="P40" s="13">
        <f t="shared" si="9"/>
        <v>0.98099652340030774</v>
      </c>
      <c r="Q40" s="13">
        <f t="shared" si="10"/>
        <v>0.97795419671672623</v>
      </c>
      <c r="R40" s="15" t="b">
        <f t="shared" si="11"/>
        <v>0</v>
      </c>
      <c r="S40" s="13">
        <f t="shared" si="12"/>
        <v>4.3271311120726954E-3</v>
      </c>
    </row>
    <row r="41" spans="1:19" x14ac:dyDescent="0.3">
      <c r="A41" s="4">
        <v>45007</v>
      </c>
      <c r="B41" s="2">
        <v>4</v>
      </c>
      <c r="C41" s="2">
        <v>27</v>
      </c>
      <c r="D41" s="2">
        <v>26</v>
      </c>
      <c r="E41">
        <v>2266</v>
      </c>
      <c r="F41">
        <v>18</v>
      </c>
      <c r="G41" s="2">
        <f t="shared" si="0"/>
        <v>2293</v>
      </c>
      <c r="H41">
        <f t="shared" si="1"/>
        <v>2248</v>
      </c>
      <c r="I41" s="13">
        <f t="shared" si="2"/>
        <v>4.4483985765124553E-4</v>
      </c>
      <c r="J41" t="str">
        <f t="shared" si="3"/>
        <v>Backlog</v>
      </c>
      <c r="K41" s="13">
        <f t="shared" si="4"/>
        <v>0.98037505451373741</v>
      </c>
      <c r="L41" s="13">
        <f t="shared" si="5"/>
        <v>6.8626253815961622</v>
      </c>
      <c r="M41" s="13">
        <f t="shared" si="6"/>
        <v>29.411251635412121</v>
      </c>
      <c r="N41" t="b">
        <f t="shared" si="7"/>
        <v>1</v>
      </c>
      <c r="O41">
        <f t="shared" si="8"/>
        <v>12</v>
      </c>
      <c r="P41" s="13">
        <f t="shared" si="9"/>
        <v>0.98042710134737443</v>
      </c>
      <c r="Q41" s="13">
        <f t="shared" si="10"/>
        <v>0.98050284257218401</v>
      </c>
      <c r="R41" s="15" t="str">
        <f t="shared" si="11"/>
        <v>STRAIN</v>
      </c>
      <c r="S41" s="13">
        <f t="shared" si="12"/>
        <v>7.849978194505015E-3</v>
      </c>
    </row>
    <row r="42" spans="1:19" x14ac:dyDescent="0.3">
      <c r="A42" s="4">
        <v>45008</v>
      </c>
      <c r="B42" s="2">
        <v>12</v>
      </c>
      <c r="C42" s="2">
        <v>42</v>
      </c>
      <c r="D42" s="2">
        <v>13</v>
      </c>
      <c r="E42">
        <v>2261</v>
      </c>
      <c r="F42">
        <v>12</v>
      </c>
      <c r="G42" s="2">
        <f t="shared" si="0"/>
        <v>2303</v>
      </c>
      <c r="H42">
        <f t="shared" si="1"/>
        <v>2249</v>
      </c>
      <c r="I42" s="13">
        <f t="shared" si="2"/>
        <v>-3.1124944419742106E-3</v>
      </c>
      <c r="J42" t="str">
        <f t="shared" si="3"/>
        <v>No Backlog</v>
      </c>
      <c r="K42" s="13">
        <f t="shared" si="4"/>
        <v>0.97655232305688233</v>
      </c>
      <c r="L42" s="13">
        <f t="shared" si="5"/>
        <v>6.8358662613981762</v>
      </c>
      <c r="M42" s="13">
        <f t="shared" si="6"/>
        <v>29.29656969170647</v>
      </c>
      <c r="N42" t="b">
        <f t="shared" si="7"/>
        <v>1</v>
      </c>
      <c r="O42">
        <f t="shared" si="8"/>
        <v>12</v>
      </c>
      <c r="P42" s="13">
        <f t="shared" si="9"/>
        <v>0.97988764055713873</v>
      </c>
      <c r="Q42" s="13">
        <f t="shared" si="10"/>
        <v>0.97831239341249909</v>
      </c>
      <c r="R42" s="15" t="b">
        <f t="shared" si="11"/>
        <v>0</v>
      </c>
      <c r="S42" s="13">
        <f t="shared" si="12"/>
        <v>5.2105948762483714E-3</v>
      </c>
    </row>
    <row r="43" spans="1:19" x14ac:dyDescent="0.3">
      <c r="A43" s="4">
        <v>45011</v>
      </c>
      <c r="B43" s="2">
        <v>13</v>
      </c>
      <c r="C43" s="2">
        <v>39</v>
      </c>
      <c r="D43" s="2">
        <v>17</v>
      </c>
      <c r="E43">
        <v>2251</v>
      </c>
      <c r="F43">
        <v>9</v>
      </c>
      <c r="G43" s="2">
        <f t="shared" si="0"/>
        <v>2290</v>
      </c>
      <c r="H43">
        <f t="shared" si="1"/>
        <v>2242</v>
      </c>
      <c r="I43" s="13">
        <f t="shared" si="2"/>
        <v>-2.6761819803746653E-3</v>
      </c>
      <c r="J43" t="str">
        <f t="shared" si="3"/>
        <v>No Backlog</v>
      </c>
      <c r="K43" s="13">
        <f t="shared" si="4"/>
        <v>0.97903930131004369</v>
      </c>
      <c r="L43" s="13">
        <f t="shared" si="5"/>
        <v>6.8532751091703057</v>
      </c>
      <c r="M43" s="13">
        <f t="shared" si="6"/>
        <v>29.37117903930131</v>
      </c>
      <c r="N43" t="b">
        <f t="shared" si="7"/>
        <v>1</v>
      </c>
      <c r="O43">
        <f t="shared" si="8"/>
        <v>13</v>
      </c>
      <c r="P43" s="13">
        <f t="shared" si="9"/>
        <v>0.98284408323179084</v>
      </c>
      <c r="Q43" s="13">
        <f t="shared" si="10"/>
        <v>0.97439549715615059</v>
      </c>
      <c r="R43" s="15" t="b">
        <f t="shared" si="11"/>
        <v>0</v>
      </c>
      <c r="S43" s="13">
        <f t="shared" si="12"/>
        <v>3.9301310043668124E-3</v>
      </c>
    </row>
    <row r="44" spans="1:19" x14ac:dyDescent="0.3">
      <c r="A44" s="4">
        <v>45012</v>
      </c>
      <c r="B44" s="2">
        <v>10</v>
      </c>
      <c r="C44" s="2">
        <v>39</v>
      </c>
      <c r="D44" s="2">
        <v>6</v>
      </c>
      <c r="E44">
        <v>2243</v>
      </c>
      <c r="F44">
        <v>7</v>
      </c>
      <c r="G44" s="2">
        <f t="shared" si="0"/>
        <v>2282</v>
      </c>
      <c r="H44">
        <f t="shared" si="1"/>
        <v>2236</v>
      </c>
      <c r="I44" s="13">
        <f t="shared" si="2"/>
        <v>-2.6833631484794273E-3</v>
      </c>
      <c r="J44" t="str">
        <f t="shared" si="3"/>
        <v>No Backlog</v>
      </c>
      <c r="K44" s="13">
        <f t="shared" si="4"/>
        <v>0.97984224364592465</v>
      </c>
      <c r="L44" s="13">
        <f t="shared" si="5"/>
        <v>6.8588957055214728</v>
      </c>
      <c r="M44" s="13">
        <f t="shared" si="6"/>
        <v>29.39526730937774</v>
      </c>
      <c r="N44" t="b">
        <f t="shared" si="7"/>
        <v>1</v>
      </c>
      <c r="O44">
        <f t="shared" si="8"/>
        <v>13</v>
      </c>
      <c r="P44" s="13">
        <f t="shared" si="9"/>
        <v>0.97501235457774649</v>
      </c>
      <c r="Q44" s="13">
        <f t="shared" si="10"/>
        <v>0.97921984677742491</v>
      </c>
      <c r="R44" s="15" t="b">
        <f t="shared" si="11"/>
        <v>0</v>
      </c>
      <c r="S44" s="13">
        <f t="shared" si="12"/>
        <v>3.0674846625766872E-3</v>
      </c>
    </row>
    <row r="45" spans="1:19" x14ac:dyDescent="0.3">
      <c r="A45" s="4">
        <v>45013</v>
      </c>
      <c r="B45" s="2">
        <v>9</v>
      </c>
      <c r="C45" s="2">
        <v>34</v>
      </c>
      <c r="D45" s="2">
        <v>17</v>
      </c>
      <c r="E45">
        <v>2237</v>
      </c>
      <c r="F45">
        <v>7</v>
      </c>
      <c r="G45" s="2">
        <f t="shared" si="0"/>
        <v>2271</v>
      </c>
      <c r="H45">
        <f t="shared" si="1"/>
        <v>2230</v>
      </c>
      <c r="I45" s="13">
        <f t="shared" si="2"/>
        <v>-2.6905829596412557E-3</v>
      </c>
      <c r="J45" t="str">
        <f t="shared" si="3"/>
        <v>No Backlog</v>
      </c>
      <c r="K45" s="13">
        <f t="shared" si="4"/>
        <v>0.98194627917217081</v>
      </c>
      <c r="L45" s="13">
        <f t="shared" si="5"/>
        <v>6.873623954205196</v>
      </c>
      <c r="M45" s="13">
        <f t="shared" si="6"/>
        <v>29.458388375165125</v>
      </c>
      <c r="N45" t="b">
        <f t="shared" si="7"/>
        <v>1</v>
      </c>
      <c r="O45">
        <f t="shared" si="8"/>
        <v>13</v>
      </c>
      <c r="P45" s="13">
        <f t="shared" si="9"/>
        <v>0.97624757064364898</v>
      </c>
      <c r="Q45" s="13">
        <f t="shared" si="10"/>
        <v>0.98207309394482567</v>
      </c>
      <c r="R45" s="15" t="b">
        <f t="shared" si="11"/>
        <v>0</v>
      </c>
      <c r="S45" s="13">
        <f t="shared" si="12"/>
        <v>3.0823425803610744E-3</v>
      </c>
    </row>
    <row r="46" spans="1:19" x14ac:dyDescent="0.3">
      <c r="A46" s="4">
        <v>45014</v>
      </c>
      <c r="B46" s="2">
        <v>9</v>
      </c>
      <c r="C46" s="2">
        <v>33</v>
      </c>
      <c r="D46" s="2">
        <v>15</v>
      </c>
      <c r="E46">
        <v>2233</v>
      </c>
      <c r="F46">
        <v>9</v>
      </c>
      <c r="G46" s="2">
        <f t="shared" si="0"/>
        <v>2266</v>
      </c>
      <c r="H46">
        <f t="shared" si="1"/>
        <v>2224</v>
      </c>
      <c r="I46" s="13">
        <f t="shared" si="2"/>
        <v>-6.2949640287769783E-3</v>
      </c>
      <c r="J46" t="str">
        <f t="shared" si="3"/>
        <v>No Backlog</v>
      </c>
      <c r="K46" s="13">
        <f t="shared" si="4"/>
        <v>0.98146513680494263</v>
      </c>
      <c r="L46" s="13">
        <f t="shared" si="5"/>
        <v>6.8702559576345985</v>
      </c>
      <c r="M46" s="13">
        <f t="shared" si="6"/>
        <v>29.443954104148279</v>
      </c>
      <c r="N46" t="b">
        <f t="shared" si="7"/>
        <v>1</v>
      </c>
      <c r="O46">
        <f t="shared" si="8"/>
        <v>13</v>
      </c>
      <c r="P46" s="13">
        <f t="shared" si="9"/>
        <v>0.97842281012136123</v>
      </c>
      <c r="Q46" s="13">
        <f t="shared" si="10"/>
        <v>0.97973852351012136</v>
      </c>
      <c r="R46" s="15" t="b">
        <f t="shared" si="11"/>
        <v>0</v>
      </c>
      <c r="S46" s="13">
        <f t="shared" si="12"/>
        <v>3.9717563989408646E-3</v>
      </c>
    </row>
    <row r="47" spans="1:19" x14ac:dyDescent="0.3">
      <c r="A47" s="4">
        <v>45015</v>
      </c>
      <c r="B47" s="2">
        <v>8</v>
      </c>
      <c r="C47" s="2">
        <v>29</v>
      </c>
      <c r="D47" s="2">
        <v>10</v>
      </c>
      <c r="E47">
        <v>2225</v>
      </c>
      <c r="F47">
        <v>15</v>
      </c>
      <c r="G47" s="2">
        <f t="shared" si="0"/>
        <v>2254</v>
      </c>
      <c r="H47">
        <f t="shared" si="1"/>
        <v>2210</v>
      </c>
      <c r="I47" s="13">
        <f t="shared" si="2"/>
        <v>7.6923076923076927E-3</v>
      </c>
      <c r="J47" t="str">
        <f t="shared" si="3"/>
        <v>Backlog</v>
      </c>
      <c r="K47" s="13">
        <f t="shared" si="4"/>
        <v>0.98047914818101156</v>
      </c>
      <c r="L47" s="13">
        <f t="shared" si="5"/>
        <v>6.8633540372670812</v>
      </c>
      <c r="M47" s="13">
        <f t="shared" si="6"/>
        <v>29.414374445430347</v>
      </c>
      <c r="N47" t="b">
        <f t="shared" si="7"/>
        <v>1</v>
      </c>
      <c r="O47">
        <f t="shared" si="8"/>
        <v>13</v>
      </c>
      <c r="P47" s="13">
        <f t="shared" si="9"/>
        <v>0.98055488940582114</v>
      </c>
      <c r="Q47" s="13">
        <f t="shared" si="10"/>
        <v>0.98150394190659773</v>
      </c>
      <c r="R47" s="15" t="str">
        <f t="shared" si="11"/>
        <v>STRAIN</v>
      </c>
      <c r="S47" s="13">
        <f t="shared" si="12"/>
        <v>6.6548358473824312E-3</v>
      </c>
    </row>
    <row r="48" spans="1:19" x14ac:dyDescent="0.3">
      <c r="A48" s="4">
        <v>45018</v>
      </c>
      <c r="B48" s="2">
        <v>7</v>
      </c>
      <c r="C48" s="2">
        <v>30</v>
      </c>
      <c r="D48" s="2">
        <v>16</v>
      </c>
      <c r="E48">
        <v>2235</v>
      </c>
      <c r="F48">
        <v>8</v>
      </c>
      <c r="G48" s="2">
        <f t="shared" si="0"/>
        <v>2265</v>
      </c>
      <c r="H48">
        <f t="shared" si="1"/>
        <v>2227</v>
      </c>
      <c r="I48" s="13">
        <f t="shared" si="2"/>
        <v>-4.4903457566232603E-3</v>
      </c>
      <c r="J48" t="str">
        <f t="shared" si="3"/>
        <v>No Backlog</v>
      </c>
      <c r="K48" s="13">
        <f t="shared" si="4"/>
        <v>0.98322295805739512</v>
      </c>
      <c r="L48" s="13">
        <f t="shared" si="5"/>
        <v>6.8825607064017662</v>
      </c>
      <c r="M48" s="13">
        <f t="shared" si="6"/>
        <v>29.496688741721854</v>
      </c>
      <c r="N48" t="b">
        <f t="shared" si="7"/>
        <v>1</v>
      </c>
      <c r="O48">
        <f t="shared" si="8"/>
        <v>14</v>
      </c>
      <c r="P48" s="13">
        <f t="shared" si="9"/>
        <v>0.98164771091275549</v>
      </c>
      <c r="Q48" s="13">
        <f t="shared" si="10"/>
        <v>0.97938259116529192</v>
      </c>
      <c r="R48" s="15" t="b">
        <f t="shared" si="11"/>
        <v>0</v>
      </c>
      <c r="S48" s="13">
        <f t="shared" si="12"/>
        <v>3.5320088300220751E-3</v>
      </c>
    </row>
    <row r="49" spans="1:19" x14ac:dyDescent="0.3">
      <c r="A49" s="4">
        <v>45019</v>
      </c>
      <c r="B49" s="2">
        <v>8</v>
      </c>
      <c r="C49" s="2">
        <v>24</v>
      </c>
      <c r="D49" s="2">
        <v>7</v>
      </c>
      <c r="E49">
        <v>2223</v>
      </c>
      <c r="F49">
        <v>6</v>
      </c>
      <c r="G49" s="2">
        <f t="shared" si="0"/>
        <v>2247</v>
      </c>
      <c r="H49">
        <f t="shared" si="1"/>
        <v>2217</v>
      </c>
      <c r="I49" s="13">
        <f t="shared" si="2"/>
        <v>-1.6689219666215605E-2</v>
      </c>
      <c r="J49" t="str">
        <f t="shared" si="3"/>
        <v>No Backlog</v>
      </c>
      <c r="K49" s="13">
        <f t="shared" si="4"/>
        <v>0.986648865153538</v>
      </c>
      <c r="L49" s="13">
        <f t="shared" si="5"/>
        <v>6.9065420560747661</v>
      </c>
      <c r="M49" s="13">
        <f t="shared" si="6"/>
        <v>29.599465954606138</v>
      </c>
      <c r="N49" t="b">
        <f t="shared" si="7"/>
        <v>1</v>
      </c>
      <c r="O49">
        <f t="shared" si="8"/>
        <v>14</v>
      </c>
      <c r="P49" s="13">
        <f t="shared" si="9"/>
        <v>0.97820027907789764</v>
      </c>
      <c r="Q49" s="13">
        <f t="shared" si="10"/>
        <v>0.98068656492971018</v>
      </c>
      <c r="R49" s="15" t="b">
        <f t="shared" si="11"/>
        <v>0</v>
      </c>
      <c r="S49" s="13">
        <f t="shared" si="12"/>
        <v>2.6702269692923898E-3</v>
      </c>
    </row>
    <row r="50" spans="1:19" x14ac:dyDescent="0.3">
      <c r="A50" s="4">
        <v>45020</v>
      </c>
      <c r="B50" s="2">
        <v>11</v>
      </c>
      <c r="C50" s="2">
        <v>55</v>
      </c>
      <c r="D50" s="2">
        <v>13</v>
      </c>
      <c r="E50">
        <v>2192</v>
      </c>
      <c r="F50">
        <v>12</v>
      </c>
      <c r="G50" s="2">
        <f t="shared" si="0"/>
        <v>2247</v>
      </c>
      <c r="H50">
        <f t="shared" si="1"/>
        <v>2180</v>
      </c>
      <c r="I50" s="13">
        <f t="shared" si="2"/>
        <v>-2.2935779816513763E-3</v>
      </c>
      <c r="J50" t="str">
        <f t="shared" si="3"/>
        <v>No Backlog</v>
      </c>
      <c r="K50" s="13">
        <f t="shared" si="4"/>
        <v>0.97018246550956833</v>
      </c>
      <c r="L50" s="13">
        <f t="shared" si="5"/>
        <v>6.7912772585669785</v>
      </c>
      <c r="M50" s="13">
        <f t="shared" si="6"/>
        <v>29.10547396528705</v>
      </c>
      <c r="N50" t="b">
        <f t="shared" si="7"/>
        <v>1</v>
      </c>
      <c r="O50">
        <f t="shared" si="8"/>
        <v>14</v>
      </c>
      <c r="P50" s="13">
        <f t="shared" si="9"/>
        <v>0.97438995770924675</v>
      </c>
      <c r="Q50" s="13">
        <f t="shared" si="10"/>
        <v>0.97339934829811292</v>
      </c>
      <c r="R50" s="15" t="b">
        <f t="shared" si="11"/>
        <v>0</v>
      </c>
      <c r="S50" s="13">
        <f t="shared" si="12"/>
        <v>5.3404539385847796E-3</v>
      </c>
    </row>
    <row r="51" spans="1:19" x14ac:dyDescent="0.3">
      <c r="A51" s="4">
        <v>45021</v>
      </c>
      <c r="B51" s="2">
        <v>8</v>
      </c>
      <c r="C51" s="2">
        <v>49</v>
      </c>
      <c r="D51" s="2">
        <v>15</v>
      </c>
      <c r="E51">
        <v>2192</v>
      </c>
      <c r="F51">
        <v>17</v>
      </c>
      <c r="G51" s="2">
        <f t="shared" si="0"/>
        <v>2241</v>
      </c>
      <c r="H51">
        <f t="shared" si="1"/>
        <v>2175</v>
      </c>
      <c r="I51" s="13">
        <f t="shared" si="2"/>
        <v>1.8390804597701149E-3</v>
      </c>
      <c r="J51" t="str">
        <f t="shared" si="3"/>
        <v>Backlog</v>
      </c>
      <c r="K51" s="13">
        <f t="shared" si="4"/>
        <v>0.97054886211512714</v>
      </c>
      <c r="L51" s="13">
        <f t="shared" si="5"/>
        <v>6.7938420348058903</v>
      </c>
      <c r="M51" s="13">
        <f t="shared" si="6"/>
        <v>29.116465863453815</v>
      </c>
      <c r="N51" t="b">
        <f t="shared" si="7"/>
        <v>1</v>
      </c>
      <c r="O51">
        <f t="shared" si="8"/>
        <v>14</v>
      </c>
      <c r="P51" s="13">
        <f t="shared" si="9"/>
        <v>0.97637438541630384</v>
      </c>
      <c r="Q51" s="13">
        <f t="shared" si="10"/>
        <v>0.97381179923729766</v>
      </c>
      <c r="R51" s="15" t="str">
        <f t="shared" si="11"/>
        <v>STRAIN</v>
      </c>
      <c r="S51" s="13">
        <f t="shared" si="12"/>
        <v>7.5858991521642128E-3</v>
      </c>
    </row>
    <row r="52" spans="1:19" x14ac:dyDescent="0.3">
      <c r="A52" s="4">
        <v>45022</v>
      </c>
      <c r="B52" s="2">
        <v>11</v>
      </c>
      <c r="C52" s="2">
        <v>45</v>
      </c>
      <c r="D52" s="2">
        <v>4</v>
      </c>
      <c r="E52">
        <v>2189</v>
      </c>
      <c r="F52">
        <v>10</v>
      </c>
      <c r="G52" s="2">
        <f t="shared" si="0"/>
        <v>2234</v>
      </c>
      <c r="H52">
        <f t="shared" si="1"/>
        <v>2179</v>
      </c>
      <c r="I52" s="13">
        <f t="shared" si="2"/>
        <v>-9.1785222579164757E-4</v>
      </c>
      <c r="J52" t="str">
        <f t="shared" si="3"/>
        <v>No Backlog</v>
      </c>
      <c r="K52" s="13">
        <f t="shared" si="4"/>
        <v>0.97538048343777972</v>
      </c>
      <c r="L52" s="13">
        <f t="shared" si="5"/>
        <v>6.8276633840644578</v>
      </c>
      <c r="M52" s="13">
        <f t="shared" si="6"/>
        <v>29.261414503133391</v>
      </c>
      <c r="N52" t="b">
        <f t="shared" si="7"/>
        <v>1</v>
      </c>
      <c r="O52">
        <f t="shared" si="8"/>
        <v>14</v>
      </c>
      <c r="P52" s="13">
        <f t="shared" si="9"/>
        <v>0.97669619682653996</v>
      </c>
      <c r="Q52" s="13">
        <f t="shared" si="10"/>
        <v>0.97846940262253201</v>
      </c>
      <c r="R52" s="15" t="b">
        <f t="shared" si="11"/>
        <v>0</v>
      </c>
      <c r="S52" s="13">
        <f t="shared" si="12"/>
        <v>4.4762757385854966E-3</v>
      </c>
    </row>
    <row r="53" spans="1:19" x14ac:dyDescent="0.3">
      <c r="A53" s="4">
        <v>45025</v>
      </c>
      <c r="B53" s="2">
        <v>5</v>
      </c>
      <c r="C53" s="2">
        <v>33</v>
      </c>
      <c r="D53" s="2">
        <v>15</v>
      </c>
      <c r="E53">
        <v>2187</v>
      </c>
      <c r="F53">
        <v>10</v>
      </c>
      <c r="G53" s="2">
        <f t="shared" si="0"/>
        <v>2220</v>
      </c>
      <c r="H53">
        <f t="shared" si="1"/>
        <v>2177</v>
      </c>
      <c r="I53" s="13">
        <f t="shared" si="2"/>
        <v>-5.9715204409738175E-3</v>
      </c>
      <c r="J53" t="str">
        <f t="shared" si="3"/>
        <v>No Backlog</v>
      </c>
      <c r="K53" s="13">
        <f t="shared" si="4"/>
        <v>0.98063063063063061</v>
      </c>
      <c r="L53" s="13">
        <f t="shared" si="5"/>
        <v>6.8644144144144139</v>
      </c>
      <c r="M53" s="13">
        <f t="shared" si="6"/>
        <v>29.418918918918919</v>
      </c>
      <c r="N53" t="b">
        <f t="shared" si="7"/>
        <v>1</v>
      </c>
      <c r="O53">
        <f t="shared" si="8"/>
        <v>15</v>
      </c>
      <c r="P53" s="13">
        <f t="shared" si="9"/>
        <v>0.9815796831314072</v>
      </c>
      <c r="Q53" s="13">
        <f t="shared" si="10"/>
        <v>0.97495218682369522</v>
      </c>
      <c r="R53" s="15" t="b">
        <f t="shared" si="11"/>
        <v>0</v>
      </c>
      <c r="S53" s="13">
        <f t="shared" si="12"/>
        <v>4.5045045045045045E-3</v>
      </c>
    </row>
    <row r="54" spans="1:19" x14ac:dyDescent="0.3">
      <c r="A54" s="4">
        <v>45026</v>
      </c>
      <c r="B54" s="2">
        <v>8</v>
      </c>
      <c r="C54" s="2">
        <v>28</v>
      </c>
      <c r="D54" s="2">
        <v>13</v>
      </c>
      <c r="E54">
        <v>2180</v>
      </c>
      <c r="F54">
        <v>16</v>
      </c>
      <c r="G54" s="2">
        <f t="shared" si="0"/>
        <v>2208</v>
      </c>
      <c r="H54">
        <f t="shared" si="1"/>
        <v>2164</v>
      </c>
      <c r="I54" s="13">
        <f t="shared" si="2"/>
        <v>-7.3937153419593345E-3</v>
      </c>
      <c r="J54" t="str">
        <f t="shared" si="3"/>
        <v>No Backlog</v>
      </c>
      <c r="K54" s="13">
        <f t="shared" si="4"/>
        <v>0.98007246376811596</v>
      </c>
      <c r="L54" s="13">
        <f t="shared" si="5"/>
        <v>6.8605072463768115</v>
      </c>
      <c r="M54" s="13">
        <f t="shared" si="6"/>
        <v>29.40217391304348</v>
      </c>
      <c r="N54" t="b">
        <f t="shared" si="7"/>
        <v>1</v>
      </c>
      <c r="O54">
        <f t="shared" si="8"/>
        <v>15</v>
      </c>
      <c r="P54" s="13">
        <f t="shared" si="9"/>
        <v>0.97780734402065228</v>
      </c>
      <c r="Q54" s="13">
        <f t="shared" si="10"/>
        <v>0.97808684106868782</v>
      </c>
      <c r="R54" s="15" t="b">
        <f t="shared" si="11"/>
        <v>0</v>
      </c>
      <c r="S54" s="13">
        <f t="shared" si="12"/>
        <v>7.246376811594203E-3</v>
      </c>
    </row>
    <row r="55" spans="1:19" x14ac:dyDescent="0.3">
      <c r="A55" s="4">
        <v>45027</v>
      </c>
      <c r="B55" s="2">
        <v>20</v>
      </c>
      <c r="C55" s="2">
        <v>51</v>
      </c>
      <c r="D55" s="2">
        <v>15</v>
      </c>
      <c r="E55">
        <v>2164</v>
      </c>
      <c r="F55">
        <v>16</v>
      </c>
      <c r="G55" s="2">
        <f t="shared" si="0"/>
        <v>2215</v>
      </c>
      <c r="H55">
        <f t="shared" si="1"/>
        <v>2148</v>
      </c>
      <c r="I55" s="13">
        <f t="shared" si="2"/>
        <v>4.6554934823091247E-4</v>
      </c>
      <c r="J55" t="str">
        <f t="shared" si="3"/>
        <v>Backlog</v>
      </c>
      <c r="K55" s="13">
        <f t="shared" si="4"/>
        <v>0.96975169300225739</v>
      </c>
      <c r="L55" s="13">
        <f t="shared" si="5"/>
        <v>6.7882618510158022</v>
      </c>
      <c r="M55" s="13">
        <f t="shared" si="6"/>
        <v>29.092550790067722</v>
      </c>
      <c r="N55" t="b">
        <f t="shared" si="7"/>
        <v>1</v>
      </c>
      <c r="O55">
        <f t="shared" si="8"/>
        <v>15</v>
      </c>
      <c r="P55" s="13">
        <f t="shared" si="9"/>
        <v>0.97223797885406982</v>
      </c>
      <c r="Q55" s="13">
        <f t="shared" si="10"/>
        <v>0.9754552153188395</v>
      </c>
      <c r="R55" s="15" t="str">
        <f t="shared" si="11"/>
        <v>STRAIN</v>
      </c>
      <c r="S55" s="13">
        <f t="shared" si="12"/>
        <v>7.2234762979683969E-3</v>
      </c>
    </row>
    <row r="56" spans="1:19" x14ac:dyDescent="0.3">
      <c r="A56" s="4">
        <v>45028</v>
      </c>
      <c r="B56" s="2">
        <v>4</v>
      </c>
      <c r="C56" s="2">
        <v>33</v>
      </c>
      <c r="D56" s="2">
        <v>12</v>
      </c>
      <c r="E56">
        <v>2163</v>
      </c>
      <c r="F56">
        <v>14</v>
      </c>
      <c r="G56" s="2">
        <f t="shared" si="0"/>
        <v>2196</v>
      </c>
      <c r="H56">
        <f t="shared" si="1"/>
        <v>2149</v>
      </c>
      <c r="I56" s="13">
        <f t="shared" si="2"/>
        <v>1.3959981386691485E-3</v>
      </c>
      <c r="J56" t="str">
        <f t="shared" si="3"/>
        <v>Backlog</v>
      </c>
      <c r="K56" s="13">
        <f t="shared" si="4"/>
        <v>0.97859744990892528</v>
      </c>
      <c r="L56" s="13">
        <f t="shared" si="5"/>
        <v>6.8501821493624773</v>
      </c>
      <c r="M56" s="13">
        <f t="shared" si="6"/>
        <v>29.357923497267759</v>
      </c>
      <c r="N56" t="b">
        <f t="shared" si="7"/>
        <v>1</v>
      </c>
      <c r="O56">
        <f t="shared" si="8"/>
        <v>15</v>
      </c>
      <c r="P56" s="13">
        <f t="shared" si="9"/>
        <v>0.97760684049779134</v>
      </c>
      <c r="Q56" s="13">
        <f t="shared" si="10"/>
        <v>0.97593726222591126</v>
      </c>
      <c r="R56" s="15" t="str">
        <f t="shared" si="11"/>
        <v>STRAIN</v>
      </c>
      <c r="S56" s="13">
        <f t="shared" si="12"/>
        <v>6.375227686703097E-3</v>
      </c>
    </row>
    <row r="57" spans="1:19" x14ac:dyDescent="0.3">
      <c r="A57" s="4">
        <v>45029</v>
      </c>
      <c r="B57" s="2">
        <v>8</v>
      </c>
      <c r="C57" s="2">
        <v>32</v>
      </c>
      <c r="D57" s="2">
        <v>12</v>
      </c>
      <c r="E57">
        <v>2159</v>
      </c>
      <c r="F57">
        <v>7</v>
      </c>
      <c r="G57" s="2">
        <f t="shared" si="0"/>
        <v>2191</v>
      </c>
      <c r="H57">
        <f t="shared" si="1"/>
        <v>2152</v>
      </c>
      <c r="I57" s="13">
        <f t="shared" si="2"/>
        <v>-7.8996282527881035E-3</v>
      </c>
      <c r="J57" t="str">
        <f t="shared" si="3"/>
        <v>No Backlog</v>
      </c>
      <c r="K57" s="13">
        <f t="shared" si="4"/>
        <v>0.98219990871748064</v>
      </c>
      <c r="L57" s="13">
        <f t="shared" si="5"/>
        <v>6.8753993610223647</v>
      </c>
      <c r="M57" s="13">
        <f t="shared" si="6"/>
        <v>29.465997261524418</v>
      </c>
      <c r="N57" t="b">
        <f t="shared" si="7"/>
        <v>1</v>
      </c>
      <c r="O57">
        <f t="shared" si="8"/>
        <v>15</v>
      </c>
      <c r="P57" s="13">
        <f t="shared" si="9"/>
        <v>0.97963732253847446</v>
      </c>
      <c r="Q57" s="13">
        <f t="shared" si="10"/>
        <v>0.98073237660190715</v>
      </c>
      <c r="R57" s="15" t="b">
        <f t="shared" si="11"/>
        <v>0</v>
      </c>
      <c r="S57" s="13">
        <f t="shared" si="12"/>
        <v>3.1948881789137379E-3</v>
      </c>
    </row>
    <row r="58" spans="1:19" x14ac:dyDescent="0.3">
      <c r="A58" s="4">
        <v>45032</v>
      </c>
      <c r="B58" s="2">
        <v>8</v>
      </c>
      <c r="C58" s="2">
        <v>35</v>
      </c>
      <c r="D58" s="2">
        <v>12</v>
      </c>
      <c r="E58">
        <v>2148</v>
      </c>
      <c r="F58">
        <v>13</v>
      </c>
      <c r="G58" s="2">
        <f t="shared" si="0"/>
        <v>2183</v>
      </c>
      <c r="H58">
        <f t="shared" si="1"/>
        <v>2135</v>
      </c>
      <c r="I58" s="13">
        <f t="shared" si="2"/>
        <v>9.3676814988290398E-4</v>
      </c>
      <c r="J58" t="str">
        <f t="shared" si="3"/>
        <v>Backlog</v>
      </c>
      <c r="K58" s="13">
        <f t="shared" si="4"/>
        <v>0.9780119102153001</v>
      </c>
      <c r="L58" s="13">
        <f t="shared" si="5"/>
        <v>6.8460833715071008</v>
      </c>
      <c r="M58" s="13">
        <f t="shared" si="6"/>
        <v>29.340357306459001</v>
      </c>
      <c r="N58" t="b">
        <f t="shared" si="7"/>
        <v>1</v>
      </c>
      <c r="O58">
        <f t="shared" si="8"/>
        <v>16</v>
      </c>
      <c r="P58" s="13">
        <f t="shared" si="9"/>
        <v>0.97978511601129226</v>
      </c>
      <c r="Q58" s="13">
        <f t="shared" si="10"/>
        <v>0.97845439635465237</v>
      </c>
      <c r="R58" s="15" t="str">
        <f t="shared" si="11"/>
        <v>STRAIN</v>
      </c>
      <c r="S58" s="13">
        <f t="shared" si="12"/>
        <v>5.9551076500229038E-3</v>
      </c>
    </row>
    <row r="59" spans="1:19" x14ac:dyDescent="0.3">
      <c r="A59" s="4">
        <v>45033</v>
      </c>
      <c r="B59" s="2">
        <v>11</v>
      </c>
      <c r="C59" s="2">
        <v>29</v>
      </c>
      <c r="D59" s="2">
        <v>12</v>
      </c>
      <c r="E59">
        <v>2146</v>
      </c>
      <c r="F59">
        <v>9</v>
      </c>
      <c r="G59" s="2">
        <f t="shared" si="0"/>
        <v>2175</v>
      </c>
      <c r="H59">
        <f t="shared" si="1"/>
        <v>2137</v>
      </c>
      <c r="I59" s="13">
        <f t="shared" si="2"/>
        <v>-1.0762751520823585E-2</v>
      </c>
      <c r="J59" t="str">
        <f t="shared" si="3"/>
        <v>No Backlog</v>
      </c>
      <c r="K59" s="13">
        <f t="shared" si="4"/>
        <v>0.9825287356321839</v>
      </c>
      <c r="L59" s="13">
        <f t="shared" si="5"/>
        <v>6.8777011494252873</v>
      </c>
      <c r="M59" s="13">
        <f t="shared" si="6"/>
        <v>29.475862068965519</v>
      </c>
      <c r="N59" t="b">
        <f t="shared" si="7"/>
        <v>1</v>
      </c>
      <c r="O59">
        <f t="shared" si="8"/>
        <v>16</v>
      </c>
      <c r="P59" s="13">
        <f t="shared" si="9"/>
        <v>0.97590123932447181</v>
      </c>
      <c r="Q59" s="13">
        <f t="shared" si="10"/>
        <v>0.97557903963076376</v>
      </c>
      <c r="R59" s="15" t="b">
        <f t="shared" si="11"/>
        <v>0</v>
      </c>
      <c r="S59" s="13">
        <f t="shared" si="12"/>
        <v>4.1379310344827587E-3</v>
      </c>
    </row>
    <row r="60" spans="1:19" x14ac:dyDescent="0.3">
      <c r="A60" s="4">
        <v>45034</v>
      </c>
      <c r="B60" s="2">
        <v>6</v>
      </c>
      <c r="C60" s="2">
        <v>35</v>
      </c>
      <c r="D60" s="2">
        <v>12</v>
      </c>
      <c r="E60">
        <v>2132</v>
      </c>
      <c r="F60">
        <v>18</v>
      </c>
      <c r="G60" s="2">
        <f t="shared" si="0"/>
        <v>2167</v>
      </c>
      <c r="H60">
        <f t="shared" si="1"/>
        <v>2114</v>
      </c>
      <c r="I60" s="13">
        <f t="shared" si="2"/>
        <v>3.3112582781456954E-3</v>
      </c>
      <c r="J60" t="str">
        <f t="shared" si="3"/>
        <v>Backlog</v>
      </c>
      <c r="K60" s="13">
        <f t="shared" si="4"/>
        <v>0.97554222427318871</v>
      </c>
      <c r="L60" s="13">
        <f t="shared" si="5"/>
        <v>6.8287955699123213</v>
      </c>
      <c r="M60" s="13">
        <f t="shared" si="6"/>
        <v>29.26626672819566</v>
      </c>
      <c r="N60" t="b">
        <f t="shared" si="7"/>
        <v>1</v>
      </c>
      <c r="O60">
        <f t="shared" si="8"/>
        <v>16</v>
      </c>
      <c r="P60" s="13">
        <f t="shared" si="9"/>
        <v>0.97582172132122413</v>
      </c>
      <c r="Q60" s="13">
        <f t="shared" si="10"/>
        <v>0.9742117901026961</v>
      </c>
      <c r="R60" s="15" t="str">
        <f t="shared" si="11"/>
        <v>STRAIN</v>
      </c>
      <c r="S60" s="13">
        <f t="shared" si="12"/>
        <v>8.3064143977849558E-3</v>
      </c>
    </row>
    <row r="61" spans="1:19" x14ac:dyDescent="0.3">
      <c r="A61" s="4">
        <v>45035</v>
      </c>
      <c r="B61" s="2">
        <v>3</v>
      </c>
      <c r="C61" s="2">
        <v>38</v>
      </c>
      <c r="D61" s="2">
        <v>12</v>
      </c>
      <c r="E61">
        <v>2138</v>
      </c>
      <c r="F61">
        <v>17</v>
      </c>
      <c r="G61" s="2">
        <f t="shared" si="0"/>
        <v>2176</v>
      </c>
      <c r="H61">
        <f t="shared" si="1"/>
        <v>2121</v>
      </c>
      <c r="I61" s="13">
        <f t="shared" si="2"/>
        <v>4.2432814710042432E-3</v>
      </c>
      <c r="J61" t="str">
        <f t="shared" si="3"/>
        <v>Backlog</v>
      </c>
      <c r="K61" s="13">
        <f t="shared" si="4"/>
        <v>0.97472426470588236</v>
      </c>
      <c r="L61" s="13">
        <f t="shared" si="5"/>
        <v>6.8230698529411766</v>
      </c>
      <c r="M61" s="13">
        <f t="shared" si="6"/>
        <v>29.241727941176471</v>
      </c>
      <c r="N61" t="b">
        <f t="shared" si="7"/>
        <v>1</v>
      </c>
      <c r="O61">
        <f t="shared" si="8"/>
        <v>16</v>
      </c>
      <c r="P61" s="13">
        <f t="shared" si="9"/>
        <v>0.97794150117065204</v>
      </c>
      <c r="Q61" s="13">
        <f t="shared" si="10"/>
        <v>0.97980115674318502</v>
      </c>
      <c r="R61" s="15" t="str">
        <f t="shared" si="11"/>
        <v>STRAIN</v>
      </c>
      <c r="S61" s="13">
        <f t="shared" si="12"/>
        <v>7.8125E-3</v>
      </c>
    </row>
    <row r="62" spans="1:19" x14ac:dyDescent="0.3">
      <c r="A62" s="4">
        <v>45036</v>
      </c>
      <c r="B62" s="2">
        <v>11</v>
      </c>
      <c r="C62" s="2">
        <v>36</v>
      </c>
      <c r="D62" s="2">
        <v>10</v>
      </c>
      <c r="E62">
        <v>2145</v>
      </c>
      <c r="F62">
        <v>15</v>
      </c>
      <c r="G62" s="2">
        <f t="shared" si="0"/>
        <v>2181</v>
      </c>
      <c r="H62">
        <f t="shared" si="1"/>
        <v>2130</v>
      </c>
      <c r="I62" s="13">
        <f t="shared" si="2"/>
        <v>4.6948356807511736E-4</v>
      </c>
      <c r="J62" t="str">
        <f t="shared" si="3"/>
        <v>Backlog</v>
      </c>
      <c r="K62" s="13">
        <f t="shared" si="4"/>
        <v>0.97661623108665752</v>
      </c>
      <c r="L62" s="13">
        <f t="shared" si="5"/>
        <v>6.8363136176066028</v>
      </c>
      <c r="M62" s="13">
        <f t="shared" si="6"/>
        <v>29.298486932599726</v>
      </c>
      <c r="N62" t="b">
        <f t="shared" si="7"/>
        <v>1</v>
      </c>
      <c r="O62">
        <f t="shared" si="8"/>
        <v>16</v>
      </c>
      <c r="P62" s="13">
        <f t="shared" si="9"/>
        <v>0.97494665281477744</v>
      </c>
      <c r="Q62" s="13">
        <f t="shared" si="10"/>
        <v>0.9819511473281699</v>
      </c>
      <c r="R62" s="15" t="str">
        <f t="shared" si="11"/>
        <v>STRAIN</v>
      </c>
      <c r="S62" s="13">
        <f t="shared" si="12"/>
        <v>6.8775790921595595E-3</v>
      </c>
    </row>
    <row r="63" spans="1:19" x14ac:dyDescent="0.3">
      <c r="A63" s="4">
        <v>45039</v>
      </c>
      <c r="B63" s="2">
        <v>17</v>
      </c>
      <c r="C63" s="2">
        <v>40</v>
      </c>
      <c r="D63" s="2">
        <v>14</v>
      </c>
      <c r="E63">
        <v>2141</v>
      </c>
      <c r="F63">
        <v>10</v>
      </c>
      <c r="G63" s="2">
        <f t="shared" si="0"/>
        <v>2181</v>
      </c>
      <c r="H63">
        <f t="shared" si="1"/>
        <v>2131</v>
      </c>
      <c r="I63" s="13">
        <f t="shared" si="2"/>
        <v>-9.3852651337400278E-4</v>
      </c>
      <c r="J63" t="str">
        <f t="shared" si="3"/>
        <v>No Backlog</v>
      </c>
      <c r="K63" s="13">
        <f t="shared" si="4"/>
        <v>0.97707473635946818</v>
      </c>
      <c r="L63" s="13">
        <f t="shared" si="5"/>
        <v>6.8395231545162769</v>
      </c>
      <c r="M63" s="13">
        <f t="shared" si="6"/>
        <v>29.312242090784046</v>
      </c>
      <c r="N63" t="b">
        <f t="shared" si="7"/>
        <v>1</v>
      </c>
      <c r="O63">
        <f t="shared" si="8"/>
        <v>17</v>
      </c>
      <c r="P63" s="13">
        <f t="shared" si="9"/>
        <v>0.97816979042290098</v>
      </c>
      <c r="Q63" s="13">
        <f t="shared" si="10"/>
        <v>0.97539868204834723</v>
      </c>
      <c r="R63" s="15" t="b">
        <f t="shared" si="11"/>
        <v>0</v>
      </c>
      <c r="S63" s="13">
        <f t="shared" si="12"/>
        <v>4.585052728106373E-3</v>
      </c>
    </row>
    <row r="64" spans="1:19" x14ac:dyDescent="0.3">
      <c r="A64" s="4">
        <v>45040</v>
      </c>
      <c r="B64" s="2">
        <v>8</v>
      </c>
      <c r="C64" s="2">
        <v>35</v>
      </c>
      <c r="D64" s="2">
        <v>13</v>
      </c>
      <c r="E64">
        <v>2134</v>
      </c>
      <c r="F64">
        <v>5</v>
      </c>
      <c r="G64" s="2">
        <f t="shared" si="0"/>
        <v>2169</v>
      </c>
      <c r="H64">
        <f t="shared" si="1"/>
        <v>2129</v>
      </c>
      <c r="I64" s="13">
        <f t="shared" si="2"/>
        <v>-2.2076092062000941E-2</v>
      </c>
      <c r="J64" t="str">
        <f t="shared" si="3"/>
        <v>No Backlog</v>
      </c>
      <c r="K64" s="13">
        <f t="shared" si="4"/>
        <v>0.98155832180728442</v>
      </c>
      <c r="L64" s="13">
        <f t="shared" si="5"/>
        <v>6.8709082526509908</v>
      </c>
      <c r="M64" s="13">
        <f t="shared" si="6"/>
        <v>29.446749654218532</v>
      </c>
      <c r="N64" t="b">
        <f t="shared" si="7"/>
        <v>1</v>
      </c>
      <c r="O64">
        <f t="shared" si="8"/>
        <v>17</v>
      </c>
      <c r="P64" s="13">
        <f t="shared" si="9"/>
        <v>0.98022760215064464</v>
      </c>
      <c r="Q64" s="13">
        <f t="shared" si="10"/>
        <v>0.98125767652864226</v>
      </c>
      <c r="R64" s="15" t="b">
        <f t="shared" si="11"/>
        <v>0</v>
      </c>
      <c r="S64" s="13">
        <f t="shared" si="12"/>
        <v>2.3052097740894422E-3</v>
      </c>
    </row>
    <row r="65" spans="1:19" x14ac:dyDescent="0.3">
      <c r="A65" s="4">
        <v>45041</v>
      </c>
      <c r="B65" s="2">
        <v>20</v>
      </c>
      <c r="C65" s="2">
        <v>52</v>
      </c>
      <c r="D65" s="2">
        <v>11</v>
      </c>
      <c r="E65">
        <v>2096</v>
      </c>
      <c r="F65">
        <v>14</v>
      </c>
      <c r="G65" s="2">
        <f t="shared" si="0"/>
        <v>2148</v>
      </c>
      <c r="H65">
        <f t="shared" si="1"/>
        <v>2082</v>
      </c>
      <c r="I65" s="13">
        <f t="shared" si="2"/>
        <v>4.8030739673390969E-4</v>
      </c>
      <c r="J65" t="str">
        <f t="shared" si="3"/>
        <v>Backlog</v>
      </c>
      <c r="K65" s="13">
        <f t="shared" si="4"/>
        <v>0.96927374301675973</v>
      </c>
      <c r="L65" s="13">
        <f t="shared" si="5"/>
        <v>6.7849162011173183</v>
      </c>
      <c r="M65" s="13">
        <f t="shared" si="6"/>
        <v>29.07821229050279</v>
      </c>
      <c r="N65" t="b">
        <f t="shared" si="7"/>
        <v>1</v>
      </c>
      <c r="O65">
        <f t="shared" si="8"/>
        <v>17</v>
      </c>
      <c r="P65" s="13">
        <f t="shared" si="9"/>
        <v>0.96895154332305167</v>
      </c>
      <c r="Q65" s="13">
        <f t="shared" si="10"/>
        <v>0.97393127540132385</v>
      </c>
      <c r="R65" s="15" t="str">
        <f t="shared" si="11"/>
        <v>STRAIN</v>
      </c>
      <c r="S65" s="13">
        <f t="shared" si="12"/>
        <v>6.5176908752327747E-3</v>
      </c>
    </row>
    <row r="66" spans="1:19" x14ac:dyDescent="0.3">
      <c r="A66" s="4">
        <v>45042</v>
      </c>
      <c r="B66" s="2">
        <v>7</v>
      </c>
      <c r="C66" s="2">
        <v>38</v>
      </c>
      <c r="D66" s="2">
        <v>5</v>
      </c>
      <c r="E66">
        <v>2096</v>
      </c>
      <c r="F66">
        <v>13</v>
      </c>
      <c r="G66" s="2">
        <f t="shared" si="0"/>
        <v>2134</v>
      </c>
      <c r="H66">
        <f t="shared" si="1"/>
        <v>2083</v>
      </c>
      <c r="I66" s="13">
        <f t="shared" si="2"/>
        <v>0</v>
      </c>
      <c r="J66" t="str">
        <f t="shared" si="3"/>
        <v>No Backlog</v>
      </c>
      <c r="K66" s="13">
        <f t="shared" si="4"/>
        <v>0.97610121836925956</v>
      </c>
      <c r="L66" s="13">
        <f t="shared" si="5"/>
        <v>6.832708528584817</v>
      </c>
      <c r="M66" s="13">
        <f t="shared" si="6"/>
        <v>29.283036551077785</v>
      </c>
      <c r="N66" t="b">
        <f t="shared" si="7"/>
        <v>1</v>
      </c>
      <c r="O66">
        <f t="shared" si="8"/>
        <v>17</v>
      </c>
      <c r="P66" s="13">
        <f t="shared" si="9"/>
        <v>0.97449128715073141</v>
      </c>
      <c r="Q66" s="13">
        <f t="shared" si="10"/>
        <v>0.97971318888055914</v>
      </c>
      <c r="R66" s="15" t="b">
        <f t="shared" si="11"/>
        <v>0</v>
      </c>
      <c r="S66" s="13">
        <f t="shared" si="12"/>
        <v>6.0918462980318654E-3</v>
      </c>
    </row>
    <row r="67" spans="1:19" x14ac:dyDescent="0.3">
      <c r="A67" s="4">
        <v>45043</v>
      </c>
      <c r="B67" s="2">
        <v>7</v>
      </c>
      <c r="C67" s="2">
        <v>28</v>
      </c>
      <c r="D67" s="2">
        <v>17</v>
      </c>
      <c r="E67">
        <v>2095</v>
      </c>
      <c r="F67">
        <v>12</v>
      </c>
      <c r="G67" s="2">
        <f t="shared" ref="G67:G130" si="13">C67+E67</f>
        <v>2123</v>
      </c>
      <c r="H67">
        <f t="shared" ref="H67:H130" si="14">E67-F67</f>
        <v>2083</v>
      </c>
      <c r="I67" s="13">
        <f t="shared" ref="I67:I130" si="15">(H68-H67)/H67</f>
        <v>-3.3605376860297649E-3</v>
      </c>
      <c r="J67" t="str">
        <f t="shared" ref="J67:J130" si="16">IF(I67&gt;0,"Backlog","No Backlog")</f>
        <v>No Backlog</v>
      </c>
      <c r="K67" s="13">
        <f t="shared" ref="K67:K130" si="17">H67/G67</f>
        <v>0.98115873763542161</v>
      </c>
      <c r="L67" s="13">
        <f t="shared" ref="L67:L130" si="18">K67*7</f>
        <v>6.868111163447951</v>
      </c>
      <c r="M67" s="13">
        <f t="shared" ref="M67:M130" si="19">K67*30</f>
        <v>29.434762129062648</v>
      </c>
      <c r="N67" t="b">
        <f t="shared" ref="N67:N130" si="20">IF(D67&lt;C67,F67&lt;E67)</f>
        <v>1</v>
      </c>
      <c r="O67">
        <f t="shared" ref="O67:O130" si="21">WEEKNUM(A67)</f>
        <v>17</v>
      </c>
      <c r="P67" s="13">
        <f t="shared" ref="P67:P130" si="22">AVERAGE(K67,K73)</f>
        <v>0.9830183932079547</v>
      </c>
      <c r="Q67" s="13">
        <f t="shared" ref="Q67:Q130" si="23">AVERAGE(K67,K79)</f>
        <v>0.9781847233045724</v>
      </c>
      <c r="R67" s="15" t="b">
        <f t="shared" ref="R67:R130" si="24">IF(I67&gt;0,"STRAIN")</f>
        <v>0</v>
      </c>
      <c r="S67" s="13">
        <f t="shared" ref="S67:S130" si="25">F67/G67</f>
        <v>5.6523787093735282E-3</v>
      </c>
    </row>
    <row r="68" spans="1:19" x14ac:dyDescent="0.3">
      <c r="A68" s="4">
        <v>45046</v>
      </c>
      <c r="B68" s="2">
        <v>9</v>
      </c>
      <c r="C68" s="2">
        <v>47</v>
      </c>
      <c r="D68" s="2">
        <v>10</v>
      </c>
      <c r="E68">
        <v>2086</v>
      </c>
      <c r="F68">
        <v>10</v>
      </c>
      <c r="G68" s="2">
        <f t="shared" si="13"/>
        <v>2133</v>
      </c>
      <c r="H68">
        <f t="shared" si="14"/>
        <v>2076</v>
      </c>
      <c r="I68" s="13">
        <f t="shared" si="15"/>
        <v>9.6339113680154141E-4</v>
      </c>
      <c r="J68" t="str">
        <f t="shared" si="16"/>
        <v>Backlog</v>
      </c>
      <c r="K68" s="13">
        <f t="shared" si="17"/>
        <v>0.97327707454289736</v>
      </c>
      <c r="L68" s="13">
        <f t="shared" si="18"/>
        <v>6.8129395218002813</v>
      </c>
      <c r="M68" s="13">
        <f t="shared" si="19"/>
        <v>29.19831223628692</v>
      </c>
      <c r="N68" t="b">
        <f t="shared" si="20"/>
        <v>1</v>
      </c>
      <c r="O68">
        <f t="shared" si="21"/>
        <v>18</v>
      </c>
      <c r="P68" s="13">
        <f t="shared" si="22"/>
        <v>0.98028156905628983</v>
      </c>
      <c r="Q68" s="13">
        <f t="shared" si="23"/>
        <v>0.97717167130234062</v>
      </c>
      <c r="R68" s="15" t="str">
        <f t="shared" si="24"/>
        <v>STRAIN</v>
      </c>
      <c r="S68" s="13">
        <f t="shared" si="25"/>
        <v>4.6882325363338025E-3</v>
      </c>
    </row>
    <row r="69" spans="1:19" x14ac:dyDescent="0.3">
      <c r="A69" s="4">
        <v>45047</v>
      </c>
      <c r="B69" s="2">
        <v>7</v>
      </c>
      <c r="C69" s="2">
        <v>39</v>
      </c>
      <c r="D69" s="2">
        <v>13</v>
      </c>
      <c r="E69">
        <v>2083</v>
      </c>
      <c r="F69">
        <v>5</v>
      </c>
      <c r="G69" s="2">
        <f t="shared" si="13"/>
        <v>2122</v>
      </c>
      <c r="H69">
        <f t="shared" si="14"/>
        <v>2078</v>
      </c>
      <c r="I69" s="13">
        <f t="shared" si="15"/>
        <v>-1.7805582290664101E-2</v>
      </c>
      <c r="J69" t="str">
        <f t="shared" si="16"/>
        <v>No Backlog</v>
      </c>
      <c r="K69" s="13">
        <f t="shared" si="17"/>
        <v>0.97926484448633366</v>
      </c>
      <c r="L69" s="13">
        <f t="shared" si="18"/>
        <v>6.8548539114043354</v>
      </c>
      <c r="M69" s="13">
        <f t="shared" si="19"/>
        <v>29.377945334590009</v>
      </c>
      <c r="N69" t="b">
        <f t="shared" si="20"/>
        <v>1</v>
      </c>
      <c r="O69">
        <f t="shared" si="21"/>
        <v>18</v>
      </c>
      <c r="P69" s="13">
        <f t="shared" si="22"/>
        <v>0.97649373611178003</v>
      </c>
      <c r="Q69" s="13">
        <f t="shared" si="23"/>
        <v>0.98067719836256984</v>
      </c>
      <c r="R69" s="15" t="b">
        <f t="shared" si="24"/>
        <v>0</v>
      </c>
      <c r="S69" s="13">
        <f t="shared" si="25"/>
        <v>2.3562676720075399E-3</v>
      </c>
    </row>
    <row r="70" spans="1:19" x14ac:dyDescent="0.3">
      <c r="A70" s="4">
        <v>45048</v>
      </c>
      <c r="B70" s="2">
        <v>12</v>
      </c>
      <c r="C70" s="2">
        <v>38</v>
      </c>
      <c r="D70" s="2">
        <v>29</v>
      </c>
      <c r="E70">
        <v>2047</v>
      </c>
      <c r="F70">
        <v>6</v>
      </c>
      <c r="G70" s="2">
        <f t="shared" si="13"/>
        <v>2085</v>
      </c>
      <c r="H70">
        <f t="shared" si="14"/>
        <v>2041</v>
      </c>
      <c r="I70" s="13">
        <f t="shared" si="15"/>
        <v>-1.6658500734933857E-2</v>
      </c>
      <c r="J70" t="str">
        <f t="shared" si="16"/>
        <v>No Backlog</v>
      </c>
      <c r="K70" s="13">
        <f t="shared" si="17"/>
        <v>0.97889688249400475</v>
      </c>
      <c r="L70" s="13">
        <f t="shared" si="18"/>
        <v>6.8522781774580332</v>
      </c>
      <c r="M70" s="13">
        <f t="shared" si="19"/>
        <v>29.366906474820141</v>
      </c>
      <c r="N70" t="b">
        <f t="shared" si="20"/>
        <v>1</v>
      </c>
      <c r="O70">
        <f t="shared" si="21"/>
        <v>18</v>
      </c>
      <c r="P70" s="13">
        <f t="shared" si="22"/>
        <v>0.97992695687200237</v>
      </c>
      <c r="Q70" s="13">
        <f t="shared" si="23"/>
        <v>0.97924943627187799</v>
      </c>
      <c r="R70" s="15" t="b">
        <f t="shared" si="24"/>
        <v>0</v>
      </c>
      <c r="S70" s="13">
        <f t="shared" si="25"/>
        <v>2.8776978417266188E-3</v>
      </c>
    </row>
    <row r="71" spans="1:19" x14ac:dyDescent="0.3">
      <c r="A71" s="4">
        <v>45049</v>
      </c>
      <c r="B71" s="2">
        <v>10</v>
      </c>
      <c r="C71" s="2">
        <v>47</v>
      </c>
      <c r="D71" s="2">
        <v>14</v>
      </c>
      <c r="E71">
        <v>2025</v>
      </c>
      <c r="F71">
        <v>18</v>
      </c>
      <c r="G71" s="2">
        <f t="shared" si="13"/>
        <v>2072</v>
      </c>
      <c r="H71">
        <f t="shared" si="14"/>
        <v>2007</v>
      </c>
      <c r="I71" s="13">
        <f t="shared" si="15"/>
        <v>9.9651220727453907E-4</v>
      </c>
      <c r="J71" t="str">
        <f t="shared" si="16"/>
        <v>Backlog</v>
      </c>
      <c r="K71" s="13">
        <f t="shared" si="17"/>
        <v>0.96862934362934361</v>
      </c>
      <c r="L71" s="13">
        <f t="shared" si="18"/>
        <v>6.7804054054054053</v>
      </c>
      <c r="M71" s="13">
        <f t="shared" si="19"/>
        <v>29.058880308880308</v>
      </c>
      <c r="N71" t="b">
        <f t="shared" si="20"/>
        <v>1</v>
      </c>
      <c r="O71">
        <f t="shared" si="21"/>
        <v>18</v>
      </c>
      <c r="P71" s="13">
        <f t="shared" si="22"/>
        <v>0.9736090757076159</v>
      </c>
      <c r="Q71" s="13">
        <f t="shared" si="23"/>
        <v>0.97782116532116525</v>
      </c>
      <c r="R71" s="15" t="str">
        <f t="shared" si="24"/>
        <v>STRAIN</v>
      </c>
      <c r="S71" s="13">
        <f t="shared" si="25"/>
        <v>8.6872586872586872E-3</v>
      </c>
    </row>
    <row r="72" spans="1:19" x14ac:dyDescent="0.3">
      <c r="A72" s="4">
        <v>45050</v>
      </c>
      <c r="B72" s="2">
        <v>18</v>
      </c>
      <c r="C72" s="2">
        <v>42</v>
      </c>
      <c r="D72" s="2">
        <v>11</v>
      </c>
      <c r="E72">
        <v>2023</v>
      </c>
      <c r="F72">
        <v>14</v>
      </c>
      <c r="G72" s="2">
        <f t="shared" si="13"/>
        <v>2065</v>
      </c>
      <c r="H72">
        <f t="shared" si="14"/>
        <v>2009</v>
      </c>
      <c r="I72" s="13">
        <f t="shared" si="15"/>
        <v>4.9776007964161271E-3</v>
      </c>
      <c r="J72" t="str">
        <f t="shared" si="16"/>
        <v>Backlog</v>
      </c>
      <c r="K72" s="13">
        <f t="shared" si="17"/>
        <v>0.97288135593220337</v>
      </c>
      <c r="L72" s="13">
        <f t="shared" si="18"/>
        <v>6.8101694915254232</v>
      </c>
      <c r="M72" s="13">
        <f t="shared" si="19"/>
        <v>29.1864406779661</v>
      </c>
      <c r="N72" t="b">
        <f t="shared" si="20"/>
        <v>1</v>
      </c>
      <c r="O72">
        <f t="shared" si="21"/>
        <v>18</v>
      </c>
      <c r="P72" s="13">
        <f t="shared" si="22"/>
        <v>0.97810325766203099</v>
      </c>
      <c r="Q72" s="13">
        <f t="shared" si="23"/>
        <v>0.96912251863903587</v>
      </c>
      <c r="R72" s="15" t="str">
        <f t="shared" si="24"/>
        <v>STRAIN</v>
      </c>
      <c r="S72" s="13">
        <f t="shared" si="25"/>
        <v>6.7796610169491523E-3</v>
      </c>
    </row>
    <row r="73" spans="1:19" x14ac:dyDescent="0.3">
      <c r="A73" s="4">
        <v>45053</v>
      </c>
      <c r="B73" s="2">
        <v>7</v>
      </c>
      <c r="C73" s="2">
        <v>25</v>
      </c>
      <c r="D73" s="2">
        <v>5</v>
      </c>
      <c r="E73">
        <v>2025</v>
      </c>
      <c r="F73">
        <v>6</v>
      </c>
      <c r="G73" s="2">
        <f t="shared" si="13"/>
        <v>2050</v>
      </c>
      <c r="H73">
        <f t="shared" si="14"/>
        <v>2019</v>
      </c>
      <c r="I73" s="13">
        <f t="shared" si="15"/>
        <v>0</v>
      </c>
      <c r="J73" t="str">
        <f t="shared" si="16"/>
        <v>No Backlog</v>
      </c>
      <c r="K73" s="13">
        <f t="shared" si="17"/>
        <v>0.98487804878048779</v>
      </c>
      <c r="L73" s="13">
        <f t="shared" si="18"/>
        <v>6.894146341463415</v>
      </c>
      <c r="M73" s="13">
        <f t="shared" si="19"/>
        <v>29.546341463414635</v>
      </c>
      <c r="N73" t="b">
        <f t="shared" si="20"/>
        <v>1</v>
      </c>
      <c r="O73">
        <f t="shared" si="21"/>
        <v>19</v>
      </c>
      <c r="P73" s="13">
        <f t="shared" si="22"/>
        <v>0.9800443788771056</v>
      </c>
      <c r="Q73" s="13">
        <f t="shared" si="23"/>
        <v>0.98056371513739871</v>
      </c>
      <c r="R73" s="15" t="b">
        <f t="shared" si="24"/>
        <v>0</v>
      </c>
      <c r="S73" s="13">
        <f t="shared" si="25"/>
        <v>2.9268292682926829E-3</v>
      </c>
    </row>
    <row r="74" spans="1:19" x14ac:dyDescent="0.3">
      <c r="A74" s="4">
        <v>45054</v>
      </c>
      <c r="B74" s="2">
        <v>4</v>
      </c>
      <c r="C74" s="2">
        <v>19</v>
      </c>
      <c r="D74" s="2">
        <v>9</v>
      </c>
      <c r="E74">
        <v>2026</v>
      </c>
      <c r="F74">
        <v>7</v>
      </c>
      <c r="G74" s="2">
        <f t="shared" si="13"/>
        <v>2045</v>
      </c>
      <c r="H74">
        <f t="shared" si="14"/>
        <v>2019</v>
      </c>
      <c r="I74" s="13">
        <f t="shared" si="15"/>
        <v>-8.9153046062407128E-3</v>
      </c>
      <c r="J74" t="str">
        <f t="shared" si="16"/>
        <v>No Backlog</v>
      </c>
      <c r="K74" s="13">
        <f t="shared" si="17"/>
        <v>0.98728606356968218</v>
      </c>
      <c r="L74" s="13">
        <f t="shared" si="18"/>
        <v>6.9110024449877754</v>
      </c>
      <c r="M74" s="13">
        <f t="shared" si="19"/>
        <v>29.618581907090466</v>
      </c>
      <c r="N74" t="b">
        <f t="shared" si="20"/>
        <v>1</v>
      </c>
      <c r="O74">
        <f t="shared" si="21"/>
        <v>19</v>
      </c>
      <c r="P74" s="13">
        <f t="shared" si="22"/>
        <v>0.98417616581573297</v>
      </c>
      <c r="Q74" s="13">
        <f t="shared" si="23"/>
        <v>0.98222863972528773</v>
      </c>
      <c r="R74" s="15" t="b">
        <f t="shared" si="24"/>
        <v>0</v>
      </c>
      <c r="S74" s="13">
        <f t="shared" si="25"/>
        <v>3.4229828850855745E-3</v>
      </c>
    </row>
    <row r="75" spans="1:19" x14ac:dyDescent="0.3">
      <c r="A75" s="4">
        <v>45055</v>
      </c>
      <c r="B75" s="2">
        <v>11</v>
      </c>
      <c r="C75" s="2">
        <v>40</v>
      </c>
      <c r="D75" s="2">
        <v>2</v>
      </c>
      <c r="E75">
        <v>2015</v>
      </c>
      <c r="F75">
        <v>14</v>
      </c>
      <c r="G75" s="2">
        <f t="shared" si="13"/>
        <v>2055</v>
      </c>
      <c r="H75">
        <f t="shared" si="14"/>
        <v>2001</v>
      </c>
      <c r="I75" s="13">
        <f t="shared" si="15"/>
        <v>3.9980009995002497E-3</v>
      </c>
      <c r="J75" t="str">
        <f t="shared" si="16"/>
        <v>Backlog</v>
      </c>
      <c r="K75" s="13">
        <f t="shared" si="17"/>
        <v>0.97372262773722629</v>
      </c>
      <c r="L75" s="13">
        <f t="shared" si="18"/>
        <v>6.8160583941605841</v>
      </c>
      <c r="M75" s="13">
        <f t="shared" si="19"/>
        <v>29.211678832116789</v>
      </c>
      <c r="N75" t="b">
        <f t="shared" si="20"/>
        <v>1</v>
      </c>
      <c r="O75">
        <f t="shared" si="21"/>
        <v>19</v>
      </c>
      <c r="P75" s="13">
        <f t="shared" si="22"/>
        <v>0.97790608998801609</v>
      </c>
      <c r="Q75" s="13">
        <f t="shared" si="23"/>
        <v>0.9783825108760944</v>
      </c>
      <c r="R75" s="15" t="str">
        <f t="shared" si="24"/>
        <v>STRAIN</v>
      </c>
      <c r="S75" s="13">
        <f t="shared" si="25"/>
        <v>6.8126520681265207E-3</v>
      </c>
    </row>
    <row r="76" spans="1:19" x14ac:dyDescent="0.3">
      <c r="A76" s="4">
        <v>45056</v>
      </c>
      <c r="B76" s="2">
        <v>4</v>
      </c>
      <c r="C76" s="2">
        <v>29</v>
      </c>
      <c r="D76" s="2">
        <v>11</v>
      </c>
      <c r="E76">
        <v>2019</v>
      </c>
      <c r="F76">
        <v>10</v>
      </c>
      <c r="G76" s="2">
        <f t="shared" si="13"/>
        <v>2048</v>
      </c>
      <c r="H76">
        <f t="shared" si="14"/>
        <v>2009</v>
      </c>
      <c r="I76" s="13">
        <f t="shared" si="15"/>
        <v>9.9552015928322545E-4</v>
      </c>
      <c r="J76" t="str">
        <f t="shared" si="16"/>
        <v>Backlog</v>
      </c>
      <c r="K76" s="13">
        <f t="shared" si="17"/>
        <v>0.98095703125</v>
      </c>
      <c r="L76" s="13">
        <f t="shared" si="18"/>
        <v>6.86669921875</v>
      </c>
      <c r="M76" s="13">
        <f t="shared" si="19"/>
        <v>29.4287109375</v>
      </c>
      <c r="N76" t="b">
        <f t="shared" si="20"/>
        <v>1</v>
      </c>
      <c r="O76">
        <f t="shared" si="21"/>
        <v>19</v>
      </c>
      <c r="P76" s="13">
        <f t="shared" si="22"/>
        <v>0.98027951064987562</v>
      </c>
      <c r="Q76" s="13">
        <f t="shared" si="23"/>
        <v>0.98623911412874066</v>
      </c>
      <c r="R76" s="15" t="str">
        <f t="shared" si="24"/>
        <v>STRAIN</v>
      </c>
      <c r="S76" s="13">
        <f t="shared" si="25"/>
        <v>4.8828125E-3</v>
      </c>
    </row>
    <row r="77" spans="1:19" x14ac:dyDescent="0.3">
      <c r="A77" s="4">
        <v>45057</v>
      </c>
      <c r="B77" s="2">
        <v>6</v>
      </c>
      <c r="C77" s="2">
        <v>35</v>
      </c>
      <c r="D77" s="2">
        <v>9</v>
      </c>
      <c r="E77">
        <v>2020</v>
      </c>
      <c r="F77">
        <v>9</v>
      </c>
      <c r="G77" s="2">
        <f t="shared" si="13"/>
        <v>2055</v>
      </c>
      <c r="H77">
        <f t="shared" si="14"/>
        <v>2011</v>
      </c>
      <c r="I77" s="13">
        <f t="shared" si="15"/>
        <v>-2.9835902536051715E-3</v>
      </c>
      <c r="J77" t="str">
        <f t="shared" si="16"/>
        <v>No Backlog</v>
      </c>
      <c r="K77" s="13">
        <f t="shared" si="17"/>
        <v>0.97858880778588808</v>
      </c>
      <c r="L77" s="13">
        <f t="shared" si="18"/>
        <v>6.8501216545012165</v>
      </c>
      <c r="M77" s="13">
        <f t="shared" si="19"/>
        <v>29.357664233576642</v>
      </c>
      <c r="N77" t="b">
        <f t="shared" si="20"/>
        <v>1</v>
      </c>
      <c r="O77">
        <f t="shared" si="21"/>
        <v>19</v>
      </c>
      <c r="P77" s="13">
        <f t="shared" si="22"/>
        <v>0.98280089739943755</v>
      </c>
      <c r="Q77" s="13">
        <f t="shared" si="23"/>
        <v>0.97989311740110829</v>
      </c>
      <c r="R77" s="15" t="b">
        <f t="shared" si="24"/>
        <v>0</v>
      </c>
      <c r="S77" s="13">
        <f t="shared" si="25"/>
        <v>4.3795620437956208E-3</v>
      </c>
    </row>
    <row r="78" spans="1:19" x14ac:dyDescent="0.3">
      <c r="A78" s="4">
        <v>45060</v>
      </c>
      <c r="B78" s="2">
        <v>10</v>
      </c>
      <c r="C78" s="2">
        <v>29</v>
      </c>
      <c r="D78" s="2">
        <v>17</v>
      </c>
      <c r="E78">
        <v>2010</v>
      </c>
      <c r="F78">
        <v>5</v>
      </c>
      <c r="G78" s="2">
        <f t="shared" si="13"/>
        <v>2039</v>
      </c>
      <c r="H78">
        <f t="shared" si="14"/>
        <v>2005</v>
      </c>
      <c r="I78" s="13">
        <f t="shared" si="15"/>
        <v>-1.8952618453865335E-2</v>
      </c>
      <c r="J78" t="str">
        <f t="shared" si="16"/>
        <v>No Backlog</v>
      </c>
      <c r="K78" s="13">
        <f t="shared" si="17"/>
        <v>0.98332515939185872</v>
      </c>
      <c r="L78" s="13">
        <f t="shared" si="18"/>
        <v>6.8832761157430111</v>
      </c>
      <c r="M78" s="13">
        <f t="shared" si="19"/>
        <v>29.499754781755762</v>
      </c>
      <c r="N78" t="b">
        <f t="shared" si="20"/>
        <v>1</v>
      </c>
      <c r="O78">
        <f t="shared" si="21"/>
        <v>20</v>
      </c>
      <c r="P78" s="13">
        <f t="shared" si="22"/>
        <v>0.9743444203688636</v>
      </c>
      <c r="Q78" s="13">
        <f t="shared" si="23"/>
        <v>0.98200433303916856</v>
      </c>
      <c r="R78" s="15" t="b">
        <f t="shared" si="24"/>
        <v>0</v>
      </c>
      <c r="S78" s="13">
        <f t="shared" si="25"/>
        <v>2.4521824423737125E-3</v>
      </c>
    </row>
    <row r="79" spans="1:19" x14ac:dyDescent="0.3">
      <c r="A79" s="4">
        <v>45061</v>
      </c>
      <c r="B79" s="2">
        <v>8</v>
      </c>
      <c r="C79" s="2">
        <v>33</v>
      </c>
      <c r="D79" s="2">
        <v>6</v>
      </c>
      <c r="E79">
        <v>1984</v>
      </c>
      <c r="F79">
        <v>17</v>
      </c>
      <c r="G79" s="2">
        <f t="shared" si="13"/>
        <v>2017</v>
      </c>
      <c r="H79">
        <f t="shared" si="14"/>
        <v>1967</v>
      </c>
      <c r="I79" s="13">
        <f t="shared" si="15"/>
        <v>1.0167768174885613E-3</v>
      </c>
      <c r="J79" t="str">
        <f t="shared" si="16"/>
        <v>Backlog</v>
      </c>
      <c r="K79" s="13">
        <f t="shared" si="17"/>
        <v>0.97521070897372331</v>
      </c>
      <c r="L79" s="13">
        <f t="shared" si="18"/>
        <v>6.8264749628160635</v>
      </c>
      <c r="M79" s="13">
        <f t="shared" si="19"/>
        <v>29.2563212692117</v>
      </c>
      <c r="N79" t="b">
        <f t="shared" si="20"/>
        <v>1</v>
      </c>
      <c r="O79">
        <f t="shared" si="21"/>
        <v>20</v>
      </c>
      <c r="P79" s="13">
        <f t="shared" si="22"/>
        <v>0.97573004523401652</v>
      </c>
      <c r="Q79" s="13">
        <f t="shared" si="23"/>
        <v>0.97606878109461814</v>
      </c>
      <c r="R79" s="15" t="str">
        <f t="shared" si="24"/>
        <v>STRAIN</v>
      </c>
      <c r="S79" s="13">
        <f t="shared" si="25"/>
        <v>8.4283589489340602E-3</v>
      </c>
    </row>
    <row r="80" spans="1:19" x14ac:dyDescent="0.3">
      <c r="A80" s="4">
        <v>45062</v>
      </c>
      <c r="B80" s="2">
        <v>5</v>
      </c>
      <c r="C80" s="2">
        <v>19</v>
      </c>
      <c r="D80" s="2">
        <v>9</v>
      </c>
      <c r="E80">
        <v>1988</v>
      </c>
      <c r="F80">
        <v>19</v>
      </c>
      <c r="G80" s="2">
        <f t="shared" si="13"/>
        <v>2007</v>
      </c>
      <c r="H80">
        <f t="shared" si="14"/>
        <v>1969</v>
      </c>
      <c r="I80" s="13">
        <f t="shared" si="15"/>
        <v>2.5393600812595226E-3</v>
      </c>
      <c r="J80" t="str">
        <f t="shared" si="16"/>
        <v>Backlog</v>
      </c>
      <c r="K80" s="13">
        <f t="shared" si="17"/>
        <v>0.98106626806178376</v>
      </c>
      <c r="L80" s="13">
        <f t="shared" si="18"/>
        <v>6.8674638764324865</v>
      </c>
      <c r="M80" s="13">
        <f t="shared" si="19"/>
        <v>29.431988041853511</v>
      </c>
      <c r="N80" t="b">
        <f t="shared" si="20"/>
        <v>1</v>
      </c>
      <c r="O80">
        <f t="shared" si="21"/>
        <v>20</v>
      </c>
      <c r="P80" s="13">
        <f t="shared" si="22"/>
        <v>0.97911874197133852</v>
      </c>
      <c r="Q80" s="13">
        <f t="shared" si="23"/>
        <v>0.98088921711694521</v>
      </c>
      <c r="R80" s="15" t="str">
        <f t="shared" si="24"/>
        <v>STRAIN</v>
      </c>
      <c r="S80" s="13">
        <f t="shared" si="25"/>
        <v>9.4668659691081215E-3</v>
      </c>
    </row>
    <row r="81" spans="1:19" x14ac:dyDescent="0.3">
      <c r="A81" s="4">
        <v>45063</v>
      </c>
      <c r="B81" s="2">
        <v>10</v>
      </c>
      <c r="C81" s="2">
        <v>21</v>
      </c>
      <c r="D81" s="2">
        <v>20</v>
      </c>
      <c r="E81">
        <v>1989</v>
      </c>
      <c r="F81">
        <v>15</v>
      </c>
      <c r="G81" s="2">
        <f t="shared" si="13"/>
        <v>2010</v>
      </c>
      <c r="H81">
        <f t="shared" si="14"/>
        <v>1974</v>
      </c>
      <c r="I81" s="13">
        <f t="shared" si="15"/>
        <v>-2.5329280648429585E-3</v>
      </c>
      <c r="J81" t="str">
        <f t="shared" si="16"/>
        <v>No Backlog</v>
      </c>
      <c r="K81" s="13">
        <f t="shared" si="17"/>
        <v>0.98208955223880601</v>
      </c>
      <c r="L81" s="13">
        <f t="shared" si="18"/>
        <v>6.8746268656716421</v>
      </c>
      <c r="M81" s="13">
        <f t="shared" si="19"/>
        <v>29.46268656716418</v>
      </c>
      <c r="N81" t="b">
        <f t="shared" si="20"/>
        <v>1</v>
      </c>
      <c r="O81">
        <f t="shared" si="21"/>
        <v>20</v>
      </c>
      <c r="P81" s="13">
        <f t="shared" si="22"/>
        <v>0.98256597312688432</v>
      </c>
      <c r="Q81" s="13">
        <f t="shared" si="23"/>
        <v>0.9836337089257271</v>
      </c>
      <c r="R81" s="15" t="b">
        <f t="shared" si="24"/>
        <v>0</v>
      </c>
      <c r="S81" s="13">
        <f t="shared" si="25"/>
        <v>7.462686567164179E-3</v>
      </c>
    </row>
    <row r="82" spans="1:19" x14ac:dyDescent="0.3">
      <c r="A82" s="4">
        <v>45064</v>
      </c>
      <c r="B82" s="2">
        <v>8</v>
      </c>
      <c r="C82" s="2">
        <v>30</v>
      </c>
      <c r="D82" s="2">
        <v>8</v>
      </c>
      <c r="E82">
        <v>1980</v>
      </c>
      <c r="F82">
        <v>11</v>
      </c>
      <c r="G82" s="2">
        <f t="shared" si="13"/>
        <v>2010</v>
      </c>
      <c r="H82">
        <f t="shared" si="14"/>
        <v>1969</v>
      </c>
      <c r="I82" s="13">
        <f t="shared" si="15"/>
        <v>3.5551041137633316E-3</v>
      </c>
      <c r="J82" t="str">
        <f t="shared" si="16"/>
        <v>Backlog</v>
      </c>
      <c r="K82" s="13">
        <f t="shared" si="17"/>
        <v>0.97960199004975124</v>
      </c>
      <c r="L82" s="13">
        <f t="shared" si="18"/>
        <v>6.8572139303482587</v>
      </c>
      <c r="M82" s="13">
        <f t="shared" si="19"/>
        <v>29.388059701492537</v>
      </c>
      <c r="N82" t="b">
        <f t="shared" si="20"/>
        <v>1</v>
      </c>
      <c r="O82">
        <f t="shared" si="21"/>
        <v>20</v>
      </c>
      <c r="P82" s="13">
        <f t="shared" si="22"/>
        <v>0.98556159352861628</v>
      </c>
      <c r="Q82" s="13">
        <f t="shared" si="23"/>
        <v>0.98126024343873608</v>
      </c>
      <c r="R82" s="15" t="str">
        <f t="shared" si="24"/>
        <v>STRAIN</v>
      </c>
      <c r="S82" s="13">
        <f t="shared" si="25"/>
        <v>5.4726368159203984E-3</v>
      </c>
    </row>
    <row r="83" spans="1:19" x14ac:dyDescent="0.3">
      <c r="A83" s="4">
        <v>45067</v>
      </c>
      <c r="B83" s="2">
        <v>4</v>
      </c>
      <c r="C83" s="2">
        <v>21</v>
      </c>
      <c r="D83" s="2">
        <v>5</v>
      </c>
      <c r="E83">
        <v>1981</v>
      </c>
      <c r="F83">
        <v>5</v>
      </c>
      <c r="G83" s="2">
        <f t="shared" si="13"/>
        <v>2002</v>
      </c>
      <c r="H83">
        <f t="shared" si="14"/>
        <v>1976</v>
      </c>
      <c r="I83" s="13">
        <f t="shared" si="15"/>
        <v>-1.2651821862348178E-2</v>
      </c>
      <c r="J83" t="str">
        <f t="shared" si="16"/>
        <v>No Backlog</v>
      </c>
      <c r="K83" s="13">
        <f t="shared" si="17"/>
        <v>0.98701298701298701</v>
      </c>
      <c r="L83" s="13">
        <f t="shared" si="18"/>
        <v>6.9090909090909092</v>
      </c>
      <c r="M83" s="13">
        <f t="shared" si="19"/>
        <v>29.61038961038961</v>
      </c>
      <c r="N83" t="b">
        <f t="shared" si="20"/>
        <v>1</v>
      </c>
      <c r="O83">
        <f t="shared" si="21"/>
        <v>21</v>
      </c>
      <c r="P83" s="13">
        <f t="shared" si="22"/>
        <v>0.98410520701465776</v>
      </c>
      <c r="Q83" s="13">
        <f t="shared" si="23"/>
        <v>0.98620011260050222</v>
      </c>
      <c r="R83" s="15" t="b">
        <f t="shared" si="24"/>
        <v>0</v>
      </c>
      <c r="S83" s="13">
        <f t="shared" si="25"/>
        <v>2.4975024975024975E-3</v>
      </c>
    </row>
    <row r="84" spans="1:19" x14ac:dyDescent="0.3">
      <c r="A84" s="4">
        <v>45068</v>
      </c>
      <c r="B84" s="2">
        <v>6</v>
      </c>
      <c r="C84" s="2">
        <v>49</v>
      </c>
      <c r="D84" s="2">
        <v>8</v>
      </c>
      <c r="E84">
        <v>1972</v>
      </c>
      <c r="F84">
        <v>21</v>
      </c>
      <c r="G84" s="2">
        <f t="shared" si="13"/>
        <v>2021</v>
      </c>
      <c r="H84">
        <f t="shared" si="14"/>
        <v>1951</v>
      </c>
      <c r="I84" s="13">
        <f t="shared" si="15"/>
        <v>1.1276268580215274E-2</v>
      </c>
      <c r="J84" t="str">
        <f t="shared" si="16"/>
        <v>Backlog</v>
      </c>
      <c r="K84" s="13">
        <f t="shared" si="17"/>
        <v>0.96536368134586836</v>
      </c>
      <c r="L84" s="13">
        <f t="shared" si="18"/>
        <v>6.7575457694210783</v>
      </c>
      <c r="M84" s="13">
        <f t="shared" si="19"/>
        <v>28.96091044037605</v>
      </c>
      <c r="N84" t="b">
        <f t="shared" si="20"/>
        <v>1</v>
      </c>
      <c r="O84">
        <f t="shared" si="21"/>
        <v>21</v>
      </c>
      <c r="P84" s="13">
        <f t="shared" si="22"/>
        <v>0.97302359401617333</v>
      </c>
      <c r="Q84" s="13">
        <f t="shared" si="23"/>
        <v>0.97419904862252216</v>
      </c>
      <c r="R84" s="15" t="str">
        <f t="shared" si="24"/>
        <v>STRAIN</v>
      </c>
      <c r="S84" s="13">
        <f t="shared" si="25"/>
        <v>1.0390895596239486E-2</v>
      </c>
    </row>
    <row r="85" spans="1:19" x14ac:dyDescent="0.3">
      <c r="A85" s="4">
        <v>45069</v>
      </c>
      <c r="B85" s="2">
        <v>10</v>
      </c>
      <c r="C85" s="2">
        <v>38</v>
      </c>
      <c r="D85" s="2">
        <v>10</v>
      </c>
      <c r="E85">
        <v>1983</v>
      </c>
      <c r="F85">
        <v>10</v>
      </c>
      <c r="G85" s="2">
        <f t="shared" si="13"/>
        <v>2021</v>
      </c>
      <c r="H85">
        <f t="shared" si="14"/>
        <v>1973</v>
      </c>
      <c r="I85" s="13">
        <f t="shared" si="15"/>
        <v>-2.0273694880892043E-3</v>
      </c>
      <c r="J85" t="str">
        <f t="shared" si="16"/>
        <v>No Backlog</v>
      </c>
      <c r="K85" s="13">
        <f t="shared" si="17"/>
        <v>0.97624938149430973</v>
      </c>
      <c r="L85" s="13">
        <f t="shared" si="18"/>
        <v>6.8337456704601678</v>
      </c>
      <c r="M85" s="13">
        <f t="shared" si="19"/>
        <v>29.287481444829293</v>
      </c>
      <c r="N85" t="b">
        <f t="shared" si="20"/>
        <v>1</v>
      </c>
      <c r="O85">
        <f t="shared" si="21"/>
        <v>21</v>
      </c>
      <c r="P85" s="13">
        <f t="shared" si="22"/>
        <v>0.97658811735491136</v>
      </c>
      <c r="Q85" s="13">
        <f t="shared" si="23"/>
        <v>0.97939530180438084</v>
      </c>
      <c r="R85" s="15" t="b">
        <f t="shared" si="24"/>
        <v>0</v>
      </c>
      <c r="S85" s="13">
        <f t="shared" si="25"/>
        <v>4.9480455220188022E-3</v>
      </c>
    </row>
    <row r="86" spans="1:19" x14ac:dyDescent="0.3">
      <c r="A86" s="4">
        <v>45070</v>
      </c>
      <c r="B86" s="2">
        <v>5</v>
      </c>
      <c r="C86" s="2">
        <v>35</v>
      </c>
      <c r="D86" s="2">
        <v>3</v>
      </c>
      <c r="E86">
        <v>1980</v>
      </c>
      <c r="F86">
        <v>11</v>
      </c>
      <c r="G86" s="2">
        <f t="shared" si="13"/>
        <v>2015</v>
      </c>
      <c r="H86">
        <f t="shared" si="14"/>
        <v>1969</v>
      </c>
      <c r="I86" s="13">
        <f t="shared" si="15"/>
        <v>1.015744032503809E-3</v>
      </c>
      <c r="J86" t="str">
        <f t="shared" si="16"/>
        <v>Backlog</v>
      </c>
      <c r="K86" s="13">
        <f t="shared" si="17"/>
        <v>0.97717121588089328</v>
      </c>
      <c r="L86" s="13">
        <f t="shared" si="18"/>
        <v>6.8401985111662533</v>
      </c>
      <c r="M86" s="13">
        <f t="shared" si="19"/>
        <v>29.315136476426797</v>
      </c>
      <c r="N86" t="b">
        <f t="shared" si="20"/>
        <v>1</v>
      </c>
      <c r="O86">
        <f t="shared" si="21"/>
        <v>21</v>
      </c>
      <c r="P86" s="13">
        <f t="shared" si="22"/>
        <v>0.97894169102650008</v>
      </c>
      <c r="Q86" s="13">
        <f t="shared" si="23"/>
        <v>0.98111572842237438</v>
      </c>
      <c r="R86" s="15" t="str">
        <f t="shared" si="24"/>
        <v>STRAIN</v>
      </c>
      <c r="S86" s="13">
        <f t="shared" si="25"/>
        <v>5.4590570719602978E-3</v>
      </c>
    </row>
    <row r="87" spans="1:19" x14ac:dyDescent="0.3">
      <c r="A87" s="4">
        <v>45071</v>
      </c>
      <c r="B87" s="2">
        <v>4</v>
      </c>
      <c r="C87" s="2">
        <v>20</v>
      </c>
      <c r="D87" s="2">
        <v>6</v>
      </c>
      <c r="E87">
        <v>1985</v>
      </c>
      <c r="F87">
        <v>14</v>
      </c>
      <c r="G87" s="2">
        <f t="shared" si="13"/>
        <v>2005</v>
      </c>
      <c r="H87">
        <f t="shared" si="14"/>
        <v>1971</v>
      </c>
      <c r="I87" s="13">
        <f t="shared" si="15"/>
        <v>8.6250634195839671E-3</v>
      </c>
      <c r="J87" t="str">
        <f t="shared" si="16"/>
        <v>Backlog</v>
      </c>
      <c r="K87" s="13">
        <f t="shared" si="17"/>
        <v>0.98304239401496263</v>
      </c>
      <c r="L87" s="13">
        <f t="shared" si="18"/>
        <v>6.8812967581047388</v>
      </c>
      <c r="M87" s="13">
        <f t="shared" si="19"/>
        <v>29.49127182044888</v>
      </c>
      <c r="N87" t="b">
        <f t="shared" si="20"/>
        <v>1</v>
      </c>
      <c r="O87">
        <f t="shared" si="21"/>
        <v>21</v>
      </c>
      <c r="P87" s="13">
        <f t="shared" si="22"/>
        <v>0.98411012981380541</v>
      </c>
      <c r="Q87" s="13">
        <f t="shared" si="23"/>
        <v>0.98571568176800384</v>
      </c>
      <c r="R87" s="15" t="str">
        <f t="shared" si="24"/>
        <v>STRAIN</v>
      </c>
      <c r="S87" s="13">
        <f t="shared" si="25"/>
        <v>6.9825436408977558E-3</v>
      </c>
    </row>
    <row r="88" spans="1:19" x14ac:dyDescent="0.3">
      <c r="A88" s="4">
        <v>45075</v>
      </c>
      <c r="B88" s="2">
        <v>4</v>
      </c>
      <c r="C88" s="2">
        <v>14</v>
      </c>
      <c r="D88" s="2">
        <v>2</v>
      </c>
      <c r="E88">
        <v>1991</v>
      </c>
      <c r="F88">
        <v>3</v>
      </c>
      <c r="G88" s="2">
        <f t="shared" si="13"/>
        <v>2005</v>
      </c>
      <c r="H88">
        <f t="shared" si="14"/>
        <v>1988</v>
      </c>
      <c r="I88" s="13">
        <f t="shared" si="15"/>
        <v>-2.5150905432595573E-3</v>
      </c>
      <c r="J88" t="str">
        <f t="shared" si="16"/>
        <v>No Backlog</v>
      </c>
      <c r="K88" s="13">
        <f t="shared" si="17"/>
        <v>0.99152119700748131</v>
      </c>
      <c r="L88" s="13">
        <f t="shared" si="18"/>
        <v>6.9406483790523694</v>
      </c>
      <c r="M88" s="13">
        <f t="shared" si="19"/>
        <v>29.74563591022444</v>
      </c>
      <c r="N88" t="b">
        <f t="shared" si="20"/>
        <v>1</v>
      </c>
      <c r="O88">
        <f t="shared" si="21"/>
        <v>22</v>
      </c>
      <c r="P88" s="13">
        <f t="shared" si="22"/>
        <v>0.98721984691760101</v>
      </c>
      <c r="Q88" s="13">
        <f t="shared" si="23"/>
        <v>0.9883015032198138</v>
      </c>
      <c r="R88" s="15" t="b">
        <f t="shared" si="24"/>
        <v>0</v>
      </c>
      <c r="S88" s="13">
        <f t="shared" si="25"/>
        <v>1.4962593516209476E-3</v>
      </c>
    </row>
    <row r="89" spans="1:19" x14ac:dyDescent="0.3">
      <c r="A89" s="4">
        <v>45076</v>
      </c>
      <c r="B89" s="2">
        <v>3</v>
      </c>
      <c r="C89" s="2">
        <v>27</v>
      </c>
      <c r="D89" s="2">
        <v>4</v>
      </c>
      <c r="E89">
        <v>1994</v>
      </c>
      <c r="F89">
        <v>11</v>
      </c>
      <c r="G89" s="2">
        <f t="shared" si="13"/>
        <v>2021</v>
      </c>
      <c r="H89">
        <f t="shared" si="14"/>
        <v>1983</v>
      </c>
      <c r="I89" s="13">
        <f t="shared" si="15"/>
        <v>-1.5128593040847202E-3</v>
      </c>
      <c r="J89" t="str">
        <f t="shared" si="16"/>
        <v>No Backlog</v>
      </c>
      <c r="K89" s="13">
        <f t="shared" si="17"/>
        <v>0.98119742701632851</v>
      </c>
      <c r="L89" s="13">
        <f t="shared" si="18"/>
        <v>6.8683819891142992</v>
      </c>
      <c r="M89" s="13">
        <f t="shared" si="19"/>
        <v>29.435922810489856</v>
      </c>
      <c r="N89" t="b">
        <f t="shared" si="20"/>
        <v>1</v>
      </c>
      <c r="O89">
        <f t="shared" si="21"/>
        <v>22</v>
      </c>
      <c r="P89" s="13">
        <f t="shared" si="22"/>
        <v>0.98329233260217297</v>
      </c>
      <c r="Q89" s="13">
        <f t="shared" si="23"/>
        <v>0.98579102120047191</v>
      </c>
      <c r="R89" s="15" t="b">
        <f t="shared" si="24"/>
        <v>0</v>
      </c>
      <c r="S89" s="13">
        <f t="shared" si="25"/>
        <v>5.4428500742206825E-3</v>
      </c>
    </row>
    <row r="90" spans="1:19" x14ac:dyDescent="0.3">
      <c r="A90" s="4">
        <v>45077</v>
      </c>
      <c r="B90" s="2">
        <v>6</v>
      </c>
      <c r="C90" s="2">
        <v>22</v>
      </c>
      <c r="D90" s="2">
        <v>12</v>
      </c>
      <c r="E90">
        <v>1997</v>
      </c>
      <c r="F90">
        <v>17</v>
      </c>
      <c r="G90" s="2">
        <f t="shared" si="13"/>
        <v>2019</v>
      </c>
      <c r="H90">
        <f t="shared" si="14"/>
        <v>1980</v>
      </c>
      <c r="I90" s="13">
        <f t="shared" si="15"/>
        <v>5.0505050505050509E-3</v>
      </c>
      <c r="J90" t="str">
        <f t="shared" si="16"/>
        <v>Backlog</v>
      </c>
      <c r="K90" s="13">
        <f t="shared" si="17"/>
        <v>0.98068350668647841</v>
      </c>
      <c r="L90" s="13">
        <f t="shared" si="18"/>
        <v>6.8647845468053488</v>
      </c>
      <c r="M90" s="13">
        <f t="shared" si="19"/>
        <v>29.420505200594352</v>
      </c>
      <c r="N90" t="b">
        <f t="shared" si="20"/>
        <v>1</v>
      </c>
      <c r="O90">
        <f t="shared" si="21"/>
        <v>22</v>
      </c>
      <c r="P90" s="13">
        <f t="shared" si="22"/>
        <v>0.98185896129282724</v>
      </c>
      <c r="Q90" s="13">
        <f t="shared" si="23"/>
        <v>0.98483672701485236</v>
      </c>
      <c r="R90" s="15" t="str">
        <f t="shared" si="24"/>
        <v>STRAIN</v>
      </c>
      <c r="S90" s="13">
        <f t="shared" si="25"/>
        <v>8.4200099058940065E-3</v>
      </c>
    </row>
    <row r="91" spans="1:19" x14ac:dyDescent="0.3">
      <c r="A91" s="4">
        <v>45078</v>
      </c>
      <c r="B91" s="2">
        <v>8</v>
      </c>
      <c r="C91" s="2">
        <v>38</v>
      </c>
      <c r="D91" s="2">
        <v>9</v>
      </c>
      <c r="E91">
        <v>1999</v>
      </c>
      <c r="F91">
        <v>9</v>
      </c>
      <c r="G91" s="2">
        <f t="shared" si="13"/>
        <v>2037</v>
      </c>
      <c r="H91">
        <f t="shared" si="14"/>
        <v>1990</v>
      </c>
      <c r="I91" s="13">
        <f t="shared" si="15"/>
        <v>-3.5175879396984926E-3</v>
      </c>
      <c r="J91" t="str">
        <f t="shared" si="16"/>
        <v>No Backlog</v>
      </c>
      <c r="K91" s="13">
        <f t="shared" si="17"/>
        <v>0.97692685321551298</v>
      </c>
      <c r="L91" s="13">
        <f t="shared" si="18"/>
        <v>6.8384879725085908</v>
      </c>
      <c r="M91" s="13">
        <f t="shared" si="19"/>
        <v>29.307805596465389</v>
      </c>
      <c r="N91" t="b">
        <f t="shared" si="20"/>
        <v>1</v>
      </c>
      <c r="O91">
        <f t="shared" si="21"/>
        <v>22</v>
      </c>
      <c r="P91" s="13">
        <f t="shared" si="22"/>
        <v>0.97973403766498246</v>
      </c>
      <c r="Q91" s="13">
        <f t="shared" si="23"/>
        <v>0.98465390279823262</v>
      </c>
      <c r="R91" s="15" t="b">
        <f t="shared" si="24"/>
        <v>0</v>
      </c>
      <c r="S91" s="13">
        <f t="shared" si="25"/>
        <v>4.418262150220913E-3</v>
      </c>
    </row>
    <row r="92" spans="1:19" x14ac:dyDescent="0.3">
      <c r="A92" s="4">
        <v>45081</v>
      </c>
      <c r="B92" s="2">
        <v>6</v>
      </c>
      <c r="C92" s="2">
        <v>23</v>
      </c>
      <c r="D92" s="2">
        <v>4</v>
      </c>
      <c r="E92">
        <v>1999</v>
      </c>
      <c r="F92">
        <v>16</v>
      </c>
      <c r="G92" s="2">
        <f t="shared" si="13"/>
        <v>2022</v>
      </c>
      <c r="H92">
        <f t="shared" si="14"/>
        <v>1983</v>
      </c>
      <c r="I92" s="13">
        <f t="shared" si="15"/>
        <v>5.5471507816439742E-3</v>
      </c>
      <c r="J92" t="str">
        <f t="shared" si="16"/>
        <v>Backlog</v>
      </c>
      <c r="K92" s="13">
        <f t="shared" si="17"/>
        <v>0.98071216617210677</v>
      </c>
      <c r="L92" s="13">
        <f t="shared" si="18"/>
        <v>6.8649851632047474</v>
      </c>
      <c r="M92" s="13">
        <f t="shared" si="19"/>
        <v>29.421364985163201</v>
      </c>
      <c r="N92" t="b">
        <f t="shared" si="20"/>
        <v>1</v>
      </c>
      <c r="O92">
        <f t="shared" si="21"/>
        <v>23</v>
      </c>
      <c r="P92" s="13">
        <f t="shared" si="22"/>
        <v>0.98288620356798106</v>
      </c>
      <c r="Q92" s="13">
        <f t="shared" si="23"/>
        <v>0.97923971600942139</v>
      </c>
      <c r="R92" s="15" t="str">
        <f t="shared" si="24"/>
        <v>STRAIN</v>
      </c>
      <c r="S92" s="13">
        <f t="shared" si="25"/>
        <v>7.91295746785361E-3</v>
      </c>
    </row>
    <row r="93" spans="1:19" x14ac:dyDescent="0.3">
      <c r="A93" s="4">
        <v>45082</v>
      </c>
      <c r="B93" s="2">
        <v>0</v>
      </c>
      <c r="C93" s="2">
        <v>18</v>
      </c>
      <c r="D93" s="2">
        <v>8</v>
      </c>
      <c r="E93">
        <v>2006</v>
      </c>
      <c r="F93">
        <v>12</v>
      </c>
      <c r="G93" s="2">
        <f t="shared" si="13"/>
        <v>2024</v>
      </c>
      <c r="H93">
        <f t="shared" si="14"/>
        <v>1994</v>
      </c>
      <c r="I93" s="13">
        <f t="shared" si="15"/>
        <v>1.0030090270812437E-2</v>
      </c>
      <c r="J93" t="str">
        <f t="shared" si="16"/>
        <v>Backlog</v>
      </c>
      <c r="K93" s="13">
        <f t="shared" si="17"/>
        <v>0.9851778656126482</v>
      </c>
      <c r="L93" s="13">
        <f t="shared" si="18"/>
        <v>6.8962450592885371</v>
      </c>
      <c r="M93" s="13">
        <f t="shared" si="19"/>
        <v>29.555335968379445</v>
      </c>
      <c r="N93" t="b">
        <f t="shared" si="20"/>
        <v>1</v>
      </c>
      <c r="O93">
        <f t="shared" si="21"/>
        <v>23</v>
      </c>
      <c r="P93" s="13">
        <f t="shared" si="22"/>
        <v>0.98678341756684662</v>
      </c>
      <c r="Q93" s="13">
        <f t="shared" si="23"/>
        <v>0.98438067764684944</v>
      </c>
      <c r="R93" s="15" t="str">
        <f t="shared" si="24"/>
        <v>STRAIN</v>
      </c>
      <c r="S93" s="13">
        <f t="shared" si="25"/>
        <v>5.9288537549407111E-3</v>
      </c>
    </row>
    <row r="94" spans="1:19" x14ac:dyDescent="0.3">
      <c r="A94" s="4">
        <v>45083</v>
      </c>
      <c r="B94" s="2">
        <v>4</v>
      </c>
      <c r="C94" s="2">
        <v>18</v>
      </c>
      <c r="D94" s="2">
        <v>6</v>
      </c>
      <c r="E94">
        <v>2031</v>
      </c>
      <c r="F94">
        <v>17</v>
      </c>
      <c r="G94" s="2">
        <f t="shared" si="13"/>
        <v>2049</v>
      </c>
      <c r="H94">
        <f t="shared" si="14"/>
        <v>2014</v>
      </c>
      <c r="I94" s="13">
        <f t="shared" si="15"/>
        <v>4.4687189672293947E-3</v>
      </c>
      <c r="J94" t="str">
        <f t="shared" si="16"/>
        <v>Backlog</v>
      </c>
      <c r="K94" s="13">
        <f t="shared" si="17"/>
        <v>0.98291849682772081</v>
      </c>
      <c r="L94" s="13">
        <f t="shared" si="18"/>
        <v>6.8804294777940456</v>
      </c>
      <c r="M94" s="13">
        <f t="shared" si="19"/>
        <v>29.487554904831626</v>
      </c>
      <c r="N94" t="b">
        <f t="shared" si="20"/>
        <v>1</v>
      </c>
      <c r="O94">
        <f t="shared" si="21"/>
        <v>23</v>
      </c>
      <c r="P94" s="13">
        <f t="shared" si="22"/>
        <v>0.98400015312993361</v>
      </c>
      <c r="Q94" s="13">
        <f t="shared" si="23"/>
        <v>0.98465173667677119</v>
      </c>
      <c r="R94" s="15" t="str">
        <f t="shared" si="24"/>
        <v>STRAIN</v>
      </c>
      <c r="S94" s="13">
        <f t="shared" si="25"/>
        <v>8.2967301122498782E-3</v>
      </c>
    </row>
    <row r="95" spans="1:19" x14ac:dyDescent="0.3">
      <c r="A95" s="4">
        <v>45084</v>
      </c>
      <c r="B95" s="2">
        <v>4</v>
      </c>
      <c r="C95" s="2">
        <v>17</v>
      </c>
      <c r="D95" s="2">
        <v>3</v>
      </c>
      <c r="E95">
        <v>2036</v>
      </c>
      <c r="F95">
        <v>13</v>
      </c>
      <c r="G95" s="2">
        <f t="shared" si="13"/>
        <v>2053</v>
      </c>
      <c r="H95">
        <f t="shared" si="14"/>
        <v>2023</v>
      </c>
      <c r="I95" s="13">
        <f t="shared" si="15"/>
        <v>2.4715768660405341E-3</v>
      </c>
      <c r="J95" t="str">
        <f t="shared" si="16"/>
        <v>Backlog</v>
      </c>
      <c r="K95" s="13">
        <f t="shared" si="17"/>
        <v>0.98538723818801754</v>
      </c>
      <c r="L95" s="13">
        <f t="shared" si="18"/>
        <v>6.8977106673161224</v>
      </c>
      <c r="M95" s="13">
        <f t="shared" si="19"/>
        <v>29.561617145640525</v>
      </c>
      <c r="N95" t="b">
        <f t="shared" si="20"/>
        <v>1</v>
      </c>
      <c r="O95">
        <f t="shared" si="21"/>
        <v>23</v>
      </c>
      <c r="P95" s="13">
        <f t="shared" si="22"/>
        <v>0.98788592678631648</v>
      </c>
      <c r="Q95" s="13">
        <f t="shared" si="23"/>
        <v>0.98474598001032487</v>
      </c>
      <c r="R95" s="15" t="str">
        <f t="shared" si="24"/>
        <v>STRAIN</v>
      </c>
      <c r="S95" s="13">
        <f t="shared" si="25"/>
        <v>6.3321967851924016E-3</v>
      </c>
    </row>
    <row r="96" spans="1:19" x14ac:dyDescent="0.3">
      <c r="A96" s="4">
        <v>45085</v>
      </c>
      <c r="B96" s="2">
        <v>2</v>
      </c>
      <c r="C96" s="2">
        <v>21</v>
      </c>
      <c r="D96" s="2">
        <v>10</v>
      </c>
      <c r="E96">
        <v>2042</v>
      </c>
      <c r="F96">
        <v>14</v>
      </c>
      <c r="G96" s="2">
        <f t="shared" si="13"/>
        <v>2063</v>
      </c>
      <c r="H96">
        <f t="shared" si="14"/>
        <v>2028</v>
      </c>
      <c r="I96" s="13">
        <f t="shared" si="15"/>
        <v>-9.8619329388560163E-4</v>
      </c>
      <c r="J96" t="str">
        <f t="shared" si="16"/>
        <v>No Backlog</v>
      </c>
      <c r="K96" s="13">
        <f t="shared" si="17"/>
        <v>0.98303441589917595</v>
      </c>
      <c r="L96" s="13">
        <f t="shared" si="18"/>
        <v>6.8812409112942312</v>
      </c>
      <c r="M96" s="13">
        <f t="shared" si="19"/>
        <v>29.491032476975278</v>
      </c>
      <c r="N96" t="b">
        <f t="shared" si="20"/>
        <v>1</v>
      </c>
      <c r="O96">
        <f t="shared" si="21"/>
        <v>23</v>
      </c>
      <c r="P96" s="13">
        <f t="shared" si="22"/>
        <v>0.98601218162120119</v>
      </c>
      <c r="Q96" s="13">
        <f t="shared" si="23"/>
        <v>0.98391001569509284</v>
      </c>
      <c r="R96" s="15" t="b">
        <f t="shared" si="24"/>
        <v>0</v>
      </c>
      <c r="S96" s="13">
        <f t="shared" si="25"/>
        <v>6.7862336403296175E-3</v>
      </c>
    </row>
    <row r="97" spans="1:19" x14ac:dyDescent="0.3">
      <c r="A97" s="4">
        <v>45088</v>
      </c>
      <c r="B97" s="2">
        <v>5</v>
      </c>
      <c r="C97" s="2">
        <v>22</v>
      </c>
      <c r="D97" s="2">
        <v>11</v>
      </c>
      <c r="E97">
        <v>2040</v>
      </c>
      <c r="F97">
        <v>14</v>
      </c>
      <c r="G97" s="2">
        <f t="shared" si="13"/>
        <v>2062</v>
      </c>
      <c r="H97">
        <f t="shared" si="14"/>
        <v>2026</v>
      </c>
      <c r="I97" s="13">
        <f t="shared" si="15"/>
        <v>8.8845014807502464E-3</v>
      </c>
      <c r="J97" t="str">
        <f t="shared" si="16"/>
        <v>Backlog</v>
      </c>
      <c r="K97" s="13">
        <f t="shared" si="17"/>
        <v>0.98254122211445194</v>
      </c>
      <c r="L97" s="13">
        <f t="shared" si="18"/>
        <v>6.8777885548011639</v>
      </c>
      <c r="M97" s="13">
        <f t="shared" si="19"/>
        <v>29.476236663433557</v>
      </c>
      <c r="N97" t="b">
        <f t="shared" si="20"/>
        <v>1</v>
      </c>
      <c r="O97">
        <f t="shared" si="21"/>
        <v>24</v>
      </c>
      <c r="P97" s="13">
        <f t="shared" si="22"/>
        <v>0.9874610872477021</v>
      </c>
      <c r="Q97" s="13">
        <f t="shared" si="23"/>
        <v>0.98666867824544502</v>
      </c>
      <c r="R97" s="15" t="str">
        <f t="shared" si="24"/>
        <v>STRAIN</v>
      </c>
      <c r="S97" s="13">
        <f t="shared" si="25"/>
        <v>6.7895247332686714E-3</v>
      </c>
    </row>
    <row r="98" spans="1:19" x14ac:dyDescent="0.3">
      <c r="A98" s="4">
        <v>45089</v>
      </c>
      <c r="B98" s="2">
        <v>5</v>
      </c>
      <c r="C98" s="2">
        <v>26</v>
      </c>
      <c r="D98" s="2">
        <v>3</v>
      </c>
      <c r="E98">
        <v>2049</v>
      </c>
      <c r="F98">
        <v>5</v>
      </c>
      <c r="G98" s="2">
        <f t="shared" si="13"/>
        <v>2075</v>
      </c>
      <c r="H98">
        <f t="shared" si="14"/>
        <v>2044</v>
      </c>
      <c r="I98" s="13">
        <f t="shared" si="15"/>
        <v>-4.8923679060665359E-4</v>
      </c>
      <c r="J98" t="str">
        <f t="shared" si="16"/>
        <v>No Backlog</v>
      </c>
      <c r="K98" s="13">
        <f t="shared" si="17"/>
        <v>0.98506024096385547</v>
      </c>
      <c r="L98" s="13">
        <f t="shared" si="18"/>
        <v>6.895421686746988</v>
      </c>
      <c r="M98" s="13">
        <f t="shared" si="19"/>
        <v>29.551807228915663</v>
      </c>
      <c r="N98" t="b">
        <f t="shared" si="20"/>
        <v>1</v>
      </c>
      <c r="O98">
        <f t="shared" si="21"/>
        <v>24</v>
      </c>
      <c r="P98" s="13">
        <f t="shared" si="22"/>
        <v>0.9814137534052958</v>
      </c>
      <c r="Q98" s="13">
        <f t="shared" si="23"/>
        <v>0.98679354407072994</v>
      </c>
      <c r="R98" s="15" t="b">
        <f t="shared" si="24"/>
        <v>0</v>
      </c>
      <c r="S98" s="13">
        <f t="shared" si="25"/>
        <v>2.4096385542168677E-3</v>
      </c>
    </row>
    <row r="99" spans="1:19" x14ac:dyDescent="0.3">
      <c r="A99" s="4">
        <v>45090</v>
      </c>
      <c r="B99" s="2">
        <v>2</v>
      </c>
      <c r="C99" s="2">
        <v>9</v>
      </c>
      <c r="D99" s="2">
        <v>6</v>
      </c>
      <c r="E99">
        <v>2058</v>
      </c>
      <c r="F99">
        <v>15</v>
      </c>
      <c r="G99" s="2">
        <f t="shared" si="13"/>
        <v>2067</v>
      </c>
      <c r="H99">
        <f t="shared" si="14"/>
        <v>2043</v>
      </c>
      <c r="I99" s="13">
        <f t="shared" si="15"/>
        <v>1.9579050416054823E-3</v>
      </c>
      <c r="J99" t="str">
        <f t="shared" si="16"/>
        <v>Backlog</v>
      </c>
      <c r="K99" s="13">
        <f t="shared" si="17"/>
        <v>0.98838896952104505</v>
      </c>
      <c r="L99" s="13">
        <f t="shared" si="18"/>
        <v>6.9187227866473151</v>
      </c>
      <c r="M99" s="13">
        <f t="shared" si="19"/>
        <v>29.651669085631351</v>
      </c>
      <c r="N99" t="b">
        <f t="shared" si="20"/>
        <v>1</v>
      </c>
      <c r="O99">
        <f t="shared" si="21"/>
        <v>24</v>
      </c>
      <c r="P99" s="13">
        <f t="shared" si="22"/>
        <v>0.98598622960104787</v>
      </c>
      <c r="Q99" s="13">
        <f t="shared" si="23"/>
        <v>0.98620361718061389</v>
      </c>
      <c r="R99" s="15" t="str">
        <f t="shared" si="24"/>
        <v>STRAIN</v>
      </c>
      <c r="S99" s="13">
        <f t="shared" si="25"/>
        <v>7.2568940493468797E-3</v>
      </c>
    </row>
    <row r="100" spans="1:19" x14ac:dyDescent="0.3">
      <c r="A100" s="4">
        <v>45091</v>
      </c>
      <c r="B100" s="2">
        <v>4</v>
      </c>
      <c r="C100" s="2">
        <v>15</v>
      </c>
      <c r="D100" s="2">
        <v>4</v>
      </c>
      <c r="E100">
        <v>2063</v>
      </c>
      <c r="F100">
        <v>16</v>
      </c>
      <c r="G100" s="2">
        <f t="shared" si="13"/>
        <v>2078</v>
      </c>
      <c r="H100">
        <f t="shared" si="14"/>
        <v>2047</v>
      </c>
      <c r="I100" s="13">
        <f t="shared" si="15"/>
        <v>6.3507572056668293E-3</v>
      </c>
      <c r="J100" t="str">
        <f t="shared" si="16"/>
        <v>Backlog</v>
      </c>
      <c r="K100" s="13">
        <f t="shared" si="17"/>
        <v>0.98508180943214629</v>
      </c>
      <c r="L100" s="13">
        <f t="shared" si="18"/>
        <v>6.8955726660250241</v>
      </c>
      <c r="M100" s="13">
        <f t="shared" si="19"/>
        <v>29.552454282964391</v>
      </c>
      <c r="N100" t="b">
        <f t="shared" si="20"/>
        <v>1</v>
      </c>
      <c r="O100">
        <f t="shared" si="21"/>
        <v>24</v>
      </c>
      <c r="P100" s="13">
        <f t="shared" si="22"/>
        <v>0.98573339297898399</v>
      </c>
      <c r="Q100" s="13">
        <f t="shared" si="23"/>
        <v>0.98735371481981693</v>
      </c>
      <c r="R100" s="15" t="str">
        <f t="shared" si="24"/>
        <v>STRAIN</v>
      </c>
      <c r="S100" s="13">
        <f t="shared" si="25"/>
        <v>7.6997112608277194E-3</v>
      </c>
    </row>
    <row r="101" spans="1:19" x14ac:dyDescent="0.3">
      <c r="A101" s="4">
        <v>45092</v>
      </c>
      <c r="B101" s="2">
        <v>2</v>
      </c>
      <c r="C101" s="2">
        <v>8</v>
      </c>
      <c r="D101" s="2">
        <v>3</v>
      </c>
      <c r="E101">
        <v>2072</v>
      </c>
      <c r="F101">
        <v>12</v>
      </c>
      <c r="G101" s="2">
        <f t="shared" si="13"/>
        <v>2080</v>
      </c>
      <c r="H101">
        <f t="shared" si="14"/>
        <v>2060</v>
      </c>
      <c r="I101" s="13">
        <f t="shared" si="15"/>
        <v>2.9126213592233011E-3</v>
      </c>
      <c r="J101" t="str">
        <f t="shared" si="16"/>
        <v>Backlog</v>
      </c>
      <c r="K101" s="13">
        <f t="shared" si="17"/>
        <v>0.99038461538461542</v>
      </c>
      <c r="L101" s="13">
        <f t="shared" si="18"/>
        <v>6.9326923076923084</v>
      </c>
      <c r="M101" s="13">
        <f t="shared" si="19"/>
        <v>29.711538461538463</v>
      </c>
      <c r="N101" t="b">
        <f t="shared" si="20"/>
        <v>1</v>
      </c>
      <c r="O101">
        <f t="shared" si="21"/>
        <v>24</v>
      </c>
      <c r="P101" s="13">
        <f t="shared" si="22"/>
        <v>0.98724466860862381</v>
      </c>
      <c r="Q101" s="13">
        <f t="shared" si="23"/>
        <v>0.9839290568089154</v>
      </c>
      <c r="R101" s="15" t="str">
        <f t="shared" si="24"/>
        <v>STRAIN</v>
      </c>
      <c r="S101" s="13">
        <f t="shared" si="25"/>
        <v>5.7692307692307696E-3</v>
      </c>
    </row>
    <row r="102" spans="1:19" x14ac:dyDescent="0.3">
      <c r="A102" s="4">
        <v>45096</v>
      </c>
      <c r="B102" s="2">
        <v>2</v>
      </c>
      <c r="C102" s="2">
        <v>9</v>
      </c>
      <c r="D102" s="2">
        <v>3</v>
      </c>
      <c r="E102">
        <v>2080</v>
      </c>
      <c r="F102">
        <v>14</v>
      </c>
      <c r="G102" s="2">
        <f t="shared" si="13"/>
        <v>2089</v>
      </c>
      <c r="H102">
        <f t="shared" si="14"/>
        <v>2066</v>
      </c>
      <c r="I102" s="13">
        <f t="shared" si="15"/>
        <v>8.7124878993223628E-3</v>
      </c>
      <c r="J102" t="str">
        <f t="shared" si="16"/>
        <v>Backlog</v>
      </c>
      <c r="K102" s="13">
        <f t="shared" si="17"/>
        <v>0.98898994734322643</v>
      </c>
      <c r="L102" s="13">
        <f t="shared" si="18"/>
        <v>6.9229296314025852</v>
      </c>
      <c r="M102" s="13">
        <f t="shared" si="19"/>
        <v>29.669698420296793</v>
      </c>
      <c r="N102" t="b">
        <f t="shared" si="20"/>
        <v>1</v>
      </c>
      <c r="O102">
        <f t="shared" si="21"/>
        <v>25</v>
      </c>
      <c r="P102" s="13">
        <f t="shared" si="22"/>
        <v>0.98688778141711808</v>
      </c>
      <c r="Q102" s="13">
        <f t="shared" si="23"/>
        <v>0.98362068050066931</v>
      </c>
      <c r="R102" s="15" t="str">
        <f t="shared" si="24"/>
        <v>STRAIN</v>
      </c>
      <c r="S102" s="13">
        <f t="shared" si="25"/>
        <v>6.7017711823839157E-3</v>
      </c>
    </row>
    <row r="103" spans="1:19" x14ac:dyDescent="0.3">
      <c r="A103" s="4">
        <v>45097</v>
      </c>
      <c r="B103" s="2">
        <v>1</v>
      </c>
      <c r="C103" s="2">
        <v>12</v>
      </c>
      <c r="D103" s="2">
        <v>2</v>
      </c>
      <c r="E103">
        <v>2088</v>
      </c>
      <c r="F103">
        <v>4</v>
      </c>
      <c r="G103" s="2">
        <f t="shared" si="13"/>
        <v>2100</v>
      </c>
      <c r="H103">
        <f t="shared" si="14"/>
        <v>2084</v>
      </c>
      <c r="I103" s="13">
        <f t="shared" si="15"/>
        <v>-8.1573896353166978E-3</v>
      </c>
      <c r="J103" t="str">
        <f t="shared" si="16"/>
        <v>No Backlog</v>
      </c>
      <c r="K103" s="13">
        <f t="shared" si="17"/>
        <v>0.99238095238095236</v>
      </c>
      <c r="L103" s="13">
        <f t="shared" si="18"/>
        <v>6.9466666666666663</v>
      </c>
      <c r="M103" s="13">
        <f t="shared" si="19"/>
        <v>29.771428571428572</v>
      </c>
      <c r="N103" t="b">
        <f t="shared" si="20"/>
        <v>1</v>
      </c>
      <c r="O103">
        <f t="shared" si="21"/>
        <v>25</v>
      </c>
      <c r="P103" s="13">
        <f t="shared" si="22"/>
        <v>0.99158854337869529</v>
      </c>
      <c r="Q103" s="13">
        <f t="shared" si="23"/>
        <v>0.98843853820598004</v>
      </c>
      <c r="R103" s="15" t="b">
        <f t="shared" si="24"/>
        <v>0</v>
      </c>
      <c r="S103" s="13">
        <f t="shared" si="25"/>
        <v>1.9047619047619048E-3</v>
      </c>
    </row>
    <row r="104" spans="1:19" x14ac:dyDescent="0.3">
      <c r="A104" s="4">
        <v>45098</v>
      </c>
      <c r="B104" s="2">
        <v>6</v>
      </c>
      <c r="C104" s="2">
        <v>18</v>
      </c>
      <c r="D104" s="2">
        <v>7</v>
      </c>
      <c r="E104">
        <v>2096</v>
      </c>
      <c r="F104">
        <v>29</v>
      </c>
      <c r="G104" s="2">
        <f t="shared" si="13"/>
        <v>2114</v>
      </c>
      <c r="H104">
        <f t="shared" si="14"/>
        <v>2067</v>
      </c>
      <c r="I104" s="13">
        <f t="shared" si="15"/>
        <v>1.4513788098693759E-2</v>
      </c>
      <c r="J104" t="str">
        <f t="shared" si="16"/>
        <v>Backlog</v>
      </c>
      <c r="K104" s="13">
        <f t="shared" si="17"/>
        <v>0.97776726584673601</v>
      </c>
      <c r="L104" s="13">
        <f t="shared" si="18"/>
        <v>6.8443708609271523</v>
      </c>
      <c r="M104" s="13">
        <f t="shared" si="19"/>
        <v>29.333017975402079</v>
      </c>
      <c r="N104" t="b">
        <f t="shared" si="20"/>
        <v>1</v>
      </c>
      <c r="O104">
        <f t="shared" si="21"/>
        <v>25</v>
      </c>
      <c r="P104" s="13">
        <f t="shared" si="22"/>
        <v>0.98314705651217027</v>
      </c>
      <c r="Q104" s="13">
        <f t="shared" si="23"/>
        <v>0.98074658795548797</v>
      </c>
      <c r="R104" s="15" t="str">
        <f t="shared" si="24"/>
        <v>STRAIN</v>
      </c>
      <c r="S104" s="13">
        <f t="shared" si="25"/>
        <v>1.3718070009460738E-2</v>
      </c>
    </row>
    <row r="105" spans="1:19" x14ac:dyDescent="0.3">
      <c r="A105" s="4">
        <v>45099</v>
      </c>
      <c r="B105" s="2">
        <v>6</v>
      </c>
      <c r="C105" s="2">
        <v>21</v>
      </c>
      <c r="D105" s="2">
        <v>5</v>
      </c>
      <c r="E105">
        <v>2111</v>
      </c>
      <c r="F105">
        <v>14</v>
      </c>
      <c r="G105" s="2">
        <f t="shared" si="13"/>
        <v>2132</v>
      </c>
      <c r="H105">
        <f t="shared" si="14"/>
        <v>2097</v>
      </c>
      <c r="I105" s="13">
        <f t="shared" si="15"/>
        <v>1.9074868860276585E-3</v>
      </c>
      <c r="J105" t="str">
        <f t="shared" si="16"/>
        <v>Backlog</v>
      </c>
      <c r="K105" s="13">
        <f t="shared" si="17"/>
        <v>0.98358348968105069</v>
      </c>
      <c r="L105" s="13">
        <f t="shared" si="18"/>
        <v>6.8850844277673549</v>
      </c>
      <c r="M105" s="13">
        <f t="shared" si="19"/>
        <v>29.507504690431521</v>
      </c>
      <c r="N105" t="b">
        <f t="shared" si="20"/>
        <v>1</v>
      </c>
      <c r="O105">
        <f t="shared" si="21"/>
        <v>25</v>
      </c>
      <c r="P105" s="13">
        <f t="shared" si="22"/>
        <v>0.9838008772606166</v>
      </c>
      <c r="Q105" s="13">
        <f t="shared" si="23"/>
        <v>0.9864703314731349</v>
      </c>
      <c r="R105" s="15" t="str">
        <f t="shared" si="24"/>
        <v>STRAIN</v>
      </c>
      <c r="S105" s="13">
        <f t="shared" si="25"/>
        <v>6.5666041275797378E-3</v>
      </c>
    </row>
    <row r="106" spans="1:19" x14ac:dyDescent="0.3">
      <c r="A106" s="4">
        <v>45102</v>
      </c>
      <c r="B106" s="2">
        <v>5</v>
      </c>
      <c r="C106" s="2">
        <v>13</v>
      </c>
      <c r="D106" s="2">
        <v>3</v>
      </c>
      <c r="E106">
        <v>2117</v>
      </c>
      <c r="F106">
        <v>16</v>
      </c>
      <c r="G106" s="2">
        <f t="shared" si="13"/>
        <v>2130</v>
      </c>
      <c r="H106">
        <f t="shared" si="14"/>
        <v>2101</v>
      </c>
      <c r="I106" s="13">
        <f t="shared" si="15"/>
        <v>1.9038553069966682E-3</v>
      </c>
      <c r="J106" t="str">
        <f t="shared" si="16"/>
        <v>Backlog</v>
      </c>
      <c r="K106" s="13">
        <f t="shared" si="17"/>
        <v>0.98638497652582158</v>
      </c>
      <c r="L106" s="13">
        <f t="shared" si="18"/>
        <v>6.9046948356807514</v>
      </c>
      <c r="M106" s="13">
        <f t="shared" si="19"/>
        <v>29.591549295774648</v>
      </c>
      <c r="N106" t="b">
        <f t="shared" si="20"/>
        <v>1</v>
      </c>
      <c r="O106">
        <f t="shared" si="21"/>
        <v>26</v>
      </c>
      <c r="P106" s="13">
        <f t="shared" si="22"/>
        <v>0.98800529836665452</v>
      </c>
      <c r="Q106" s="13">
        <f t="shared" si="23"/>
        <v>0.98107380878108885</v>
      </c>
      <c r="R106" s="15" t="str">
        <f t="shared" si="24"/>
        <v>STRAIN</v>
      </c>
      <c r="S106" s="13">
        <f t="shared" si="25"/>
        <v>7.5117370892018778E-3</v>
      </c>
    </row>
    <row r="107" spans="1:19" x14ac:dyDescent="0.3">
      <c r="A107" s="4">
        <v>45103</v>
      </c>
      <c r="B107" s="2">
        <v>4</v>
      </c>
      <c r="C107" s="2">
        <v>18</v>
      </c>
      <c r="D107" s="2">
        <v>7</v>
      </c>
      <c r="E107">
        <v>2121</v>
      </c>
      <c r="F107">
        <v>16</v>
      </c>
      <c r="G107" s="2">
        <f t="shared" si="13"/>
        <v>2139</v>
      </c>
      <c r="H107">
        <f t="shared" si="14"/>
        <v>2105</v>
      </c>
      <c r="I107" s="13">
        <f t="shared" si="15"/>
        <v>1.4726840855106888E-2</v>
      </c>
      <c r="J107" t="str">
        <f t="shared" si="16"/>
        <v>Backlog</v>
      </c>
      <c r="K107" s="13">
        <f t="shared" si="17"/>
        <v>0.98410472183263209</v>
      </c>
      <c r="L107" s="13">
        <f t="shared" si="18"/>
        <v>6.8887330528284245</v>
      </c>
      <c r="M107" s="13">
        <f t="shared" si="19"/>
        <v>29.523141654978964</v>
      </c>
      <c r="N107" t="b">
        <f t="shared" si="20"/>
        <v>1</v>
      </c>
      <c r="O107">
        <f t="shared" si="21"/>
        <v>26</v>
      </c>
      <c r="P107" s="13">
        <f t="shared" si="22"/>
        <v>0.98078911003292379</v>
      </c>
      <c r="Q107" s="13">
        <f t="shared" si="23"/>
        <v>0.9845679534319085</v>
      </c>
      <c r="R107" s="15" t="str">
        <f t="shared" si="24"/>
        <v>STRAIN</v>
      </c>
      <c r="S107" s="13">
        <f t="shared" si="25"/>
        <v>7.4801309022907905E-3</v>
      </c>
    </row>
    <row r="108" spans="1:19" x14ac:dyDescent="0.3">
      <c r="A108" s="4">
        <v>45104</v>
      </c>
      <c r="B108" s="2">
        <v>3</v>
      </c>
      <c r="C108" s="2">
        <v>16</v>
      </c>
      <c r="D108" s="2">
        <v>2</v>
      </c>
      <c r="E108">
        <v>2153</v>
      </c>
      <c r="F108">
        <v>17</v>
      </c>
      <c r="G108" s="2">
        <f t="shared" si="13"/>
        <v>2169</v>
      </c>
      <c r="H108">
        <f t="shared" si="14"/>
        <v>2136</v>
      </c>
      <c r="I108" s="13">
        <f t="shared" si="15"/>
        <v>7.9588014981273412E-3</v>
      </c>
      <c r="J108" t="str">
        <f t="shared" si="16"/>
        <v>Backlog</v>
      </c>
      <c r="K108" s="13">
        <f t="shared" si="17"/>
        <v>0.98478561549100974</v>
      </c>
      <c r="L108" s="13">
        <f t="shared" si="18"/>
        <v>6.8934993084370682</v>
      </c>
      <c r="M108" s="13">
        <f t="shared" si="19"/>
        <v>29.543568464730292</v>
      </c>
      <c r="N108" t="b">
        <f t="shared" si="20"/>
        <v>1</v>
      </c>
      <c r="O108">
        <f t="shared" si="21"/>
        <v>26</v>
      </c>
      <c r="P108" s="13">
        <f t="shared" si="22"/>
        <v>0.98151851457456096</v>
      </c>
      <c r="Q108" s="13">
        <f t="shared" si="23"/>
        <v>0.98457065871298122</v>
      </c>
      <c r="R108" s="15" t="str">
        <f t="shared" si="24"/>
        <v>STRAIN</v>
      </c>
      <c r="S108" s="13">
        <f t="shared" si="25"/>
        <v>7.8377132319041032E-3</v>
      </c>
    </row>
    <row r="109" spans="1:19" x14ac:dyDescent="0.3">
      <c r="A109" s="4">
        <v>45105</v>
      </c>
      <c r="B109" s="2">
        <v>1</v>
      </c>
      <c r="C109" s="2">
        <v>9</v>
      </c>
      <c r="D109" s="2">
        <v>0</v>
      </c>
      <c r="E109">
        <v>2164</v>
      </c>
      <c r="F109">
        <v>11</v>
      </c>
      <c r="G109" s="2">
        <f t="shared" si="13"/>
        <v>2173</v>
      </c>
      <c r="H109">
        <f t="shared" si="14"/>
        <v>2153</v>
      </c>
      <c r="I109" s="13">
        <f t="shared" si="15"/>
        <v>4.6446818392940084E-4</v>
      </c>
      <c r="J109" t="str">
        <f t="shared" si="16"/>
        <v>Backlog</v>
      </c>
      <c r="K109" s="13">
        <f t="shared" si="17"/>
        <v>0.9907961343764381</v>
      </c>
      <c r="L109" s="13">
        <f t="shared" si="18"/>
        <v>6.9355729406350664</v>
      </c>
      <c r="M109" s="13">
        <f t="shared" si="19"/>
        <v>29.723884031293142</v>
      </c>
      <c r="N109" t="b">
        <f t="shared" si="20"/>
        <v>1</v>
      </c>
      <c r="O109">
        <f t="shared" si="21"/>
        <v>26</v>
      </c>
      <c r="P109" s="13">
        <f t="shared" si="22"/>
        <v>0.98764612920372286</v>
      </c>
      <c r="Q109" s="13">
        <f t="shared" si="23"/>
        <v>0.98778489846393924</v>
      </c>
      <c r="R109" s="15" t="str">
        <f t="shared" si="24"/>
        <v>STRAIN</v>
      </c>
      <c r="S109" s="13">
        <f t="shared" si="25"/>
        <v>5.0621260929590425E-3</v>
      </c>
    </row>
    <row r="110" spans="1:19" x14ac:dyDescent="0.3">
      <c r="A110" s="4">
        <v>45106</v>
      </c>
      <c r="B110" s="2">
        <v>0</v>
      </c>
      <c r="C110" s="2">
        <v>8</v>
      </c>
      <c r="D110" s="2">
        <v>5</v>
      </c>
      <c r="E110">
        <v>2171</v>
      </c>
      <c r="F110">
        <v>17</v>
      </c>
      <c r="G110" s="2">
        <f t="shared" si="13"/>
        <v>2179</v>
      </c>
      <c r="H110">
        <f t="shared" si="14"/>
        <v>2154</v>
      </c>
      <c r="I110" s="13">
        <f t="shared" si="15"/>
        <v>4.6425255338904364E-4</v>
      </c>
      <c r="J110" t="str">
        <f t="shared" si="16"/>
        <v>Backlog</v>
      </c>
      <c r="K110" s="13">
        <f t="shared" si="17"/>
        <v>0.98852684717760442</v>
      </c>
      <c r="L110" s="13">
        <f t="shared" si="18"/>
        <v>6.9196879302432306</v>
      </c>
      <c r="M110" s="13">
        <f t="shared" si="19"/>
        <v>29.655805415328132</v>
      </c>
      <c r="N110" t="b">
        <f t="shared" si="20"/>
        <v>1</v>
      </c>
      <c r="O110">
        <f t="shared" si="21"/>
        <v>26</v>
      </c>
      <c r="P110" s="13">
        <f t="shared" si="22"/>
        <v>0.98612637862092212</v>
      </c>
      <c r="Q110" s="13">
        <f t="shared" si="23"/>
        <v>0.98530576886567522</v>
      </c>
      <c r="R110" s="15" t="str">
        <f t="shared" si="24"/>
        <v>STRAIN</v>
      </c>
      <c r="S110" s="13">
        <f t="shared" si="25"/>
        <v>7.8017439192290044E-3</v>
      </c>
    </row>
    <row r="111" spans="1:19" x14ac:dyDescent="0.3">
      <c r="A111" s="4">
        <v>45109</v>
      </c>
      <c r="B111" s="2">
        <v>2</v>
      </c>
      <c r="C111" s="2">
        <v>9</v>
      </c>
      <c r="D111" s="2">
        <v>1</v>
      </c>
      <c r="E111">
        <v>2181</v>
      </c>
      <c r="F111">
        <v>26</v>
      </c>
      <c r="G111" s="2">
        <f t="shared" si="13"/>
        <v>2190</v>
      </c>
      <c r="H111">
        <f t="shared" si="14"/>
        <v>2155</v>
      </c>
      <c r="I111" s="13">
        <f t="shared" si="15"/>
        <v>1.8097447795823667E-2</v>
      </c>
      <c r="J111" t="str">
        <f t="shared" si="16"/>
        <v>Backlog</v>
      </c>
      <c r="K111" s="13">
        <f t="shared" si="17"/>
        <v>0.98401826484018262</v>
      </c>
      <c r="L111" s="13">
        <f t="shared" si="18"/>
        <v>6.8881278538812785</v>
      </c>
      <c r="M111" s="13">
        <f t="shared" si="19"/>
        <v>29.520547945205479</v>
      </c>
      <c r="N111" t="b">
        <f t="shared" si="20"/>
        <v>1</v>
      </c>
      <c r="O111">
        <f t="shared" si="21"/>
        <v>27</v>
      </c>
      <c r="P111" s="13">
        <f t="shared" si="22"/>
        <v>0.98668771905270092</v>
      </c>
      <c r="Q111" s="13">
        <f t="shared" si="23"/>
        <v>0.98475691646521624</v>
      </c>
      <c r="R111" s="15" t="str">
        <f t="shared" si="24"/>
        <v>STRAIN</v>
      </c>
      <c r="S111" s="13">
        <f t="shared" si="25"/>
        <v>1.1872146118721462E-2</v>
      </c>
    </row>
    <row r="112" spans="1:19" x14ac:dyDescent="0.3">
      <c r="A112" s="4">
        <v>45111</v>
      </c>
      <c r="B112" s="2">
        <v>1</v>
      </c>
      <c r="C112" s="2">
        <v>13</v>
      </c>
      <c r="D112" s="2">
        <v>4</v>
      </c>
      <c r="E112">
        <v>2204</v>
      </c>
      <c r="F112">
        <v>10</v>
      </c>
      <c r="G112" s="2">
        <f t="shared" si="13"/>
        <v>2217</v>
      </c>
      <c r="H112">
        <f t="shared" si="14"/>
        <v>2194</v>
      </c>
      <c r="I112" s="13">
        <f t="shared" si="15"/>
        <v>8.6599817684594356E-3</v>
      </c>
      <c r="J112" t="str">
        <f t="shared" si="16"/>
        <v>Backlog</v>
      </c>
      <c r="K112" s="13">
        <f t="shared" si="17"/>
        <v>0.98962562020748757</v>
      </c>
      <c r="L112" s="13">
        <f t="shared" si="18"/>
        <v>6.9273793414524132</v>
      </c>
      <c r="M112" s="13">
        <f t="shared" si="19"/>
        <v>29.688768606224627</v>
      </c>
      <c r="N112" t="b">
        <f t="shared" si="20"/>
        <v>1</v>
      </c>
      <c r="O112">
        <f t="shared" si="21"/>
        <v>27</v>
      </c>
      <c r="P112" s="13">
        <f t="shared" si="22"/>
        <v>0.98269413062192179</v>
      </c>
      <c r="Q112" s="13">
        <f t="shared" si="23"/>
        <v>0.98763863712646205</v>
      </c>
      <c r="R112" s="15" t="str">
        <f t="shared" si="24"/>
        <v>STRAIN</v>
      </c>
      <c r="S112" s="13">
        <f t="shared" si="25"/>
        <v>4.5105999097880016E-3</v>
      </c>
    </row>
    <row r="113" spans="1:19" x14ac:dyDescent="0.3">
      <c r="A113" s="4">
        <v>45112</v>
      </c>
      <c r="B113" s="2">
        <v>2</v>
      </c>
      <c r="C113" s="2">
        <v>12</v>
      </c>
      <c r="D113" s="2">
        <v>3</v>
      </c>
      <c r="E113">
        <v>2252</v>
      </c>
      <c r="F113">
        <v>39</v>
      </c>
      <c r="G113" s="2">
        <f t="shared" si="13"/>
        <v>2264</v>
      </c>
      <c r="H113">
        <f t="shared" si="14"/>
        <v>2213</v>
      </c>
      <c r="I113" s="13">
        <f t="shared" si="15"/>
        <v>1.6267510167193855E-2</v>
      </c>
      <c r="J113" t="str">
        <f t="shared" si="16"/>
        <v>Backlog</v>
      </c>
      <c r="K113" s="13">
        <f t="shared" si="17"/>
        <v>0.9774734982332155</v>
      </c>
      <c r="L113" s="13">
        <f t="shared" si="18"/>
        <v>6.8423144876325086</v>
      </c>
      <c r="M113" s="13">
        <f t="shared" si="19"/>
        <v>29.324204946996463</v>
      </c>
      <c r="N113" t="b">
        <f t="shared" si="20"/>
        <v>1</v>
      </c>
      <c r="O113">
        <f t="shared" si="21"/>
        <v>27</v>
      </c>
      <c r="P113" s="13">
        <f t="shared" si="22"/>
        <v>0.98125234163220032</v>
      </c>
      <c r="Q113" s="13">
        <f t="shared" si="23"/>
        <v>0.98236224712457587</v>
      </c>
      <c r="R113" s="15" t="str">
        <f t="shared" si="24"/>
        <v>STRAIN</v>
      </c>
      <c r="S113" s="13">
        <f t="shared" si="25"/>
        <v>1.7226148409893994E-2</v>
      </c>
    </row>
    <row r="114" spans="1:19" x14ac:dyDescent="0.3">
      <c r="A114" s="4">
        <v>45113</v>
      </c>
      <c r="B114" s="2">
        <v>2</v>
      </c>
      <c r="C114" s="2">
        <v>18</v>
      </c>
      <c r="D114" s="2">
        <v>0</v>
      </c>
      <c r="E114">
        <v>2281</v>
      </c>
      <c r="F114">
        <v>32</v>
      </c>
      <c r="G114" s="2">
        <f t="shared" si="13"/>
        <v>2299</v>
      </c>
      <c r="H114">
        <f t="shared" si="14"/>
        <v>2249</v>
      </c>
      <c r="I114" s="13">
        <f t="shared" si="15"/>
        <v>1.6451756336149401E-2</v>
      </c>
      <c r="J114" t="str">
        <f t="shared" si="16"/>
        <v>Backlog</v>
      </c>
      <c r="K114" s="13">
        <f t="shared" si="17"/>
        <v>0.97825141365811219</v>
      </c>
      <c r="L114" s="13">
        <f t="shared" si="18"/>
        <v>6.8477598956067851</v>
      </c>
      <c r="M114" s="13">
        <f t="shared" si="19"/>
        <v>29.347542409743365</v>
      </c>
      <c r="N114" t="b">
        <f t="shared" si="20"/>
        <v>1</v>
      </c>
      <c r="O114">
        <f t="shared" si="21"/>
        <v>27</v>
      </c>
      <c r="P114" s="13">
        <f t="shared" si="22"/>
        <v>0.98130355779653244</v>
      </c>
      <c r="Q114" s="13">
        <f t="shared" si="23"/>
        <v>0.98515902694012314</v>
      </c>
      <c r="R114" s="15" t="str">
        <f t="shared" si="24"/>
        <v>STRAIN</v>
      </c>
      <c r="S114" s="13">
        <f t="shared" si="25"/>
        <v>1.3919095258808177E-2</v>
      </c>
    </row>
    <row r="115" spans="1:19" x14ac:dyDescent="0.3">
      <c r="A115" s="4">
        <v>45116</v>
      </c>
      <c r="B115" s="2">
        <v>5</v>
      </c>
      <c r="C115" s="2">
        <v>16</v>
      </c>
      <c r="D115" s="2">
        <v>8</v>
      </c>
      <c r="E115">
        <v>2306</v>
      </c>
      <c r="F115">
        <v>20</v>
      </c>
      <c r="G115" s="2">
        <f t="shared" si="13"/>
        <v>2322</v>
      </c>
      <c r="H115">
        <f t="shared" si="14"/>
        <v>2286</v>
      </c>
      <c r="I115" s="13">
        <f t="shared" si="15"/>
        <v>4.8118985126859139E-3</v>
      </c>
      <c r="J115" t="str">
        <f t="shared" si="16"/>
        <v>Backlog</v>
      </c>
      <c r="K115" s="13">
        <f t="shared" si="17"/>
        <v>0.98449612403100772</v>
      </c>
      <c r="L115" s="13">
        <f t="shared" si="18"/>
        <v>6.8914728682170541</v>
      </c>
      <c r="M115" s="13">
        <f t="shared" si="19"/>
        <v>29.534883720930232</v>
      </c>
      <c r="N115" t="b">
        <f t="shared" si="20"/>
        <v>1</v>
      </c>
      <c r="O115">
        <f t="shared" si="21"/>
        <v>28</v>
      </c>
      <c r="P115" s="13">
        <f t="shared" si="22"/>
        <v>0.984634893291224</v>
      </c>
      <c r="Q115" s="13">
        <f t="shared" si="23"/>
        <v>0.98490679217423405</v>
      </c>
      <c r="R115" s="15" t="str">
        <f t="shared" si="24"/>
        <v>STRAIN</v>
      </c>
      <c r="S115" s="13">
        <f t="shared" si="25"/>
        <v>8.6132644272179162E-3</v>
      </c>
    </row>
    <row r="116" spans="1:19" x14ac:dyDescent="0.3">
      <c r="A116" s="4">
        <v>45117</v>
      </c>
      <c r="B116" s="2">
        <v>3</v>
      </c>
      <c r="C116" s="2">
        <v>18</v>
      </c>
      <c r="D116" s="2">
        <v>8</v>
      </c>
      <c r="E116">
        <v>2317</v>
      </c>
      <c r="F116">
        <v>20</v>
      </c>
      <c r="G116" s="2">
        <f t="shared" si="13"/>
        <v>2335</v>
      </c>
      <c r="H116">
        <f t="shared" si="14"/>
        <v>2297</v>
      </c>
      <c r="I116" s="13">
        <f t="shared" si="15"/>
        <v>1.1754462342185459E-2</v>
      </c>
      <c r="J116" t="str">
        <f t="shared" si="16"/>
        <v>Backlog</v>
      </c>
      <c r="K116" s="13">
        <f t="shared" si="17"/>
        <v>0.98372591006423982</v>
      </c>
      <c r="L116" s="13">
        <f t="shared" si="18"/>
        <v>6.8860813704496788</v>
      </c>
      <c r="M116" s="13">
        <f t="shared" si="19"/>
        <v>29.511777301927193</v>
      </c>
      <c r="N116" t="b">
        <f t="shared" si="20"/>
        <v>1</v>
      </c>
      <c r="O116">
        <f t="shared" si="21"/>
        <v>28</v>
      </c>
      <c r="P116" s="13">
        <f t="shared" si="22"/>
        <v>0.98290530030899292</v>
      </c>
      <c r="Q116" s="13">
        <f t="shared" si="23"/>
        <v>0.98440319845575552</v>
      </c>
      <c r="R116" s="15" t="str">
        <f t="shared" si="24"/>
        <v>STRAIN</v>
      </c>
      <c r="S116" s="13">
        <f t="shared" si="25"/>
        <v>8.5653104925053538E-3</v>
      </c>
    </row>
    <row r="117" spans="1:19" x14ac:dyDescent="0.3">
      <c r="A117" s="4">
        <v>45118</v>
      </c>
      <c r="B117" s="2">
        <v>4</v>
      </c>
      <c r="C117" s="2">
        <v>17</v>
      </c>
      <c r="D117" s="2">
        <v>2</v>
      </c>
      <c r="E117">
        <v>2332</v>
      </c>
      <c r="F117">
        <v>8</v>
      </c>
      <c r="G117" s="2">
        <f t="shared" si="13"/>
        <v>2349</v>
      </c>
      <c r="H117">
        <f t="shared" si="14"/>
        <v>2324</v>
      </c>
      <c r="I117" s="13">
        <f t="shared" si="15"/>
        <v>4.7332185886402754E-3</v>
      </c>
      <c r="J117" t="str">
        <f t="shared" si="16"/>
        <v>Backlog</v>
      </c>
      <c r="K117" s="13">
        <f t="shared" si="17"/>
        <v>0.98935717326521921</v>
      </c>
      <c r="L117" s="13">
        <f t="shared" si="18"/>
        <v>6.9255002128565346</v>
      </c>
      <c r="M117" s="13">
        <f t="shared" si="19"/>
        <v>29.680715197956577</v>
      </c>
      <c r="N117" t="b">
        <f t="shared" si="20"/>
        <v>1</v>
      </c>
      <c r="O117">
        <f t="shared" si="21"/>
        <v>28</v>
      </c>
      <c r="P117" s="13">
        <f t="shared" si="22"/>
        <v>0.98742637067773453</v>
      </c>
      <c r="Q117" s="13">
        <f t="shared" si="23"/>
        <v>0.98680146965742255</v>
      </c>
      <c r="R117" s="15" t="str">
        <f t="shared" si="24"/>
        <v>STRAIN</v>
      </c>
      <c r="S117" s="13">
        <f t="shared" si="25"/>
        <v>3.4057045551298426E-3</v>
      </c>
    </row>
    <row r="118" spans="1:19" x14ac:dyDescent="0.3">
      <c r="A118" s="4">
        <v>45119</v>
      </c>
      <c r="B118" s="2">
        <v>8</v>
      </c>
      <c r="C118" s="2">
        <v>20</v>
      </c>
      <c r="D118" s="2">
        <v>9</v>
      </c>
      <c r="E118">
        <v>2373</v>
      </c>
      <c r="F118">
        <v>38</v>
      </c>
      <c r="G118" s="2">
        <f t="shared" si="13"/>
        <v>2393</v>
      </c>
      <c r="H118">
        <f t="shared" si="14"/>
        <v>2335</v>
      </c>
      <c r="I118" s="13">
        <f t="shared" si="15"/>
        <v>1.4561027837259101E-2</v>
      </c>
      <c r="J118" t="str">
        <f t="shared" si="16"/>
        <v>Backlog</v>
      </c>
      <c r="K118" s="13">
        <f t="shared" si="17"/>
        <v>0.97576264103635602</v>
      </c>
      <c r="L118" s="13">
        <f t="shared" si="18"/>
        <v>6.8303384872544921</v>
      </c>
      <c r="M118" s="13">
        <f t="shared" si="19"/>
        <v>29.27287923109068</v>
      </c>
      <c r="N118" t="b">
        <f t="shared" si="20"/>
        <v>1</v>
      </c>
      <c r="O118">
        <f t="shared" si="21"/>
        <v>28</v>
      </c>
      <c r="P118" s="13">
        <f t="shared" si="22"/>
        <v>0.98070714754089616</v>
      </c>
      <c r="Q118" s="13">
        <f t="shared" si="23"/>
        <v>0.98196882544525721</v>
      </c>
      <c r="R118" s="15" t="str">
        <f t="shared" si="24"/>
        <v>STRAIN</v>
      </c>
      <c r="S118" s="13">
        <f t="shared" si="25"/>
        <v>1.5879648976180525E-2</v>
      </c>
    </row>
    <row r="119" spans="1:19" x14ac:dyDescent="0.3">
      <c r="A119" s="4">
        <v>45120</v>
      </c>
      <c r="B119" s="2">
        <v>7</v>
      </c>
      <c r="C119" s="2">
        <v>14</v>
      </c>
      <c r="D119" s="2">
        <v>6</v>
      </c>
      <c r="E119">
        <v>2391</v>
      </c>
      <c r="F119">
        <v>22</v>
      </c>
      <c r="G119" s="2">
        <f t="shared" si="13"/>
        <v>2405</v>
      </c>
      <c r="H119">
        <f t="shared" si="14"/>
        <v>2369</v>
      </c>
      <c r="I119" s="13">
        <f t="shared" si="15"/>
        <v>9.2866188265090764E-3</v>
      </c>
      <c r="J119" t="str">
        <f t="shared" si="16"/>
        <v>Backlog</v>
      </c>
      <c r="K119" s="13">
        <f t="shared" si="17"/>
        <v>0.98503118503118503</v>
      </c>
      <c r="L119" s="13">
        <f t="shared" si="18"/>
        <v>6.895218295218295</v>
      </c>
      <c r="M119" s="13">
        <f t="shared" si="19"/>
        <v>29.550935550935552</v>
      </c>
      <c r="N119" t="b">
        <f t="shared" si="20"/>
        <v>1</v>
      </c>
      <c r="O119">
        <f t="shared" si="21"/>
        <v>28</v>
      </c>
      <c r="P119" s="13">
        <f t="shared" si="22"/>
        <v>0.98614109052356058</v>
      </c>
      <c r="Q119" s="13">
        <f t="shared" si="23"/>
        <v>0.98676846607881097</v>
      </c>
      <c r="R119" s="15" t="str">
        <f t="shared" si="24"/>
        <v>STRAIN</v>
      </c>
      <c r="S119" s="13">
        <f t="shared" si="25"/>
        <v>9.1476091476091481E-3</v>
      </c>
    </row>
    <row r="120" spans="1:19" x14ac:dyDescent="0.3">
      <c r="A120" s="4">
        <v>45123</v>
      </c>
      <c r="B120" s="2">
        <v>9</v>
      </c>
      <c r="C120" s="2">
        <v>22</v>
      </c>
      <c r="D120" s="2">
        <v>8</v>
      </c>
      <c r="E120">
        <v>2407</v>
      </c>
      <c r="F120">
        <v>16</v>
      </c>
      <c r="G120" s="2">
        <f t="shared" si="13"/>
        <v>2429</v>
      </c>
      <c r="H120">
        <f t="shared" si="14"/>
        <v>2391</v>
      </c>
      <c r="I120" s="13">
        <f t="shared" si="15"/>
        <v>8.3647009619406104E-4</v>
      </c>
      <c r="J120" t="str">
        <f t="shared" si="16"/>
        <v>Backlog</v>
      </c>
      <c r="K120" s="13">
        <f t="shared" si="17"/>
        <v>0.9843557019349527</v>
      </c>
      <c r="L120" s="13">
        <f t="shared" si="18"/>
        <v>6.8904899135446689</v>
      </c>
      <c r="M120" s="13">
        <f t="shared" si="19"/>
        <v>29.530671058048583</v>
      </c>
      <c r="N120" t="b">
        <f t="shared" si="20"/>
        <v>1</v>
      </c>
      <c r="O120">
        <f t="shared" si="21"/>
        <v>29</v>
      </c>
      <c r="P120" s="13">
        <f t="shared" si="22"/>
        <v>0.98821117107854339</v>
      </c>
      <c r="Q120" s="13">
        <f t="shared" si="23"/>
        <v>0.98288564060765027</v>
      </c>
      <c r="R120" s="15" t="str">
        <f t="shared" si="24"/>
        <v>STRAIN</v>
      </c>
      <c r="S120" s="13">
        <f t="shared" si="25"/>
        <v>6.5870728694936188E-3</v>
      </c>
    </row>
    <row r="121" spans="1:19" x14ac:dyDescent="0.3">
      <c r="A121" s="4">
        <v>45124</v>
      </c>
      <c r="B121" s="2">
        <v>5</v>
      </c>
      <c r="C121" s="2">
        <v>17</v>
      </c>
      <c r="D121" s="2">
        <v>7</v>
      </c>
      <c r="E121">
        <v>2413</v>
      </c>
      <c r="F121">
        <v>20</v>
      </c>
      <c r="G121" s="2">
        <f t="shared" si="13"/>
        <v>2430</v>
      </c>
      <c r="H121">
        <f t="shared" si="14"/>
        <v>2393</v>
      </c>
      <c r="I121" s="13">
        <f t="shared" si="15"/>
        <v>7.9398244880902625E-3</v>
      </c>
      <c r="J121" t="str">
        <f t="shared" si="16"/>
        <v>Backlog</v>
      </c>
      <c r="K121" s="13">
        <f t="shared" si="17"/>
        <v>0.98477366255144028</v>
      </c>
      <c r="L121" s="13">
        <f t="shared" si="18"/>
        <v>6.8934156378600822</v>
      </c>
      <c r="M121" s="13">
        <f t="shared" si="19"/>
        <v>29.543209876543209</v>
      </c>
      <c r="N121" t="b">
        <f t="shared" si="20"/>
        <v>1</v>
      </c>
      <c r="O121">
        <f t="shared" si="21"/>
        <v>29</v>
      </c>
      <c r="P121" s="13">
        <f t="shared" si="22"/>
        <v>0.98504556143445032</v>
      </c>
      <c r="Q121" s="13">
        <f t="shared" si="23"/>
        <v>0.98606771595186549</v>
      </c>
      <c r="R121" s="15" t="str">
        <f t="shared" si="24"/>
        <v>STRAIN</v>
      </c>
      <c r="S121" s="13">
        <f t="shared" si="25"/>
        <v>8.23045267489712E-3</v>
      </c>
    </row>
    <row r="122" spans="1:19" x14ac:dyDescent="0.3">
      <c r="A122" s="4">
        <v>45125</v>
      </c>
      <c r="B122" s="2">
        <v>3</v>
      </c>
      <c r="C122" s="2">
        <v>9</v>
      </c>
      <c r="D122" s="2">
        <v>7</v>
      </c>
      <c r="E122">
        <v>2447</v>
      </c>
      <c r="F122">
        <v>35</v>
      </c>
      <c r="G122" s="2">
        <f t="shared" si="13"/>
        <v>2456</v>
      </c>
      <c r="H122">
        <f t="shared" si="14"/>
        <v>2412</v>
      </c>
      <c r="I122" s="13">
        <f t="shared" si="15"/>
        <v>1.4096185737976783E-2</v>
      </c>
      <c r="J122" t="str">
        <f t="shared" si="16"/>
        <v>Backlog</v>
      </c>
      <c r="K122" s="13">
        <f t="shared" si="17"/>
        <v>0.98208469055374592</v>
      </c>
      <c r="L122" s="13">
        <f t="shared" si="18"/>
        <v>6.8745928338762212</v>
      </c>
      <c r="M122" s="13">
        <f t="shared" si="19"/>
        <v>29.462540716612377</v>
      </c>
      <c r="N122" t="b">
        <f t="shared" si="20"/>
        <v>1</v>
      </c>
      <c r="O122">
        <f t="shared" si="21"/>
        <v>29</v>
      </c>
      <c r="P122" s="13">
        <f t="shared" si="22"/>
        <v>0.98358258870050863</v>
      </c>
      <c r="Q122" s="13">
        <f t="shared" si="23"/>
        <v>0.98356791569386748</v>
      </c>
      <c r="R122" s="15" t="str">
        <f t="shared" si="24"/>
        <v>STRAIN</v>
      </c>
      <c r="S122" s="13">
        <f t="shared" si="25"/>
        <v>1.4250814332247556E-2</v>
      </c>
    </row>
    <row r="123" spans="1:19" x14ac:dyDescent="0.3">
      <c r="A123" s="4">
        <v>45126</v>
      </c>
      <c r="B123" s="2">
        <v>6</v>
      </c>
      <c r="C123" s="2">
        <v>12</v>
      </c>
      <c r="D123" s="2">
        <v>2</v>
      </c>
      <c r="E123">
        <v>2470</v>
      </c>
      <c r="F123">
        <v>24</v>
      </c>
      <c r="G123" s="2">
        <f t="shared" si="13"/>
        <v>2482</v>
      </c>
      <c r="H123">
        <f t="shared" si="14"/>
        <v>2446</v>
      </c>
      <c r="I123" s="13">
        <f t="shared" si="15"/>
        <v>1.1038430089942763E-2</v>
      </c>
      <c r="J123" t="str">
        <f t="shared" si="16"/>
        <v>Backlog</v>
      </c>
      <c r="K123" s="13">
        <f t="shared" si="17"/>
        <v>0.98549556809024985</v>
      </c>
      <c r="L123" s="13">
        <f t="shared" si="18"/>
        <v>6.8984689766317491</v>
      </c>
      <c r="M123" s="13">
        <f t="shared" si="19"/>
        <v>29.564867042707494</v>
      </c>
      <c r="N123" t="b">
        <f t="shared" si="20"/>
        <v>1</v>
      </c>
      <c r="O123">
        <f t="shared" si="21"/>
        <v>29</v>
      </c>
      <c r="P123" s="13">
        <f t="shared" si="22"/>
        <v>0.98487066706993787</v>
      </c>
      <c r="Q123" s="13">
        <f t="shared" si="23"/>
        <v>0.98584987312671735</v>
      </c>
      <c r="R123" s="15" t="str">
        <f t="shared" si="24"/>
        <v>STRAIN</v>
      </c>
      <c r="S123" s="13">
        <f t="shared" si="25"/>
        <v>9.6696212731668015E-3</v>
      </c>
    </row>
    <row r="124" spans="1:19" x14ac:dyDescent="0.3">
      <c r="A124" s="4">
        <v>45127</v>
      </c>
      <c r="B124" s="2">
        <v>5</v>
      </c>
      <c r="C124" s="2">
        <v>20</v>
      </c>
      <c r="D124" s="2">
        <v>5</v>
      </c>
      <c r="E124">
        <v>2489</v>
      </c>
      <c r="F124">
        <v>16</v>
      </c>
      <c r="G124" s="2">
        <f t="shared" si="13"/>
        <v>2509</v>
      </c>
      <c r="H124">
        <f t="shared" si="14"/>
        <v>2473</v>
      </c>
      <c r="I124" s="13">
        <f t="shared" si="15"/>
        <v>2.0218358269308533E-3</v>
      </c>
      <c r="J124" t="str">
        <f t="shared" si="16"/>
        <v>Backlog</v>
      </c>
      <c r="K124" s="13">
        <f t="shared" si="17"/>
        <v>0.98565165404543642</v>
      </c>
      <c r="L124" s="13">
        <f t="shared" si="18"/>
        <v>6.8995615783180551</v>
      </c>
      <c r="M124" s="13">
        <f t="shared" si="19"/>
        <v>29.569549621363091</v>
      </c>
      <c r="N124" t="b">
        <f t="shared" si="20"/>
        <v>1</v>
      </c>
      <c r="O124">
        <f t="shared" si="21"/>
        <v>29</v>
      </c>
      <c r="P124" s="13">
        <f t="shared" si="22"/>
        <v>0.98691333194979736</v>
      </c>
      <c r="Q124" s="13">
        <f t="shared" si="23"/>
        <v>0.98577253548666799</v>
      </c>
      <c r="R124" s="15" t="str">
        <f t="shared" si="24"/>
        <v>STRAIN</v>
      </c>
      <c r="S124" s="13">
        <f t="shared" si="25"/>
        <v>6.3770426464726986E-3</v>
      </c>
    </row>
    <row r="125" spans="1:19" x14ac:dyDescent="0.3">
      <c r="A125" s="4">
        <v>45130</v>
      </c>
      <c r="B125" s="2">
        <v>3</v>
      </c>
      <c r="C125" s="2">
        <v>15</v>
      </c>
      <c r="D125" s="2">
        <v>5</v>
      </c>
      <c r="E125">
        <v>2495</v>
      </c>
      <c r="F125">
        <v>17</v>
      </c>
      <c r="G125" s="2">
        <f t="shared" si="13"/>
        <v>2510</v>
      </c>
      <c r="H125">
        <f t="shared" si="14"/>
        <v>2478</v>
      </c>
      <c r="I125" s="13">
        <f t="shared" si="15"/>
        <v>9.2816787732041967E-3</v>
      </c>
      <c r="J125" t="str">
        <f t="shared" si="16"/>
        <v>Backlog</v>
      </c>
      <c r="K125" s="13">
        <f t="shared" si="17"/>
        <v>0.98725099601593624</v>
      </c>
      <c r="L125" s="13">
        <f t="shared" si="18"/>
        <v>6.910756972111554</v>
      </c>
      <c r="M125" s="13">
        <f t="shared" si="19"/>
        <v>29.617529880478088</v>
      </c>
      <c r="N125" t="b">
        <f t="shared" si="20"/>
        <v>1</v>
      </c>
      <c r="O125">
        <f t="shared" si="21"/>
        <v>30</v>
      </c>
      <c r="P125" s="13">
        <f t="shared" si="22"/>
        <v>0.98787837157118652</v>
      </c>
      <c r="Q125" s="13">
        <f t="shared" si="23"/>
        <v>0.98399499486331399</v>
      </c>
      <c r="R125" s="15" t="str">
        <f t="shared" si="24"/>
        <v>STRAIN</v>
      </c>
      <c r="S125" s="13">
        <f t="shared" si="25"/>
        <v>6.7729083665338643E-3</v>
      </c>
    </row>
    <row r="126" spans="1:19" x14ac:dyDescent="0.3">
      <c r="A126" s="4">
        <v>45131</v>
      </c>
      <c r="B126" s="2">
        <v>7</v>
      </c>
      <c r="C126" s="2">
        <v>13</v>
      </c>
      <c r="D126" s="2">
        <v>5</v>
      </c>
      <c r="E126">
        <v>2508</v>
      </c>
      <c r="F126">
        <v>7</v>
      </c>
      <c r="G126" s="2">
        <f t="shared" si="13"/>
        <v>2521</v>
      </c>
      <c r="H126">
        <f t="shared" si="14"/>
        <v>2501</v>
      </c>
      <c r="I126" s="13">
        <f t="shared" si="15"/>
        <v>-7.1971211515393842E-3</v>
      </c>
      <c r="J126" t="str">
        <f t="shared" si="16"/>
        <v>No Backlog</v>
      </c>
      <c r="K126" s="13">
        <f t="shared" si="17"/>
        <v>0.99206664022213409</v>
      </c>
      <c r="L126" s="13">
        <f t="shared" si="18"/>
        <v>6.9444664815549384</v>
      </c>
      <c r="M126" s="13">
        <f t="shared" si="19"/>
        <v>29.761999206664022</v>
      </c>
      <c r="N126" t="b">
        <f t="shared" si="20"/>
        <v>1</v>
      </c>
      <c r="O126">
        <f t="shared" si="21"/>
        <v>30</v>
      </c>
      <c r="P126" s="13">
        <f t="shared" si="22"/>
        <v>0.98674110975124107</v>
      </c>
      <c r="Q126" s="13">
        <f t="shared" si="23"/>
        <v>0.98559202775488108</v>
      </c>
      <c r="R126" s="15" t="b">
        <f t="shared" si="24"/>
        <v>0</v>
      </c>
      <c r="S126" s="13">
        <f t="shared" si="25"/>
        <v>2.776675922253074E-3</v>
      </c>
    </row>
    <row r="127" spans="1:19" x14ac:dyDescent="0.3">
      <c r="A127" s="4">
        <v>45132</v>
      </c>
      <c r="B127" s="2">
        <v>8</v>
      </c>
      <c r="C127" s="2">
        <v>19</v>
      </c>
      <c r="D127" s="2">
        <v>7</v>
      </c>
      <c r="E127">
        <v>2501</v>
      </c>
      <c r="F127">
        <v>18</v>
      </c>
      <c r="G127" s="2">
        <f t="shared" si="13"/>
        <v>2520</v>
      </c>
      <c r="H127">
        <f t="shared" si="14"/>
        <v>2483</v>
      </c>
      <c r="I127" s="13">
        <f t="shared" si="15"/>
        <v>1.0471204188481676E-2</v>
      </c>
      <c r="J127" t="str">
        <f t="shared" si="16"/>
        <v>Backlog</v>
      </c>
      <c r="K127" s="13">
        <f t="shared" si="17"/>
        <v>0.98531746031746037</v>
      </c>
      <c r="L127" s="13">
        <f t="shared" si="18"/>
        <v>6.8972222222222221</v>
      </c>
      <c r="M127" s="13">
        <f t="shared" si="19"/>
        <v>29.55952380952381</v>
      </c>
      <c r="N127" t="b">
        <f t="shared" si="20"/>
        <v>1</v>
      </c>
      <c r="O127">
        <f t="shared" si="21"/>
        <v>30</v>
      </c>
      <c r="P127" s="13">
        <f t="shared" si="22"/>
        <v>0.98633961483487553</v>
      </c>
      <c r="Q127" s="13">
        <f t="shared" si="23"/>
        <v>0.98573626180429974</v>
      </c>
      <c r="R127" s="15" t="str">
        <f t="shared" si="24"/>
        <v>STRAIN</v>
      </c>
      <c r="S127" s="13">
        <f t="shared" si="25"/>
        <v>7.1428571428571426E-3</v>
      </c>
    </row>
    <row r="128" spans="1:19" x14ac:dyDescent="0.3">
      <c r="A128" s="4">
        <v>45133</v>
      </c>
      <c r="B128" s="2">
        <v>7</v>
      </c>
      <c r="C128" s="2">
        <v>24</v>
      </c>
      <c r="D128" s="2">
        <v>10</v>
      </c>
      <c r="E128">
        <v>2523</v>
      </c>
      <c r="F128">
        <v>14</v>
      </c>
      <c r="G128" s="2">
        <f t="shared" si="13"/>
        <v>2547</v>
      </c>
      <c r="H128">
        <f t="shared" si="14"/>
        <v>2509</v>
      </c>
      <c r="I128" s="13">
        <f t="shared" si="15"/>
        <v>-3.9856516540454365E-3</v>
      </c>
      <c r="J128" t="str">
        <f t="shared" si="16"/>
        <v>No Backlog</v>
      </c>
      <c r="K128" s="13">
        <f t="shared" si="17"/>
        <v>0.98508048684727134</v>
      </c>
      <c r="L128" s="13">
        <f t="shared" si="18"/>
        <v>6.8955634079308989</v>
      </c>
      <c r="M128" s="13">
        <f t="shared" si="19"/>
        <v>29.552414605418139</v>
      </c>
      <c r="N128" t="b">
        <f t="shared" si="20"/>
        <v>1</v>
      </c>
      <c r="O128">
        <f t="shared" si="21"/>
        <v>30</v>
      </c>
      <c r="P128" s="13">
        <f t="shared" si="22"/>
        <v>0.98506581384063019</v>
      </c>
      <c r="Q128" s="13">
        <f t="shared" si="23"/>
        <v>0.9823768317058198</v>
      </c>
      <c r="R128" s="15" t="b">
        <f t="shared" si="24"/>
        <v>0</v>
      </c>
      <c r="S128" s="13">
        <f t="shared" si="25"/>
        <v>5.4966627404789952E-3</v>
      </c>
    </row>
    <row r="129" spans="1:19" x14ac:dyDescent="0.3">
      <c r="A129" s="4">
        <v>45134</v>
      </c>
      <c r="B129" s="2">
        <v>17</v>
      </c>
      <c r="C129" s="2">
        <v>28</v>
      </c>
      <c r="D129" s="2">
        <v>7</v>
      </c>
      <c r="E129">
        <v>2511</v>
      </c>
      <c r="F129">
        <v>12</v>
      </c>
      <c r="G129" s="2">
        <f t="shared" si="13"/>
        <v>2539</v>
      </c>
      <c r="H129">
        <f t="shared" si="14"/>
        <v>2499</v>
      </c>
      <c r="I129" s="13">
        <f t="shared" si="15"/>
        <v>3.2012805122048822E-3</v>
      </c>
      <c r="J129" t="str">
        <f t="shared" si="16"/>
        <v>Backlog</v>
      </c>
      <c r="K129" s="13">
        <f t="shared" si="17"/>
        <v>0.98424576604962588</v>
      </c>
      <c r="L129" s="13">
        <f t="shared" si="18"/>
        <v>6.8897203623473811</v>
      </c>
      <c r="M129" s="13">
        <f t="shared" si="19"/>
        <v>29.527372981488778</v>
      </c>
      <c r="N129" t="b">
        <f t="shared" si="20"/>
        <v>1</v>
      </c>
      <c r="O129">
        <f t="shared" si="21"/>
        <v>30</v>
      </c>
      <c r="P129" s="13">
        <f t="shared" si="22"/>
        <v>0.98522497210640536</v>
      </c>
      <c r="Q129" s="13">
        <f t="shared" si="23"/>
        <v>0.97630635475276861</v>
      </c>
      <c r="R129" s="15" t="str">
        <f t="shared" si="24"/>
        <v>STRAIN</v>
      </c>
      <c r="S129" s="13">
        <f t="shared" si="25"/>
        <v>4.7262701851122487E-3</v>
      </c>
    </row>
    <row r="130" spans="1:19" x14ac:dyDescent="0.3">
      <c r="A130" s="4">
        <v>45137</v>
      </c>
      <c r="B130" s="2">
        <v>8</v>
      </c>
      <c r="C130" s="2">
        <v>21</v>
      </c>
      <c r="D130" s="2">
        <v>14</v>
      </c>
      <c r="E130">
        <v>2516</v>
      </c>
      <c r="F130">
        <v>9</v>
      </c>
      <c r="G130" s="2">
        <f t="shared" si="13"/>
        <v>2537</v>
      </c>
      <c r="H130">
        <f t="shared" si="14"/>
        <v>2507</v>
      </c>
      <c r="I130" s="13">
        <f t="shared" si="15"/>
        <v>-5.185480654168329E-3</v>
      </c>
      <c r="J130" t="str">
        <f t="shared" si="16"/>
        <v>No Backlog</v>
      </c>
      <c r="K130" s="13">
        <f t="shared" si="17"/>
        <v>0.9881750098541584</v>
      </c>
      <c r="L130" s="13">
        <f t="shared" si="18"/>
        <v>6.9172250689791088</v>
      </c>
      <c r="M130" s="13">
        <f t="shared" si="19"/>
        <v>29.645250295624752</v>
      </c>
      <c r="N130" t="b">
        <f t="shared" si="20"/>
        <v>1</v>
      </c>
      <c r="O130">
        <f t="shared" si="21"/>
        <v>31</v>
      </c>
      <c r="P130" s="13">
        <f t="shared" si="22"/>
        <v>0.98703421339102904</v>
      </c>
      <c r="Q130" s="13">
        <f t="shared" si="23"/>
        <v>0.9874449928497846</v>
      </c>
      <c r="R130" s="15" t="b">
        <f t="shared" si="24"/>
        <v>0</v>
      </c>
      <c r="S130" s="13">
        <f t="shared" si="25"/>
        <v>3.5474970437524636E-3</v>
      </c>
    </row>
    <row r="131" spans="1:19" x14ac:dyDescent="0.3">
      <c r="A131" s="4">
        <v>45138</v>
      </c>
      <c r="B131" s="2">
        <v>10</v>
      </c>
      <c r="C131" s="2">
        <v>16</v>
      </c>
      <c r="D131" s="2">
        <v>15</v>
      </c>
      <c r="E131">
        <v>2507</v>
      </c>
      <c r="F131">
        <v>13</v>
      </c>
      <c r="G131" s="2">
        <f t="shared" ref="G131:G194" si="26">C131+E131</f>
        <v>2523</v>
      </c>
      <c r="H131">
        <f t="shared" ref="H131:H194" si="27">E131-F131</f>
        <v>2494</v>
      </c>
      <c r="I131" s="13">
        <f t="shared" ref="I131:I194" si="28">(H132-H131)/H131</f>
        <v>-4.8115477145148355E-3</v>
      </c>
      <c r="J131" t="str">
        <f t="shared" ref="J131:J194" si="29">IF(I131&gt;0,"Backlog","No Backlog")</f>
        <v>No Backlog</v>
      </c>
      <c r="K131" s="13">
        <f t="shared" ref="K131:K194" si="30">H131/G131</f>
        <v>0.9885057471264368</v>
      </c>
      <c r="L131" s="13">
        <f t="shared" ref="L131:L194" si="31">K131*7</f>
        <v>6.9195402298850572</v>
      </c>
      <c r="M131" s="13">
        <f t="shared" ref="M131:M194" si="32">K131*30</f>
        <v>29.655172413793103</v>
      </c>
      <c r="N131" t="b">
        <f t="shared" ref="N131:N194" si="33">IF(D131&lt;C131,F131&lt;E131)</f>
        <v>1</v>
      </c>
      <c r="O131">
        <f t="shared" ref="O131:O194" si="34">WEEKNUM(A131)</f>
        <v>31</v>
      </c>
      <c r="P131" s="13">
        <f t="shared" ref="P131:P194" si="35">AVERAGE(K131,K137)</f>
        <v>0.98462237041856437</v>
      </c>
      <c r="Q131" s="13">
        <f t="shared" ref="Q131:Q194" si="36">AVERAGE(K131,K143)</f>
        <v>0.98674780256930361</v>
      </c>
      <c r="R131" s="15" t="b">
        <f t="shared" ref="R131:R194" si="37">IF(I131&gt;0,"STRAIN")</f>
        <v>0</v>
      </c>
      <c r="S131" s="13">
        <f t="shared" ref="S131:S194" si="38">F131/G131</f>
        <v>5.1525961157352362E-3</v>
      </c>
    </row>
    <row r="132" spans="1:19" x14ac:dyDescent="0.3">
      <c r="A132" s="4">
        <v>45139</v>
      </c>
      <c r="B132" s="2">
        <v>8</v>
      </c>
      <c r="C132" s="2">
        <v>26</v>
      </c>
      <c r="D132" s="2">
        <v>5</v>
      </c>
      <c r="E132">
        <v>2503</v>
      </c>
      <c r="F132">
        <v>21</v>
      </c>
      <c r="G132" s="2">
        <f t="shared" si="26"/>
        <v>2529</v>
      </c>
      <c r="H132">
        <f t="shared" si="27"/>
        <v>2482</v>
      </c>
      <c r="I132" s="13">
        <f t="shared" si="28"/>
        <v>7.2522159548751011E-3</v>
      </c>
      <c r="J132" t="str">
        <f t="shared" si="29"/>
        <v>Backlog</v>
      </c>
      <c r="K132" s="13">
        <f t="shared" si="30"/>
        <v>0.98141557928034795</v>
      </c>
      <c r="L132" s="13">
        <f t="shared" si="31"/>
        <v>6.8699090549624353</v>
      </c>
      <c r="M132" s="13">
        <f t="shared" si="32"/>
        <v>29.442467378410438</v>
      </c>
      <c r="N132" t="b">
        <f t="shared" si="33"/>
        <v>1</v>
      </c>
      <c r="O132">
        <f t="shared" si="34"/>
        <v>31</v>
      </c>
      <c r="P132" s="13">
        <f t="shared" si="35"/>
        <v>0.98026649728398807</v>
      </c>
      <c r="Q132" s="13">
        <f t="shared" si="36"/>
        <v>0.98149025584255001</v>
      </c>
      <c r="R132" s="15" t="str">
        <f t="shared" si="37"/>
        <v>STRAIN</v>
      </c>
      <c r="S132" s="13">
        <f t="shared" si="38"/>
        <v>8.3036773428232496E-3</v>
      </c>
    </row>
    <row r="133" spans="1:19" x14ac:dyDescent="0.3">
      <c r="A133" s="4">
        <v>45140</v>
      </c>
      <c r="B133" s="2">
        <v>4</v>
      </c>
      <c r="C133" s="2">
        <v>16</v>
      </c>
      <c r="D133" s="2">
        <v>9</v>
      </c>
      <c r="E133">
        <v>2516</v>
      </c>
      <c r="F133">
        <v>16</v>
      </c>
      <c r="G133" s="2">
        <f t="shared" si="26"/>
        <v>2532</v>
      </c>
      <c r="H133">
        <f t="shared" si="27"/>
        <v>2500</v>
      </c>
      <c r="I133" s="13">
        <f t="shared" si="28"/>
        <v>1.6000000000000001E-3</v>
      </c>
      <c r="J133" t="str">
        <f t="shared" si="29"/>
        <v>Backlog</v>
      </c>
      <c r="K133" s="13">
        <f t="shared" si="30"/>
        <v>0.9873617693522907</v>
      </c>
      <c r="L133" s="13">
        <f t="shared" si="31"/>
        <v>6.9115323854660353</v>
      </c>
      <c r="M133" s="13">
        <f t="shared" si="32"/>
        <v>29.620853080568722</v>
      </c>
      <c r="N133" t="b">
        <f t="shared" si="33"/>
        <v>1</v>
      </c>
      <c r="O133">
        <f t="shared" si="34"/>
        <v>31</v>
      </c>
      <c r="P133" s="13">
        <f t="shared" si="35"/>
        <v>0.9867584163217149</v>
      </c>
      <c r="Q133" s="13">
        <f t="shared" si="36"/>
        <v>0.98522378896657437</v>
      </c>
      <c r="R133" s="15" t="str">
        <f t="shared" si="37"/>
        <v>STRAIN</v>
      </c>
      <c r="S133" s="13">
        <f t="shared" si="38"/>
        <v>6.3191153238546603E-3</v>
      </c>
    </row>
    <row r="134" spans="1:19" x14ac:dyDescent="0.3">
      <c r="A134" s="4">
        <v>45141</v>
      </c>
      <c r="B134" s="2">
        <v>5</v>
      </c>
      <c r="C134" s="2">
        <v>23</v>
      </c>
      <c r="D134" s="2">
        <v>11</v>
      </c>
      <c r="E134">
        <v>2519</v>
      </c>
      <c r="F134">
        <v>15</v>
      </c>
      <c r="G134" s="2">
        <f t="shared" si="26"/>
        <v>2542</v>
      </c>
      <c r="H134">
        <f t="shared" si="27"/>
        <v>2504</v>
      </c>
      <c r="I134" s="13">
        <f t="shared" si="28"/>
        <v>-7.9872204472843447E-4</v>
      </c>
      <c r="J134" t="str">
        <f t="shared" si="29"/>
        <v>No Backlog</v>
      </c>
      <c r="K134" s="13">
        <f t="shared" si="30"/>
        <v>0.98505114083398904</v>
      </c>
      <c r="L134" s="13">
        <f t="shared" si="31"/>
        <v>6.895357985837923</v>
      </c>
      <c r="M134" s="13">
        <f t="shared" si="32"/>
        <v>29.551534225019672</v>
      </c>
      <c r="N134" t="b">
        <f t="shared" si="33"/>
        <v>1</v>
      </c>
      <c r="O134">
        <f t="shared" si="34"/>
        <v>31</v>
      </c>
      <c r="P134" s="13">
        <f t="shared" si="35"/>
        <v>0.98236215869917864</v>
      </c>
      <c r="Q134" s="13">
        <f t="shared" si="36"/>
        <v>0.98427134012396933</v>
      </c>
      <c r="R134" s="15" t="b">
        <f t="shared" si="37"/>
        <v>0</v>
      </c>
      <c r="S134" s="13">
        <f t="shared" si="38"/>
        <v>5.9008654602675063E-3</v>
      </c>
    </row>
    <row r="135" spans="1:19" x14ac:dyDescent="0.3">
      <c r="A135" s="4">
        <v>45144</v>
      </c>
      <c r="B135" s="2">
        <v>10</v>
      </c>
      <c r="C135" s="2">
        <v>19</v>
      </c>
      <c r="D135" s="2">
        <v>5</v>
      </c>
      <c r="E135">
        <v>2518</v>
      </c>
      <c r="F135">
        <v>16</v>
      </c>
      <c r="G135" s="2">
        <f t="shared" si="26"/>
        <v>2537</v>
      </c>
      <c r="H135">
        <f t="shared" si="27"/>
        <v>2502</v>
      </c>
      <c r="I135" s="13">
        <f t="shared" si="28"/>
        <v>5.5955235811350921E-3</v>
      </c>
      <c r="J135" t="str">
        <f t="shared" si="29"/>
        <v>Backlog</v>
      </c>
      <c r="K135" s="13">
        <f t="shared" si="30"/>
        <v>0.98620417816318484</v>
      </c>
      <c r="L135" s="13">
        <f t="shared" si="31"/>
        <v>6.9034292471422942</v>
      </c>
      <c r="M135" s="13">
        <f t="shared" si="32"/>
        <v>29.586125344895546</v>
      </c>
      <c r="N135" t="b">
        <f t="shared" si="33"/>
        <v>1</v>
      </c>
      <c r="O135">
        <f t="shared" si="34"/>
        <v>32</v>
      </c>
      <c r="P135" s="13">
        <f t="shared" si="35"/>
        <v>0.97728556080954809</v>
      </c>
      <c r="Q135" s="13">
        <f t="shared" si="36"/>
        <v>0.98485466640118002</v>
      </c>
      <c r="R135" s="15" t="str">
        <f t="shared" si="37"/>
        <v>STRAIN</v>
      </c>
      <c r="S135" s="13">
        <f t="shared" si="38"/>
        <v>6.3066614111154905E-3</v>
      </c>
    </row>
    <row r="136" spans="1:19" x14ac:dyDescent="0.3">
      <c r="A136" s="4">
        <v>45145</v>
      </c>
      <c r="B136" s="2">
        <v>8</v>
      </c>
      <c r="C136" s="2">
        <v>24</v>
      </c>
      <c r="D136" s="2">
        <v>16</v>
      </c>
      <c r="E136">
        <v>2528</v>
      </c>
      <c r="F136">
        <v>12</v>
      </c>
      <c r="G136" s="2">
        <f t="shared" si="26"/>
        <v>2552</v>
      </c>
      <c r="H136">
        <f t="shared" si="27"/>
        <v>2516</v>
      </c>
      <c r="I136" s="13">
        <f t="shared" si="28"/>
        <v>-8.346581875993641E-3</v>
      </c>
      <c r="J136" t="str">
        <f t="shared" si="29"/>
        <v>No Backlog</v>
      </c>
      <c r="K136" s="13">
        <f t="shared" si="30"/>
        <v>0.98589341692789967</v>
      </c>
      <c r="L136" s="13">
        <f t="shared" si="31"/>
        <v>6.9012539184952981</v>
      </c>
      <c r="M136" s="13">
        <f t="shared" si="32"/>
        <v>29.576802507836991</v>
      </c>
      <c r="N136" t="b">
        <f t="shared" si="33"/>
        <v>1</v>
      </c>
      <c r="O136">
        <f t="shared" si="34"/>
        <v>32</v>
      </c>
      <c r="P136" s="13">
        <f t="shared" si="35"/>
        <v>0.98630419638665523</v>
      </c>
      <c r="Q136" s="13">
        <f t="shared" si="36"/>
        <v>0.98816500368224514</v>
      </c>
      <c r="R136" s="15" t="b">
        <f t="shared" si="37"/>
        <v>0</v>
      </c>
      <c r="S136" s="13">
        <f t="shared" si="38"/>
        <v>4.7021943573667714E-3</v>
      </c>
    </row>
    <row r="137" spans="1:19" x14ac:dyDescent="0.3">
      <c r="A137" s="4">
        <v>45146</v>
      </c>
      <c r="B137" s="2">
        <v>13</v>
      </c>
      <c r="C137" s="2">
        <v>38</v>
      </c>
      <c r="D137" s="2">
        <v>15</v>
      </c>
      <c r="E137">
        <v>2506</v>
      </c>
      <c r="F137">
        <v>11</v>
      </c>
      <c r="G137" s="2">
        <f t="shared" si="26"/>
        <v>2544</v>
      </c>
      <c r="H137">
        <f t="shared" si="27"/>
        <v>2495</v>
      </c>
      <c r="I137" s="13">
        <f t="shared" si="28"/>
        <v>-4.0080160320641279E-3</v>
      </c>
      <c r="J137" t="str">
        <f t="shared" si="29"/>
        <v>No Backlog</v>
      </c>
      <c r="K137" s="13">
        <f t="shared" si="30"/>
        <v>0.98073899371069184</v>
      </c>
      <c r="L137" s="13">
        <f t="shared" si="31"/>
        <v>6.8651729559748427</v>
      </c>
      <c r="M137" s="13">
        <f t="shared" si="32"/>
        <v>29.422169811320757</v>
      </c>
      <c r="N137" t="b">
        <f t="shared" si="33"/>
        <v>1</v>
      </c>
      <c r="O137">
        <f t="shared" si="34"/>
        <v>32</v>
      </c>
      <c r="P137" s="13">
        <f t="shared" si="35"/>
        <v>0.98286442586143119</v>
      </c>
      <c r="Q137" s="13">
        <f t="shared" si="36"/>
        <v>0.98303197064989511</v>
      </c>
      <c r="R137" s="15" t="b">
        <f t="shared" si="37"/>
        <v>0</v>
      </c>
      <c r="S137" s="13">
        <f t="shared" si="38"/>
        <v>4.3238993710691823E-3</v>
      </c>
    </row>
    <row r="138" spans="1:19" x14ac:dyDescent="0.3">
      <c r="A138" s="4">
        <v>45147</v>
      </c>
      <c r="B138" s="2">
        <v>12</v>
      </c>
      <c r="C138" s="2">
        <v>39</v>
      </c>
      <c r="D138" s="2">
        <v>12</v>
      </c>
      <c r="E138">
        <v>2499</v>
      </c>
      <c r="F138">
        <v>14</v>
      </c>
      <c r="G138" s="2">
        <f t="shared" si="26"/>
        <v>2538</v>
      </c>
      <c r="H138">
        <f t="shared" si="27"/>
        <v>2485</v>
      </c>
      <c r="I138" s="13">
        <f t="shared" si="28"/>
        <v>3.2193158953722333E-3</v>
      </c>
      <c r="J138" t="str">
        <f t="shared" si="29"/>
        <v>Backlog</v>
      </c>
      <c r="K138" s="13">
        <f t="shared" si="30"/>
        <v>0.97911741528762808</v>
      </c>
      <c r="L138" s="13">
        <f t="shared" si="31"/>
        <v>6.8538219070133968</v>
      </c>
      <c r="M138" s="13">
        <f t="shared" si="32"/>
        <v>29.373522458628841</v>
      </c>
      <c r="N138" t="b">
        <f t="shared" si="33"/>
        <v>1</v>
      </c>
      <c r="O138">
        <f t="shared" si="34"/>
        <v>32</v>
      </c>
      <c r="P138" s="13">
        <f t="shared" si="35"/>
        <v>0.98034117384619013</v>
      </c>
      <c r="Q138" s="13">
        <f t="shared" si="36"/>
        <v>0.98110204802436374</v>
      </c>
      <c r="R138" s="15" t="str">
        <f t="shared" si="37"/>
        <v>STRAIN</v>
      </c>
      <c r="S138" s="13">
        <f t="shared" si="38"/>
        <v>5.5161544523246652E-3</v>
      </c>
    </row>
    <row r="139" spans="1:19" x14ac:dyDescent="0.3">
      <c r="A139" s="4">
        <v>45148</v>
      </c>
      <c r="B139" s="2">
        <v>6</v>
      </c>
      <c r="C139" s="2">
        <v>24</v>
      </c>
      <c r="D139" s="2">
        <v>7</v>
      </c>
      <c r="E139">
        <v>2504</v>
      </c>
      <c r="F139">
        <v>11</v>
      </c>
      <c r="G139" s="2">
        <f t="shared" si="26"/>
        <v>2528</v>
      </c>
      <c r="H139">
        <f t="shared" si="27"/>
        <v>2493</v>
      </c>
      <c r="I139" s="13">
        <f t="shared" si="28"/>
        <v>-1.4039310068190935E-2</v>
      </c>
      <c r="J139" t="str">
        <f t="shared" si="29"/>
        <v>No Backlog</v>
      </c>
      <c r="K139" s="13">
        <f t="shared" si="30"/>
        <v>0.98615506329113922</v>
      </c>
      <c r="L139" s="13">
        <f t="shared" si="31"/>
        <v>6.9030854430379742</v>
      </c>
      <c r="M139" s="13">
        <f t="shared" si="32"/>
        <v>29.584651898734176</v>
      </c>
      <c r="N139" t="b">
        <f t="shared" si="33"/>
        <v>1</v>
      </c>
      <c r="O139">
        <f t="shared" si="34"/>
        <v>32</v>
      </c>
      <c r="P139" s="13">
        <f t="shared" si="35"/>
        <v>0.98462043593599868</v>
      </c>
      <c r="Q139" s="13">
        <f t="shared" si="36"/>
        <v>0.9827486952206117</v>
      </c>
      <c r="R139" s="15" t="b">
        <f t="shared" si="37"/>
        <v>0</v>
      </c>
      <c r="S139" s="13">
        <f t="shared" si="38"/>
        <v>4.3512658227848099E-3</v>
      </c>
    </row>
    <row r="140" spans="1:19" x14ac:dyDescent="0.3">
      <c r="A140" s="4">
        <v>45154</v>
      </c>
      <c r="B140" s="2">
        <v>18</v>
      </c>
      <c r="C140" s="2">
        <v>36</v>
      </c>
      <c r="D140" s="2">
        <v>17</v>
      </c>
      <c r="E140">
        <v>2473</v>
      </c>
      <c r="F140">
        <v>15</v>
      </c>
      <c r="G140" s="2">
        <f t="shared" si="26"/>
        <v>2509</v>
      </c>
      <c r="H140">
        <f t="shared" si="27"/>
        <v>2458</v>
      </c>
      <c r="I140" s="13">
        <f t="shared" si="28"/>
        <v>-3.6615134255492269E-3</v>
      </c>
      <c r="J140" t="str">
        <f t="shared" si="29"/>
        <v>No Backlog</v>
      </c>
      <c r="K140" s="13">
        <f t="shared" si="30"/>
        <v>0.97967317656436825</v>
      </c>
      <c r="L140" s="13">
        <f t="shared" si="31"/>
        <v>6.8577122359505776</v>
      </c>
      <c r="M140" s="13">
        <f t="shared" si="32"/>
        <v>29.390195296931047</v>
      </c>
      <c r="N140" t="b">
        <f t="shared" si="33"/>
        <v>1</v>
      </c>
      <c r="O140">
        <f t="shared" si="34"/>
        <v>33</v>
      </c>
      <c r="P140" s="13">
        <f t="shared" si="35"/>
        <v>0.98158235798915894</v>
      </c>
      <c r="Q140" s="13">
        <f t="shared" si="36"/>
        <v>0.97699448301902625</v>
      </c>
      <c r="R140" s="15" t="b">
        <f t="shared" si="37"/>
        <v>0</v>
      </c>
      <c r="S140" s="13">
        <f t="shared" si="38"/>
        <v>5.9784774810681543E-3</v>
      </c>
    </row>
    <row r="141" spans="1:19" x14ac:dyDescent="0.3">
      <c r="A141" s="4">
        <v>45155</v>
      </c>
      <c r="B141" s="2">
        <v>14</v>
      </c>
      <c r="C141" s="2">
        <v>62</v>
      </c>
      <c r="D141" s="2">
        <v>13</v>
      </c>
      <c r="E141">
        <v>2467</v>
      </c>
      <c r="F141">
        <v>18</v>
      </c>
      <c r="G141" s="2">
        <f t="shared" si="26"/>
        <v>2529</v>
      </c>
      <c r="H141">
        <f t="shared" si="27"/>
        <v>2449</v>
      </c>
      <c r="I141" s="13">
        <f t="shared" si="28"/>
        <v>8.1665986116782364E-4</v>
      </c>
      <c r="J141" t="str">
        <f t="shared" si="29"/>
        <v>Backlog</v>
      </c>
      <c r="K141" s="13">
        <f t="shared" si="30"/>
        <v>0.96836694345591146</v>
      </c>
      <c r="L141" s="13">
        <f t="shared" si="31"/>
        <v>6.7785686041913804</v>
      </c>
      <c r="M141" s="13">
        <f t="shared" si="32"/>
        <v>29.051008303677342</v>
      </c>
      <c r="N141" t="b">
        <f t="shared" si="33"/>
        <v>1</v>
      </c>
      <c r="O141">
        <f t="shared" si="34"/>
        <v>33</v>
      </c>
      <c r="P141" s="13">
        <f t="shared" si="35"/>
        <v>0.97593604904754327</v>
      </c>
      <c r="Q141" s="13">
        <f t="shared" si="36"/>
        <v>0.97657569488940965</v>
      </c>
      <c r="R141" s="15" t="str">
        <f t="shared" si="37"/>
        <v>STRAIN</v>
      </c>
      <c r="S141" s="13">
        <f t="shared" si="38"/>
        <v>7.1174377224199285E-3</v>
      </c>
    </row>
    <row r="142" spans="1:19" x14ac:dyDescent="0.3">
      <c r="A142" s="4">
        <v>45158</v>
      </c>
      <c r="B142" s="2">
        <v>7</v>
      </c>
      <c r="C142" s="2">
        <v>27</v>
      </c>
      <c r="D142" s="2">
        <v>17</v>
      </c>
      <c r="E142">
        <v>2457</v>
      </c>
      <c r="F142">
        <v>6</v>
      </c>
      <c r="G142" s="2">
        <f t="shared" si="26"/>
        <v>2484</v>
      </c>
      <c r="H142">
        <f t="shared" si="27"/>
        <v>2451</v>
      </c>
      <c r="I142" s="13">
        <f t="shared" si="28"/>
        <v>-9.3839249286005715E-3</v>
      </c>
      <c r="J142" t="str">
        <f t="shared" si="29"/>
        <v>No Backlog</v>
      </c>
      <c r="K142" s="13">
        <f t="shared" si="30"/>
        <v>0.98671497584541068</v>
      </c>
      <c r="L142" s="13">
        <f t="shared" si="31"/>
        <v>6.9070048309178746</v>
      </c>
      <c r="M142" s="13">
        <f t="shared" si="32"/>
        <v>29.60144927536232</v>
      </c>
      <c r="N142" t="b">
        <f t="shared" si="33"/>
        <v>1</v>
      </c>
      <c r="O142">
        <f t="shared" si="34"/>
        <v>34</v>
      </c>
      <c r="P142" s="13">
        <f t="shared" si="35"/>
        <v>0.98857578314100059</v>
      </c>
      <c r="Q142" s="13">
        <f t="shared" si="36"/>
        <v>0.98309230400482683</v>
      </c>
      <c r="R142" s="15" t="b">
        <f t="shared" si="37"/>
        <v>0</v>
      </c>
      <c r="S142" s="13">
        <f t="shared" si="38"/>
        <v>2.4154589371980675E-3</v>
      </c>
    </row>
    <row r="143" spans="1:19" x14ac:dyDescent="0.3">
      <c r="A143" s="4">
        <v>45159</v>
      </c>
      <c r="B143" s="2">
        <v>13</v>
      </c>
      <c r="C143" s="2">
        <v>28</v>
      </c>
      <c r="D143" s="2">
        <v>14</v>
      </c>
      <c r="E143">
        <v>2437</v>
      </c>
      <c r="F143">
        <v>9</v>
      </c>
      <c r="G143" s="2">
        <f t="shared" si="26"/>
        <v>2465</v>
      </c>
      <c r="H143">
        <f t="shared" si="27"/>
        <v>2428</v>
      </c>
      <c r="I143" s="13">
        <f t="shared" si="28"/>
        <v>-1.3179571663920923E-2</v>
      </c>
      <c r="J143" t="str">
        <f t="shared" si="29"/>
        <v>No Backlog</v>
      </c>
      <c r="K143" s="13">
        <f t="shared" si="30"/>
        <v>0.98498985801217043</v>
      </c>
      <c r="L143" s="13">
        <f t="shared" si="31"/>
        <v>6.8949290060851931</v>
      </c>
      <c r="M143" s="13">
        <f t="shared" si="32"/>
        <v>29.549695740365113</v>
      </c>
      <c r="N143" t="b">
        <f t="shared" si="33"/>
        <v>1</v>
      </c>
      <c r="O143">
        <f t="shared" si="34"/>
        <v>34</v>
      </c>
      <c r="P143" s="13">
        <f t="shared" si="35"/>
        <v>0.98515740280063446</v>
      </c>
      <c r="Q143" s="13">
        <f t="shared" si="36"/>
        <v>0.9826784544008782</v>
      </c>
      <c r="R143" s="15" t="b">
        <f t="shared" si="37"/>
        <v>0</v>
      </c>
      <c r="S143" s="13">
        <f t="shared" si="38"/>
        <v>3.6511156186612576E-3</v>
      </c>
    </row>
    <row r="144" spans="1:19" x14ac:dyDescent="0.3">
      <c r="A144" s="4">
        <v>45160</v>
      </c>
      <c r="B144" s="2">
        <v>15</v>
      </c>
      <c r="C144" s="2">
        <v>31</v>
      </c>
      <c r="D144" s="2">
        <v>14</v>
      </c>
      <c r="E144">
        <v>2410</v>
      </c>
      <c r="F144">
        <v>14</v>
      </c>
      <c r="G144" s="2">
        <f t="shared" si="26"/>
        <v>2441</v>
      </c>
      <c r="H144">
        <f t="shared" si="27"/>
        <v>2396</v>
      </c>
      <c r="I144" s="13">
        <f t="shared" si="28"/>
        <v>-5.4257095158597663E-3</v>
      </c>
      <c r="J144" t="str">
        <f t="shared" si="29"/>
        <v>No Backlog</v>
      </c>
      <c r="K144" s="13">
        <f t="shared" si="30"/>
        <v>0.98156493240475218</v>
      </c>
      <c r="L144" s="13">
        <f t="shared" si="31"/>
        <v>6.8709545268332652</v>
      </c>
      <c r="M144" s="13">
        <f t="shared" si="32"/>
        <v>29.446947972142567</v>
      </c>
      <c r="N144" t="b">
        <f t="shared" si="33"/>
        <v>1</v>
      </c>
      <c r="O144">
        <f t="shared" si="34"/>
        <v>34</v>
      </c>
      <c r="P144" s="13">
        <f t="shared" si="35"/>
        <v>0.98232580658292579</v>
      </c>
      <c r="Q144" s="13">
        <f t="shared" si="36"/>
        <v>0.98219508964591407</v>
      </c>
      <c r="R144" s="15" t="b">
        <f t="shared" si="37"/>
        <v>0</v>
      </c>
      <c r="S144" s="13">
        <f t="shared" si="38"/>
        <v>5.7353543629659973E-3</v>
      </c>
    </row>
    <row r="145" spans="1:19" x14ac:dyDescent="0.3">
      <c r="A145" s="4">
        <v>45161</v>
      </c>
      <c r="B145" s="2">
        <v>7</v>
      </c>
      <c r="C145" s="2">
        <v>30</v>
      </c>
      <c r="D145" s="2">
        <v>14</v>
      </c>
      <c r="E145">
        <v>2394</v>
      </c>
      <c r="F145">
        <v>11</v>
      </c>
      <c r="G145" s="2">
        <f t="shared" si="26"/>
        <v>2424</v>
      </c>
      <c r="H145">
        <f t="shared" si="27"/>
        <v>2383</v>
      </c>
      <c r="I145" s="13">
        <f t="shared" si="28"/>
        <v>0</v>
      </c>
      <c r="J145" t="str">
        <f t="shared" si="29"/>
        <v>No Backlog</v>
      </c>
      <c r="K145" s="13">
        <f t="shared" si="30"/>
        <v>0.98308580858085803</v>
      </c>
      <c r="L145" s="13">
        <f t="shared" si="31"/>
        <v>6.881600660066006</v>
      </c>
      <c r="M145" s="13">
        <f t="shared" si="32"/>
        <v>29.492574257425741</v>
      </c>
      <c r="N145" t="b">
        <f t="shared" si="33"/>
        <v>1</v>
      </c>
      <c r="O145">
        <f t="shared" si="34"/>
        <v>34</v>
      </c>
      <c r="P145" s="13">
        <f t="shared" si="35"/>
        <v>0.98121406786547116</v>
      </c>
      <c r="Q145" s="13">
        <f t="shared" si="36"/>
        <v>0.98425614903967884</v>
      </c>
      <c r="R145" s="15" t="b">
        <f t="shared" si="37"/>
        <v>0</v>
      </c>
      <c r="S145" s="13">
        <f t="shared" si="38"/>
        <v>4.5379537953795382E-3</v>
      </c>
    </row>
    <row r="146" spans="1:19" x14ac:dyDescent="0.3">
      <c r="A146" s="4">
        <v>45162</v>
      </c>
      <c r="B146" s="2">
        <v>18</v>
      </c>
      <c r="C146" s="2">
        <v>29</v>
      </c>
      <c r="D146" s="2">
        <v>12</v>
      </c>
      <c r="E146">
        <v>2394</v>
      </c>
      <c r="F146">
        <v>11</v>
      </c>
      <c r="G146" s="2">
        <f t="shared" si="26"/>
        <v>2423</v>
      </c>
      <c r="H146">
        <f t="shared" si="27"/>
        <v>2383</v>
      </c>
      <c r="I146" s="13">
        <f t="shared" si="28"/>
        <v>8.3927822073017204E-4</v>
      </c>
      <c r="J146" t="str">
        <f t="shared" si="29"/>
        <v>Backlog</v>
      </c>
      <c r="K146" s="13">
        <f t="shared" si="30"/>
        <v>0.98349153941394962</v>
      </c>
      <c r="L146" s="13">
        <f t="shared" si="31"/>
        <v>6.8844407758976471</v>
      </c>
      <c r="M146" s="13">
        <f t="shared" si="32"/>
        <v>29.50474618241849</v>
      </c>
      <c r="N146" t="b">
        <f t="shared" si="33"/>
        <v>1</v>
      </c>
      <c r="O146">
        <f t="shared" si="34"/>
        <v>34</v>
      </c>
      <c r="P146" s="13">
        <f t="shared" si="35"/>
        <v>0.97890366444381693</v>
      </c>
      <c r="Q146" s="13">
        <f t="shared" si="36"/>
        <v>0.98234807641351041</v>
      </c>
      <c r="R146" s="15" t="str">
        <f t="shared" si="37"/>
        <v>STRAIN</v>
      </c>
      <c r="S146" s="13">
        <f t="shared" si="38"/>
        <v>4.5398266611638462E-3</v>
      </c>
    </row>
    <row r="147" spans="1:19" x14ac:dyDescent="0.3">
      <c r="A147" s="4">
        <v>45165</v>
      </c>
      <c r="B147" s="2">
        <v>7</v>
      </c>
      <c r="C147" s="2">
        <v>33</v>
      </c>
      <c r="D147" s="2">
        <v>14</v>
      </c>
      <c r="E147">
        <v>2392</v>
      </c>
      <c r="F147">
        <v>7</v>
      </c>
      <c r="G147" s="2">
        <f t="shared" si="26"/>
        <v>2425</v>
      </c>
      <c r="H147">
        <f t="shared" si="27"/>
        <v>2385</v>
      </c>
      <c r="I147" s="13">
        <f t="shared" si="28"/>
        <v>-1.2578616352201257E-3</v>
      </c>
      <c r="J147" t="str">
        <f t="shared" si="29"/>
        <v>No Backlog</v>
      </c>
      <c r="K147" s="13">
        <f t="shared" si="30"/>
        <v>0.98350515463917521</v>
      </c>
      <c r="L147" s="13">
        <f t="shared" si="31"/>
        <v>6.8845360824742263</v>
      </c>
      <c r="M147" s="13">
        <f t="shared" si="32"/>
        <v>29.505154639175256</v>
      </c>
      <c r="N147" t="b">
        <f t="shared" si="33"/>
        <v>1</v>
      </c>
      <c r="O147">
        <f t="shared" si="34"/>
        <v>35</v>
      </c>
      <c r="P147" s="13">
        <f t="shared" si="35"/>
        <v>0.98414480048104158</v>
      </c>
      <c r="Q147" s="13">
        <f t="shared" si="36"/>
        <v>0.98697619868302655</v>
      </c>
      <c r="R147" s="15" t="b">
        <f t="shared" si="37"/>
        <v>0</v>
      </c>
      <c r="S147" s="13">
        <f t="shared" si="38"/>
        <v>2.8865979381443299E-3</v>
      </c>
    </row>
    <row r="148" spans="1:19" x14ac:dyDescent="0.3">
      <c r="A148" s="4">
        <v>45166</v>
      </c>
      <c r="B148" s="2">
        <v>15</v>
      </c>
      <c r="C148" s="2">
        <v>20</v>
      </c>
      <c r="D148" s="2">
        <v>12</v>
      </c>
      <c r="E148">
        <v>2385</v>
      </c>
      <c r="F148">
        <v>3</v>
      </c>
      <c r="G148" s="2">
        <f t="shared" si="26"/>
        <v>2405</v>
      </c>
      <c r="H148">
        <f t="shared" si="27"/>
        <v>2382</v>
      </c>
      <c r="I148" s="13">
        <f t="shared" si="28"/>
        <v>-1.343408900083963E-2</v>
      </c>
      <c r="J148" t="str">
        <f t="shared" si="29"/>
        <v>No Backlog</v>
      </c>
      <c r="K148" s="13">
        <f t="shared" si="30"/>
        <v>0.99043659043659049</v>
      </c>
      <c r="L148" s="13">
        <f t="shared" si="31"/>
        <v>6.9330561330561338</v>
      </c>
      <c r="M148" s="13">
        <f t="shared" si="32"/>
        <v>29.713097713097714</v>
      </c>
      <c r="N148" t="b">
        <f t="shared" si="33"/>
        <v>1</v>
      </c>
      <c r="O148">
        <f t="shared" si="34"/>
        <v>35</v>
      </c>
      <c r="P148" s="13">
        <f t="shared" si="35"/>
        <v>0.98495311130041674</v>
      </c>
      <c r="Q148" s="13">
        <f t="shared" si="36"/>
        <v>0.98790017210163583</v>
      </c>
      <c r="R148" s="15" t="b">
        <f t="shared" si="37"/>
        <v>0</v>
      </c>
      <c r="S148" s="13">
        <f t="shared" si="38"/>
        <v>1.2474012474012475E-3</v>
      </c>
    </row>
    <row r="149" spans="1:19" x14ac:dyDescent="0.3">
      <c r="A149" s="4">
        <v>45167</v>
      </c>
      <c r="B149" s="2">
        <v>15</v>
      </c>
      <c r="C149" s="2">
        <v>24</v>
      </c>
      <c r="D149" s="2">
        <v>16</v>
      </c>
      <c r="E149">
        <v>2361</v>
      </c>
      <c r="F149">
        <v>11</v>
      </c>
      <c r="G149" s="2">
        <f t="shared" si="26"/>
        <v>2385</v>
      </c>
      <c r="H149">
        <f t="shared" si="27"/>
        <v>2350</v>
      </c>
      <c r="I149" s="13">
        <f t="shared" si="28"/>
        <v>-1.0638297872340425E-2</v>
      </c>
      <c r="J149" t="str">
        <f t="shared" si="29"/>
        <v>No Backlog</v>
      </c>
      <c r="K149" s="13">
        <f t="shared" si="30"/>
        <v>0.9853249475890985</v>
      </c>
      <c r="L149" s="13">
        <f t="shared" si="31"/>
        <v>6.8972746331236898</v>
      </c>
      <c r="M149" s="13">
        <f t="shared" si="32"/>
        <v>29.559748427672954</v>
      </c>
      <c r="N149" t="b">
        <f t="shared" si="33"/>
        <v>1</v>
      </c>
      <c r="O149">
        <f t="shared" si="34"/>
        <v>35</v>
      </c>
      <c r="P149" s="13">
        <f t="shared" si="35"/>
        <v>0.98284599918934223</v>
      </c>
      <c r="Q149" s="13">
        <f t="shared" si="36"/>
        <v>0.9849172070131379</v>
      </c>
      <c r="R149" s="15" t="b">
        <f t="shared" si="37"/>
        <v>0</v>
      </c>
      <c r="S149" s="13">
        <f t="shared" si="38"/>
        <v>4.6121593291404616E-3</v>
      </c>
    </row>
    <row r="150" spans="1:19" x14ac:dyDescent="0.3">
      <c r="A150" s="4">
        <v>45168</v>
      </c>
      <c r="B150" s="2">
        <v>10</v>
      </c>
      <c r="C150" s="2">
        <v>30</v>
      </c>
      <c r="D150" s="2">
        <v>15</v>
      </c>
      <c r="E150">
        <v>2335</v>
      </c>
      <c r="F150">
        <v>10</v>
      </c>
      <c r="G150" s="2">
        <f t="shared" si="26"/>
        <v>2365</v>
      </c>
      <c r="H150">
        <f t="shared" si="27"/>
        <v>2325</v>
      </c>
      <c r="I150" s="13">
        <f t="shared" si="28"/>
        <v>-8.6021505376344086E-4</v>
      </c>
      <c r="J150" t="str">
        <f t="shared" si="29"/>
        <v>No Backlog</v>
      </c>
      <c r="K150" s="13">
        <f t="shared" si="30"/>
        <v>0.9830866807610994</v>
      </c>
      <c r="L150" s="13">
        <f t="shared" si="31"/>
        <v>6.881606765327696</v>
      </c>
      <c r="M150" s="13">
        <f t="shared" si="32"/>
        <v>29.492600422832982</v>
      </c>
      <c r="N150" t="b">
        <f t="shared" si="33"/>
        <v>1</v>
      </c>
      <c r="O150">
        <f t="shared" si="34"/>
        <v>35</v>
      </c>
      <c r="P150" s="13">
        <f t="shared" si="35"/>
        <v>0.98295596382408768</v>
      </c>
      <c r="Q150" s="13">
        <f t="shared" si="36"/>
        <v>0.98489953412251285</v>
      </c>
      <c r="R150" s="15" t="b">
        <f t="shared" si="37"/>
        <v>0</v>
      </c>
      <c r="S150" s="13">
        <f t="shared" si="38"/>
        <v>4.2283298097251587E-3</v>
      </c>
    </row>
    <row r="151" spans="1:19" x14ac:dyDescent="0.3">
      <c r="A151" s="4">
        <v>45169</v>
      </c>
      <c r="B151" s="2">
        <v>10</v>
      </c>
      <c r="C151" s="2">
        <v>33</v>
      </c>
      <c r="D151" s="2">
        <v>16</v>
      </c>
      <c r="E151">
        <v>2339</v>
      </c>
      <c r="F151">
        <v>16</v>
      </c>
      <c r="G151" s="2">
        <f t="shared" si="26"/>
        <v>2372</v>
      </c>
      <c r="H151">
        <f t="shared" si="27"/>
        <v>2323</v>
      </c>
      <c r="I151" s="13">
        <f t="shared" si="28"/>
        <v>-3.8743004735256135E-3</v>
      </c>
      <c r="J151" t="str">
        <f t="shared" si="29"/>
        <v>No Backlog</v>
      </c>
      <c r="K151" s="13">
        <f t="shared" si="30"/>
        <v>0.97934232715008429</v>
      </c>
      <c r="L151" s="13">
        <f t="shared" si="31"/>
        <v>6.8553962900505905</v>
      </c>
      <c r="M151" s="13">
        <f t="shared" si="32"/>
        <v>29.38026981450253</v>
      </c>
      <c r="N151" t="b">
        <f t="shared" si="33"/>
        <v>1</v>
      </c>
      <c r="O151">
        <f t="shared" si="34"/>
        <v>35</v>
      </c>
      <c r="P151" s="13">
        <f t="shared" si="35"/>
        <v>0.98238440832429208</v>
      </c>
      <c r="Q151" s="13">
        <f t="shared" si="36"/>
        <v>0.98557633598883521</v>
      </c>
      <c r="R151" s="15" t="b">
        <f t="shared" si="37"/>
        <v>0</v>
      </c>
      <c r="S151" s="13">
        <f t="shared" si="38"/>
        <v>6.7453625632377737E-3</v>
      </c>
    </row>
    <row r="152" spans="1:19" x14ac:dyDescent="0.3">
      <c r="A152" s="4">
        <v>45173</v>
      </c>
      <c r="B152" s="2">
        <v>15</v>
      </c>
      <c r="C152" s="2">
        <v>44</v>
      </c>
      <c r="D152" s="2">
        <v>20</v>
      </c>
      <c r="E152">
        <v>2331</v>
      </c>
      <c r="F152">
        <v>17</v>
      </c>
      <c r="G152" s="2">
        <f t="shared" si="26"/>
        <v>2375</v>
      </c>
      <c r="H152">
        <f t="shared" si="27"/>
        <v>2314</v>
      </c>
      <c r="I152" s="13">
        <f t="shared" si="28"/>
        <v>6.9144338807260158E-3</v>
      </c>
      <c r="J152" t="str">
        <f t="shared" si="29"/>
        <v>Backlog</v>
      </c>
      <c r="K152" s="13">
        <f t="shared" si="30"/>
        <v>0.97431578947368425</v>
      </c>
      <c r="L152" s="13">
        <f t="shared" si="31"/>
        <v>6.8202105263157895</v>
      </c>
      <c r="M152" s="13">
        <f t="shared" si="32"/>
        <v>29.229473684210529</v>
      </c>
      <c r="N152" t="b">
        <f t="shared" si="33"/>
        <v>1</v>
      </c>
      <c r="O152">
        <f t="shared" si="34"/>
        <v>36</v>
      </c>
      <c r="P152" s="13">
        <f t="shared" si="35"/>
        <v>0.97776020144337772</v>
      </c>
      <c r="Q152" s="13">
        <f t="shared" si="36"/>
        <v>0.97851485238593461</v>
      </c>
      <c r="R152" s="15" t="str">
        <f t="shared" si="37"/>
        <v>STRAIN</v>
      </c>
      <c r="S152" s="13">
        <f t="shared" si="38"/>
        <v>7.1578947368421053E-3</v>
      </c>
    </row>
    <row r="153" spans="1:19" x14ac:dyDescent="0.3">
      <c r="A153" s="4">
        <v>45174</v>
      </c>
      <c r="B153" s="2">
        <v>9</v>
      </c>
      <c r="C153" s="2">
        <v>31</v>
      </c>
      <c r="D153" s="2">
        <v>10</v>
      </c>
      <c r="E153">
        <v>2335</v>
      </c>
      <c r="F153">
        <v>5</v>
      </c>
      <c r="G153" s="2">
        <f t="shared" si="26"/>
        <v>2366</v>
      </c>
      <c r="H153">
        <f t="shared" si="27"/>
        <v>2330</v>
      </c>
      <c r="I153" s="13">
        <f t="shared" si="28"/>
        <v>-1.7167381974248927E-2</v>
      </c>
      <c r="J153" t="str">
        <f t="shared" si="29"/>
        <v>No Backlog</v>
      </c>
      <c r="K153" s="13">
        <f t="shared" si="30"/>
        <v>0.98478444632290785</v>
      </c>
      <c r="L153" s="13">
        <f t="shared" si="31"/>
        <v>6.8934911242603549</v>
      </c>
      <c r="M153" s="13">
        <f t="shared" si="32"/>
        <v>29.543533389687234</v>
      </c>
      <c r="N153" t="b">
        <f t="shared" si="33"/>
        <v>1</v>
      </c>
      <c r="O153">
        <f t="shared" si="34"/>
        <v>36</v>
      </c>
      <c r="P153" s="13">
        <f t="shared" si="35"/>
        <v>0.98761584452489293</v>
      </c>
      <c r="Q153" s="13">
        <f t="shared" si="36"/>
        <v>0.98420609649191493</v>
      </c>
      <c r="R153" s="15" t="b">
        <f t="shared" si="37"/>
        <v>0</v>
      </c>
      <c r="S153" s="13">
        <f t="shared" si="38"/>
        <v>2.113271344040575E-3</v>
      </c>
    </row>
    <row r="154" spans="1:19" x14ac:dyDescent="0.3">
      <c r="A154" s="4">
        <v>45175</v>
      </c>
      <c r="B154" s="2">
        <v>13</v>
      </c>
      <c r="C154" s="2">
        <v>32</v>
      </c>
      <c r="D154" s="2">
        <v>14</v>
      </c>
      <c r="E154">
        <v>2306</v>
      </c>
      <c r="F154">
        <v>16</v>
      </c>
      <c r="G154" s="2">
        <f t="shared" si="26"/>
        <v>2338</v>
      </c>
      <c r="H154">
        <f t="shared" si="27"/>
        <v>2290</v>
      </c>
      <c r="I154" s="13">
        <f t="shared" si="28"/>
        <v>3.0567685589519651E-3</v>
      </c>
      <c r="J154" t="str">
        <f t="shared" si="29"/>
        <v>Backlog</v>
      </c>
      <c r="K154" s="13">
        <f t="shared" si="30"/>
        <v>0.97946963216424299</v>
      </c>
      <c r="L154" s="13">
        <f t="shared" si="31"/>
        <v>6.8562874251497012</v>
      </c>
      <c r="M154" s="13">
        <f t="shared" si="32"/>
        <v>29.38408896492729</v>
      </c>
      <c r="N154" t="b">
        <f t="shared" si="33"/>
        <v>1</v>
      </c>
      <c r="O154">
        <f t="shared" si="34"/>
        <v>36</v>
      </c>
      <c r="P154" s="13">
        <f t="shared" si="35"/>
        <v>0.98241669296546208</v>
      </c>
      <c r="Q154" s="13">
        <f t="shared" si="36"/>
        <v>0.98409490285001744</v>
      </c>
      <c r="R154" s="15" t="str">
        <f t="shared" si="37"/>
        <v>STRAIN</v>
      </c>
      <c r="S154" s="13">
        <f t="shared" si="38"/>
        <v>6.8434559452523521E-3</v>
      </c>
    </row>
    <row r="155" spans="1:19" x14ac:dyDescent="0.3">
      <c r="A155" s="4">
        <v>45176</v>
      </c>
      <c r="B155" s="2">
        <v>7</v>
      </c>
      <c r="C155" s="2">
        <v>34</v>
      </c>
      <c r="D155" s="2">
        <v>9</v>
      </c>
      <c r="E155">
        <v>2309</v>
      </c>
      <c r="F155">
        <v>12</v>
      </c>
      <c r="G155" s="2">
        <f t="shared" si="26"/>
        <v>2343</v>
      </c>
      <c r="H155">
        <f t="shared" si="27"/>
        <v>2297</v>
      </c>
      <c r="I155" s="13">
        <f t="shared" si="28"/>
        <v>-3.4828036569438396E-3</v>
      </c>
      <c r="J155" t="str">
        <f t="shared" si="29"/>
        <v>No Backlog</v>
      </c>
      <c r="K155" s="13">
        <f t="shared" si="30"/>
        <v>0.98036705078958597</v>
      </c>
      <c r="L155" s="13">
        <f t="shared" si="31"/>
        <v>6.8625693555271017</v>
      </c>
      <c r="M155" s="13">
        <f t="shared" si="32"/>
        <v>29.411011523687581</v>
      </c>
      <c r="N155" t="b">
        <f t="shared" si="33"/>
        <v>1</v>
      </c>
      <c r="O155">
        <f t="shared" si="34"/>
        <v>36</v>
      </c>
      <c r="P155" s="13">
        <f t="shared" si="35"/>
        <v>0.98243825861338163</v>
      </c>
      <c r="Q155" s="13">
        <f t="shared" si="36"/>
        <v>0.98173465191125753</v>
      </c>
      <c r="R155" s="15" t="b">
        <f t="shared" si="37"/>
        <v>0</v>
      </c>
      <c r="S155" s="13">
        <f t="shared" si="38"/>
        <v>5.1216389244558257E-3</v>
      </c>
    </row>
    <row r="156" spans="1:19" x14ac:dyDescent="0.3">
      <c r="A156" s="4">
        <v>45179</v>
      </c>
      <c r="B156" s="2">
        <v>11</v>
      </c>
      <c r="C156" s="2">
        <v>25</v>
      </c>
      <c r="D156" s="2">
        <v>11</v>
      </c>
      <c r="E156">
        <v>2304</v>
      </c>
      <c r="F156">
        <v>15</v>
      </c>
      <c r="G156" s="2">
        <f t="shared" si="26"/>
        <v>2329</v>
      </c>
      <c r="H156">
        <f t="shared" si="27"/>
        <v>2289</v>
      </c>
      <c r="I156" s="13">
        <f t="shared" si="28"/>
        <v>4.3687199650502403E-3</v>
      </c>
      <c r="J156" t="str">
        <f t="shared" si="29"/>
        <v>Backlog</v>
      </c>
      <c r="K156" s="13">
        <f t="shared" si="30"/>
        <v>0.98282524688707595</v>
      </c>
      <c r="L156" s="13">
        <f t="shared" si="31"/>
        <v>6.8797767282095315</v>
      </c>
      <c r="M156" s="13">
        <f t="shared" si="32"/>
        <v>29.484757406612278</v>
      </c>
      <c r="N156" t="b">
        <f t="shared" si="33"/>
        <v>1</v>
      </c>
      <c r="O156">
        <f t="shared" si="34"/>
        <v>37</v>
      </c>
      <c r="P156" s="13">
        <f t="shared" si="35"/>
        <v>0.98476881718550113</v>
      </c>
      <c r="Q156" s="13">
        <f t="shared" si="36"/>
        <v>0.98513284864925477</v>
      </c>
      <c r="R156" s="15" t="str">
        <f t="shared" si="37"/>
        <v>STRAIN</v>
      </c>
      <c r="S156" s="13">
        <f t="shared" si="38"/>
        <v>6.4405324173465008E-3</v>
      </c>
    </row>
    <row r="157" spans="1:19" x14ac:dyDescent="0.3">
      <c r="A157" s="4">
        <v>45180</v>
      </c>
      <c r="B157" s="2">
        <v>6</v>
      </c>
      <c r="C157" s="2">
        <v>26</v>
      </c>
      <c r="D157" s="2">
        <v>12</v>
      </c>
      <c r="E157">
        <v>2307</v>
      </c>
      <c r="F157">
        <v>8</v>
      </c>
      <c r="G157" s="2">
        <f t="shared" si="26"/>
        <v>2333</v>
      </c>
      <c r="H157">
        <f t="shared" si="27"/>
        <v>2299</v>
      </c>
      <c r="I157" s="13">
        <f t="shared" si="28"/>
        <v>-8.6994345367551109E-4</v>
      </c>
      <c r="J157" t="str">
        <f t="shared" si="29"/>
        <v>No Backlog</v>
      </c>
      <c r="K157" s="13">
        <f t="shared" si="30"/>
        <v>0.98542648949849976</v>
      </c>
      <c r="L157" s="13">
        <f t="shared" si="31"/>
        <v>6.8979854264894982</v>
      </c>
      <c r="M157" s="13">
        <f t="shared" si="32"/>
        <v>29.562794684954994</v>
      </c>
      <c r="N157" t="b">
        <f t="shared" si="33"/>
        <v>1</v>
      </c>
      <c r="O157">
        <f t="shared" si="34"/>
        <v>37</v>
      </c>
      <c r="P157" s="13">
        <f t="shared" si="35"/>
        <v>0.988618417163043</v>
      </c>
      <c r="Q157" s="13">
        <f t="shared" si="36"/>
        <v>0.98594172880342201</v>
      </c>
      <c r="R157" s="15" t="b">
        <f t="shared" si="37"/>
        <v>0</v>
      </c>
      <c r="S157" s="13">
        <f t="shared" si="38"/>
        <v>3.4290612944706386E-3</v>
      </c>
    </row>
    <row r="158" spans="1:19" x14ac:dyDescent="0.3">
      <c r="A158" s="4">
        <v>45181</v>
      </c>
      <c r="B158" s="2">
        <v>9</v>
      </c>
      <c r="C158" s="2">
        <v>40</v>
      </c>
      <c r="D158" s="2">
        <v>12</v>
      </c>
      <c r="E158">
        <v>2301</v>
      </c>
      <c r="F158">
        <v>4</v>
      </c>
      <c r="G158" s="2">
        <f t="shared" si="26"/>
        <v>2341</v>
      </c>
      <c r="H158">
        <f t="shared" si="27"/>
        <v>2297</v>
      </c>
      <c r="I158" s="13">
        <f t="shared" si="28"/>
        <v>-6.9656073138876793E-3</v>
      </c>
      <c r="J158" t="str">
        <f t="shared" si="29"/>
        <v>No Backlog</v>
      </c>
      <c r="K158" s="13">
        <f t="shared" si="30"/>
        <v>0.9812046134130713</v>
      </c>
      <c r="L158" s="13">
        <f t="shared" si="31"/>
        <v>6.868432293891499</v>
      </c>
      <c r="M158" s="13">
        <f t="shared" si="32"/>
        <v>29.436138402392139</v>
      </c>
      <c r="N158" t="b">
        <f t="shared" si="33"/>
        <v>1</v>
      </c>
      <c r="O158">
        <f t="shared" si="34"/>
        <v>37</v>
      </c>
      <c r="P158" s="13">
        <f t="shared" si="35"/>
        <v>0.98195926435562808</v>
      </c>
      <c r="Q158" s="13">
        <f t="shared" si="36"/>
        <v>0.98383374775457066</v>
      </c>
      <c r="R158" s="15" t="b">
        <f t="shared" si="37"/>
        <v>0</v>
      </c>
      <c r="S158" s="13">
        <f t="shared" si="38"/>
        <v>1.7086715079026058E-3</v>
      </c>
    </row>
    <row r="159" spans="1:19" x14ac:dyDescent="0.3">
      <c r="A159" s="4">
        <v>45182</v>
      </c>
      <c r="B159" s="2">
        <v>3</v>
      </c>
      <c r="C159" s="2">
        <v>9</v>
      </c>
      <c r="D159" s="2">
        <v>7</v>
      </c>
      <c r="E159">
        <v>2294</v>
      </c>
      <c r="F159">
        <v>13</v>
      </c>
      <c r="G159" s="2">
        <f t="shared" si="26"/>
        <v>2303</v>
      </c>
      <c r="H159">
        <f t="shared" si="27"/>
        <v>2281</v>
      </c>
      <c r="I159" s="13">
        <f t="shared" si="28"/>
        <v>3.5072336694432268E-3</v>
      </c>
      <c r="J159" t="str">
        <f t="shared" si="29"/>
        <v>Backlog</v>
      </c>
      <c r="K159" s="13">
        <f t="shared" si="30"/>
        <v>0.99044724272687801</v>
      </c>
      <c r="L159" s="13">
        <f t="shared" si="31"/>
        <v>6.9331306990881458</v>
      </c>
      <c r="M159" s="13">
        <f t="shared" si="32"/>
        <v>29.71341728180634</v>
      </c>
      <c r="N159" t="b">
        <f t="shared" si="33"/>
        <v>1</v>
      </c>
      <c r="O159">
        <f t="shared" si="34"/>
        <v>37</v>
      </c>
      <c r="P159" s="13">
        <f t="shared" si="35"/>
        <v>0.98703749469390001</v>
      </c>
      <c r="Q159" s="13">
        <f t="shared" si="36"/>
        <v>0.98993727775110418</v>
      </c>
      <c r="R159" s="15" t="str">
        <f t="shared" si="37"/>
        <v>STRAIN</v>
      </c>
      <c r="S159" s="13">
        <f t="shared" si="38"/>
        <v>5.6448111159357363E-3</v>
      </c>
    </row>
    <row r="160" spans="1:19" x14ac:dyDescent="0.3">
      <c r="A160" s="4">
        <v>45183</v>
      </c>
      <c r="B160" s="2">
        <v>3</v>
      </c>
      <c r="C160" s="2">
        <v>23</v>
      </c>
      <c r="D160" s="2">
        <v>4</v>
      </c>
      <c r="E160">
        <v>2300</v>
      </c>
      <c r="F160">
        <v>11</v>
      </c>
      <c r="G160" s="2">
        <f t="shared" si="26"/>
        <v>2323</v>
      </c>
      <c r="H160">
        <f t="shared" si="27"/>
        <v>2289</v>
      </c>
      <c r="I160" s="13">
        <f t="shared" si="28"/>
        <v>-4.3687199650502403E-4</v>
      </c>
      <c r="J160" t="str">
        <f t="shared" si="29"/>
        <v>No Backlog</v>
      </c>
      <c r="K160" s="13">
        <f t="shared" si="30"/>
        <v>0.98536375376668106</v>
      </c>
      <c r="L160" s="13">
        <f t="shared" si="31"/>
        <v>6.8975462763667679</v>
      </c>
      <c r="M160" s="13">
        <f t="shared" si="32"/>
        <v>29.560912613000433</v>
      </c>
      <c r="N160" t="b">
        <f t="shared" si="33"/>
        <v>1</v>
      </c>
      <c r="O160">
        <f t="shared" si="34"/>
        <v>37</v>
      </c>
      <c r="P160" s="13">
        <f t="shared" si="35"/>
        <v>0.98704196365123642</v>
      </c>
      <c r="Q160" s="13">
        <f t="shared" si="36"/>
        <v>0.98323962831065725</v>
      </c>
      <c r="R160" s="15" t="b">
        <f t="shared" si="37"/>
        <v>0</v>
      </c>
      <c r="S160" s="13">
        <f t="shared" si="38"/>
        <v>4.7352561343090831E-3</v>
      </c>
    </row>
    <row r="161" spans="1:19" x14ac:dyDescent="0.3">
      <c r="A161" s="4">
        <v>45186</v>
      </c>
      <c r="B161" s="2">
        <v>7</v>
      </c>
      <c r="C161" s="2">
        <v>19</v>
      </c>
      <c r="D161" s="2">
        <v>14</v>
      </c>
      <c r="E161">
        <v>2305</v>
      </c>
      <c r="F161">
        <v>17</v>
      </c>
      <c r="G161" s="2">
        <f t="shared" si="26"/>
        <v>2324</v>
      </c>
      <c r="H161">
        <f t="shared" si="27"/>
        <v>2288</v>
      </c>
      <c r="I161" s="13">
        <f t="shared" si="28"/>
        <v>6.118881118881119E-3</v>
      </c>
      <c r="J161" t="str">
        <f t="shared" si="29"/>
        <v>Backlog</v>
      </c>
      <c r="K161" s="13">
        <f t="shared" si="30"/>
        <v>0.98450946643717729</v>
      </c>
      <c r="L161" s="13">
        <f t="shared" si="31"/>
        <v>6.8915662650602414</v>
      </c>
      <c r="M161" s="13">
        <f t="shared" si="32"/>
        <v>29.535283993115318</v>
      </c>
      <c r="N161" t="b">
        <f t="shared" si="33"/>
        <v>1</v>
      </c>
      <c r="O161">
        <f t="shared" si="34"/>
        <v>38</v>
      </c>
      <c r="P161" s="13">
        <f t="shared" si="35"/>
        <v>0.98380585973505319</v>
      </c>
      <c r="Q161" s="13">
        <f t="shared" si="36"/>
        <v>0.98627863760105883</v>
      </c>
      <c r="R161" s="15" t="str">
        <f t="shared" si="37"/>
        <v>STRAIN</v>
      </c>
      <c r="S161" s="13">
        <f t="shared" si="38"/>
        <v>7.3149741824440617E-3</v>
      </c>
    </row>
    <row r="162" spans="1:19" x14ac:dyDescent="0.3">
      <c r="A162" s="4">
        <v>45187</v>
      </c>
      <c r="B162" s="2">
        <v>10</v>
      </c>
      <c r="C162" s="2">
        <v>25</v>
      </c>
      <c r="D162" s="2">
        <v>5</v>
      </c>
      <c r="E162">
        <v>2308</v>
      </c>
      <c r="F162">
        <v>6</v>
      </c>
      <c r="G162" s="2">
        <f t="shared" si="26"/>
        <v>2333</v>
      </c>
      <c r="H162">
        <f t="shared" si="27"/>
        <v>2302</v>
      </c>
      <c r="I162" s="13">
        <f t="shared" si="28"/>
        <v>-4.3440486533449172E-4</v>
      </c>
      <c r="J162" t="str">
        <f t="shared" si="29"/>
        <v>No Backlog</v>
      </c>
      <c r="K162" s="13">
        <f t="shared" si="30"/>
        <v>0.98671238748392631</v>
      </c>
      <c r="L162" s="13">
        <f t="shared" si="31"/>
        <v>6.906986712387484</v>
      </c>
      <c r="M162" s="13">
        <f t="shared" si="32"/>
        <v>29.601371624517789</v>
      </c>
      <c r="N162" t="b">
        <f t="shared" si="33"/>
        <v>1</v>
      </c>
      <c r="O162">
        <f t="shared" si="34"/>
        <v>38</v>
      </c>
      <c r="P162" s="13">
        <f t="shared" si="35"/>
        <v>0.98707641894767995</v>
      </c>
      <c r="Q162" s="13">
        <f t="shared" si="36"/>
        <v>0.98779569552132251</v>
      </c>
      <c r="R162" s="15" t="b">
        <f t="shared" si="37"/>
        <v>0</v>
      </c>
      <c r="S162" s="13">
        <f t="shared" si="38"/>
        <v>2.5717959708529792E-3</v>
      </c>
    </row>
    <row r="163" spans="1:19" x14ac:dyDescent="0.3">
      <c r="A163" s="4">
        <v>45188</v>
      </c>
      <c r="B163" s="2">
        <v>4</v>
      </c>
      <c r="C163" s="2">
        <v>15</v>
      </c>
      <c r="D163" s="2">
        <v>6</v>
      </c>
      <c r="E163">
        <v>2305</v>
      </c>
      <c r="F163">
        <v>4</v>
      </c>
      <c r="G163" s="2">
        <f t="shared" si="26"/>
        <v>2320</v>
      </c>
      <c r="H163">
        <f t="shared" si="27"/>
        <v>2301</v>
      </c>
      <c r="I163" s="13">
        <f t="shared" si="28"/>
        <v>-1.1734028683181226E-2</v>
      </c>
      <c r="J163" t="str">
        <f t="shared" si="29"/>
        <v>No Backlog</v>
      </c>
      <c r="K163" s="13">
        <f t="shared" si="30"/>
        <v>0.99181034482758623</v>
      </c>
      <c r="L163" s="13">
        <f t="shared" si="31"/>
        <v>6.9426724137931037</v>
      </c>
      <c r="M163" s="13">
        <f t="shared" si="32"/>
        <v>29.754310344827587</v>
      </c>
      <c r="N163" t="b">
        <f t="shared" si="33"/>
        <v>1</v>
      </c>
      <c r="O163">
        <f t="shared" si="34"/>
        <v>38</v>
      </c>
      <c r="P163" s="13">
        <f t="shared" si="35"/>
        <v>0.98913365646796525</v>
      </c>
      <c r="Q163" s="13">
        <f t="shared" si="36"/>
        <v>0.98834625734042714</v>
      </c>
      <c r="R163" s="15" t="b">
        <f t="shared" si="37"/>
        <v>0</v>
      </c>
      <c r="S163" s="13">
        <f t="shared" si="38"/>
        <v>1.7241379310344827E-3</v>
      </c>
    </row>
    <row r="164" spans="1:19" x14ac:dyDescent="0.3">
      <c r="A164" s="4">
        <v>45189</v>
      </c>
      <c r="B164" s="2">
        <v>7</v>
      </c>
      <c r="C164" s="2">
        <v>26</v>
      </c>
      <c r="D164" s="2">
        <v>10</v>
      </c>
      <c r="E164">
        <v>2288</v>
      </c>
      <c r="F164">
        <v>14</v>
      </c>
      <c r="G164" s="2">
        <f t="shared" si="26"/>
        <v>2314</v>
      </c>
      <c r="H164">
        <f t="shared" si="27"/>
        <v>2274</v>
      </c>
      <c r="I164" s="13">
        <f t="shared" si="28"/>
        <v>3.9577836411609502E-3</v>
      </c>
      <c r="J164" t="str">
        <f t="shared" si="29"/>
        <v>Backlog</v>
      </c>
      <c r="K164" s="13">
        <f t="shared" si="30"/>
        <v>0.98271391529818497</v>
      </c>
      <c r="L164" s="13">
        <f t="shared" si="31"/>
        <v>6.8789974070872946</v>
      </c>
      <c r="M164" s="13">
        <f t="shared" si="32"/>
        <v>29.48141745894555</v>
      </c>
      <c r="N164" t="b">
        <f t="shared" si="33"/>
        <v>1</v>
      </c>
      <c r="O164">
        <f t="shared" si="34"/>
        <v>38</v>
      </c>
      <c r="P164" s="13">
        <f t="shared" si="35"/>
        <v>0.98458839869712744</v>
      </c>
      <c r="Q164" s="13">
        <f t="shared" si="36"/>
        <v>0.98376428234761859</v>
      </c>
      <c r="R164" s="15" t="str">
        <f t="shared" si="37"/>
        <v>STRAIN</v>
      </c>
      <c r="S164" s="13">
        <f t="shared" si="38"/>
        <v>6.0501296456352636E-3</v>
      </c>
    </row>
    <row r="165" spans="1:19" x14ac:dyDescent="0.3">
      <c r="A165" s="4">
        <v>45190</v>
      </c>
      <c r="B165" s="2">
        <v>11</v>
      </c>
      <c r="C165" s="2">
        <v>30</v>
      </c>
      <c r="D165" s="2">
        <v>5</v>
      </c>
      <c r="E165">
        <v>2291</v>
      </c>
      <c r="F165">
        <v>8</v>
      </c>
      <c r="G165" s="2">
        <f t="shared" si="26"/>
        <v>2321</v>
      </c>
      <c r="H165">
        <f t="shared" si="27"/>
        <v>2283</v>
      </c>
      <c r="I165" s="13">
        <f t="shared" si="28"/>
        <v>-1.7520805957074025E-3</v>
      </c>
      <c r="J165" t="str">
        <f t="shared" si="29"/>
        <v>No Backlog</v>
      </c>
      <c r="K165" s="13">
        <f t="shared" si="30"/>
        <v>0.98362774666092201</v>
      </c>
      <c r="L165" s="13">
        <f t="shared" si="31"/>
        <v>6.8853942266264543</v>
      </c>
      <c r="M165" s="13">
        <f t="shared" si="32"/>
        <v>29.508832399827661</v>
      </c>
      <c r="N165" t="b">
        <f t="shared" si="33"/>
        <v>1</v>
      </c>
      <c r="O165">
        <f t="shared" si="34"/>
        <v>38</v>
      </c>
      <c r="P165" s="13">
        <f t="shared" si="35"/>
        <v>0.98652752971812618</v>
      </c>
      <c r="Q165" s="13">
        <f t="shared" si="36"/>
        <v>0.98103704351456522</v>
      </c>
      <c r="R165" s="15" t="b">
        <f t="shared" si="37"/>
        <v>0</v>
      </c>
      <c r="S165" s="13">
        <f t="shared" si="38"/>
        <v>3.4467901766479965E-3</v>
      </c>
    </row>
    <row r="166" spans="1:19" x14ac:dyDescent="0.3">
      <c r="A166" s="4">
        <v>45193</v>
      </c>
      <c r="B166" s="2">
        <v>4</v>
      </c>
      <c r="C166" s="2">
        <v>19</v>
      </c>
      <c r="D166" s="2">
        <v>12</v>
      </c>
      <c r="E166">
        <v>2286</v>
      </c>
      <c r="F166">
        <v>7</v>
      </c>
      <c r="G166" s="2">
        <f t="shared" si="26"/>
        <v>2305</v>
      </c>
      <c r="H166">
        <f t="shared" si="27"/>
        <v>2279</v>
      </c>
      <c r="I166" s="13">
        <f t="shared" si="28"/>
        <v>-4.3878894251864857E-3</v>
      </c>
      <c r="J166" t="str">
        <f t="shared" si="29"/>
        <v>No Backlog</v>
      </c>
      <c r="K166" s="13">
        <f t="shared" si="30"/>
        <v>0.98872017353579178</v>
      </c>
      <c r="L166" s="13">
        <f t="shared" si="31"/>
        <v>6.9210412147505425</v>
      </c>
      <c r="M166" s="13">
        <f t="shared" si="32"/>
        <v>29.661605206073752</v>
      </c>
      <c r="N166" t="b">
        <f t="shared" si="33"/>
        <v>1</v>
      </c>
      <c r="O166">
        <f t="shared" si="34"/>
        <v>39</v>
      </c>
      <c r="P166" s="13">
        <f t="shared" si="35"/>
        <v>0.98491783819521261</v>
      </c>
      <c r="Q166" s="13">
        <f t="shared" si="36"/>
        <v>0.98759723735400951</v>
      </c>
      <c r="R166" s="15" t="b">
        <f t="shared" si="37"/>
        <v>0</v>
      </c>
      <c r="S166" s="13">
        <f t="shared" si="38"/>
        <v>3.036876355748373E-3</v>
      </c>
    </row>
    <row r="167" spans="1:19" x14ac:dyDescent="0.3">
      <c r="A167" s="4">
        <v>45194</v>
      </c>
      <c r="B167" s="2">
        <v>5</v>
      </c>
      <c r="C167" s="2">
        <v>26</v>
      </c>
      <c r="D167" s="2">
        <v>9</v>
      </c>
      <c r="E167">
        <v>2282</v>
      </c>
      <c r="F167">
        <v>13</v>
      </c>
      <c r="G167" s="2">
        <f t="shared" si="26"/>
        <v>2308</v>
      </c>
      <c r="H167">
        <f t="shared" si="27"/>
        <v>2269</v>
      </c>
      <c r="I167" s="13">
        <f t="shared" si="28"/>
        <v>4.8479506390480386E-3</v>
      </c>
      <c r="J167" t="str">
        <f t="shared" si="29"/>
        <v>Backlog</v>
      </c>
      <c r="K167" s="13">
        <f t="shared" si="30"/>
        <v>0.98310225303292897</v>
      </c>
      <c r="L167" s="13">
        <f t="shared" si="31"/>
        <v>6.8817157712305033</v>
      </c>
      <c r="M167" s="13">
        <f t="shared" si="32"/>
        <v>29.49306759098787</v>
      </c>
      <c r="N167" t="b">
        <f t="shared" si="33"/>
        <v>1</v>
      </c>
      <c r="O167">
        <f t="shared" si="34"/>
        <v>39</v>
      </c>
      <c r="P167" s="13">
        <f t="shared" si="35"/>
        <v>0.98557503089893461</v>
      </c>
      <c r="Q167" s="13">
        <f t="shared" si="36"/>
        <v>0.98656924245849353</v>
      </c>
      <c r="R167" s="15" t="str">
        <f t="shared" si="37"/>
        <v>STRAIN</v>
      </c>
      <c r="S167" s="13">
        <f t="shared" si="38"/>
        <v>5.6325823223570192E-3</v>
      </c>
    </row>
    <row r="168" spans="1:19" x14ac:dyDescent="0.3">
      <c r="A168" s="4">
        <v>45195</v>
      </c>
      <c r="B168" s="2">
        <v>5</v>
      </c>
      <c r="C168" s="2">
        <v>26</v>
      </c>
      <c r="D168" s="2">
        <v>10</v>
      </c>
      <c r="E168">
        <v>2283</v>
      </c>
      <c r="F168">
        <v>3</v>
      </c>
      <c r="G168" s="2">
        <f t="shared" si="26"/>
        <v>2309</v>
      </c>
      <c r="H168">
        <f t="shared" si="27"/>
        <v>2280</v>
      </c>
      <c r="I168" s="13">
        <f t="shared" si="28"/>
        <v>-9.6491228070175444E-3</v>
      </c>
      <c r="J168" t="str">
        <f t="shared" si="29"/>
        <v>No Backlog</v>
      </c>
      <c r="K168" s="13">
        <f t="shared" si="30"/>
        <v>0.98744045041143347</v>
      </c>
      <c r="L168" s="13">
        <f t="shared" si="31"/>
        <v>6.9120831528800339</v>
      </c>
      <c r="M168" s="13">
        <f t="shared" si="32"/>
        <v>29.623213512343003</v>
      </c>
      <c r="N168" t="b">
        <f t="shared" si="33"/>
        <v>1</v>
      </c>
      <c r="O168">
        <f t="shared" si="34"/>
        <v>39</v>
      </c>
      <c r="P168" s="13">
        <f t="shared" si="35"/>
        <v>0.98815972698507615</v>
      </c>
      <c r="Q168" s="13">
        <f t="shared" si="36"/>
        <v>0.98889928856659826</v>
      </c>
      <c r="R168" s="15" t="b">
        <f t="shared" si="37"/>
        <v>0</v>
      </c>
      <c r="S168" s="13">
        <f t="shared" si="38"/>
        <v>1.2992637505413599E-3</v>
      </c>
    </row>
    <row r="169" spans="1:19" x14ac:dyDescent="0.3">
      <c r="A169" s="4">
        <v>45196</v>
      </c>
      <c r="B169" s="2">
        <v>8</v>
      </c>
      <c r="C169" s="2">
        <v>22</v>
      </c>
      <c r="D169" s="2">
        <v>8</v>
      </c>
      <c r="E169">
        <v>2267</v>
      </c>
      <c r="F169">
        <v>9</v>
      </c>
      <c r="G169" s="2">
        <f t="shared" si="26"/>
        <v>2289</v>
      </c>
      <c r="H169">
        <f t="shared" si="27"/>
        <v>2258</v>
      </c>
      <c r="I169" s="13">
        <f t="shared" si="28"/>
        <v>4.4286979627989372E-4</v>
      </c>
      <c r="J169" t="str">
        <f t="shared" si="29"/>
        <v>Backlog</v>
      </c>
      <c r="K169" s="13">
        <f t="shared" si="30"/>
        <v>0.98645696810834427</v>
      </c>
      <c r="L169" s="13">
        <f t="shared" si="31"/>
        <v>6.90519877675841</v>
      </c>
      <c r="M169" s="13">
        <f t="shared" si="32"/>
        <v>29.593709043250328</v>
      </c>
      <c r="N169" t="b">
        <f t="shared" si="33"/>
        <v>1</v>
      </c>
      <c r="O169">
        <f t="shared" si="34"/>
        <v>39</v>
      </c>
      <c r="P169" s="13">
        <f t="shared" si="35"/>
        <v>0.98566956898080615</v>
      </c>
      <c r="Q169" s="13">
        <f t="shared" si="36"/>
        <v>0.98795325469637396</v>
      </c>
      <c r="R169" s="15" t="str">
        <f t="shared" si="37"/>
        <v>STRAIN</v>
      </c>
      <c r="S169" s="13">
        <f t="shared" si="38"/>
        <v>3.9318479685452159E-3</v>
      </c>
    </row>
    <row r="170" spans="1:19" x14ac:dyDescent="0.3">
      <c r="A170" s="4">
        <v>45197</v>
      </c>
      <c r="B170" s="2">
        <v>18</v>
      </c>
      <c r="C170" s="2">
        <v>25</v>
      </c>
      <c r="D170" s="2">
        <v>17</v>
      </c>
      <c r="E170">
        <v>2265</v>
      </c>
      <c r="F170">
        <v>6</v>
      </c>
      <c r="G170" s="2">
        <f t="shared" si="26"/>
        <v>2290</v>
      </c>
      <c r="H170">
        <f t="shared" si="27"/>
        <v>2259</v>
      </c>
      <c r="I170" s="13">
        <f t="shared" si="28"/>
        <v>-5.754758742806552E-3</v>
      </c>
      <c r="J170" t="str">
        <f t="shared" si="29"/>
        <v>No Backlog</v>
      </c>
      <c r="K170" s="13">
        <f t="shared" si="30"/>
        <v>0.98646288209606992</v>
      </c>
      <c r="L170" s="13">
        <f t="shared" si="31"/>
        <v>6.905240174672489</v>
      </c>
      <c r="M170" s="13">
        <f t="shared" si="32"/>
        <v>29.593886462882097</v>
      </c>
      <c r="N170" t="b">
        <f t="shared" si="33"/>
        <v>1</v>
      </c>
      <c r="O170">
        <f t="shared" si="34"/>
        <v>39</v>
      </c>
      <c r="P170" s="13">
        <f t="shared" si="35"/>
        <v>0.98563876574656106</v>
      </c>
      <c r="Q170" s="13">
        <f t="shared" si="36"/>
        <v>0.98745510093712929</v>
      </c>
      <c r="R170" s="15" t="b">
        <f t="shared" si="37"/>
        <v>0</v>
      </c>
      <c r="S170" s="13">
        <f t="shared" si="38"/>
        <v>2.6200873362445414E-3</v>
      </c>
    </row>
    <row r="171" spans="1:19" x14ac:dyDescent="0.3">
      <c r="A171" s="4">
        <v>45200</v>
      </c>
      <c r="B171" s="2">
        <v>6</v>
      </c>
      <c r="C171" s="2">
        <v>19</v>
      </c>
      <c r="D171" s="2">
        <v>10</v>
      </c>
      <c r="E171">
        <v>2251</v>
      </c>
      <c r="F171">
        <v>5</v>
      </c>
      <c r="G171" s="2">
        <f t="shared" si="26"/>
        <v>2270</v>
      </c>
      <c r="H171">
        <f t="shared" si="27"/>
        <v>2246</v>
      </c>
      <c r="I171" s="13">
        <f t="shared" si="28"/>
        <v>-5.3428317008014248E-3</v>
      </c>
      <c r="J171" t="str">
        <f t="shared" si="29"/>
        <v>No Backlog</v>
      </c>
      <c r="K171" s="13">
        <f t="shared" si="30"/>
        <v>0.98942731277533036</v>
      </c>
      <c r="L171" s="13">
        <f t="shared" si="31"/>
        <v>6.9259911894273127</v>
      </c>
      <c r="M171" s="13">
        <f t="shared" si="32"/>
        <v>29.682819383259911</v>
      </c>
      <c r="N171" t="b">
        <f t="shared" si="33"/>
        <v>1</v>
      </c>
      <c r="O171">
        <f t="shared" si="34"/>
        <v>40</v>
      </c>
      <c r="P171" s="13">
        <f t="shared" si="35"/>
        <v>0.9839368265717694</v>
      </c>
      <c r="Q171" s="13">
        <f t="shared" si="36"/>
        <v>0.99006681623896631</v>
      </c>
      <c r="R171" s="15" t="b">
        <f t="shared" si="37"/>
        <v>0</v>
      </c>
      <c r="S171" s="13">
        <f t="shared" si="38"/>
        <v>2.2026431718061676E-3</v>
      </c>
    </row>
    <row r="172" spans="1:19" x14ac:dyDescent="0.3">
      <c r="A172" s="4">
        <v>45201</v>
      </c>
      <c r="B172" s="2">
        <v>12</v>
      </c>
      <c r="C172" s="2">
        <v>34</v>
      </c>
      <c r="D172" s="2">
        <v>12</v>
      </c>
      <c r="E172">
        <v>2243</v>
      </c>
      <c r="F172">
        <v>9</v>
      </c>
      <c r="G172" s="2">
        <f t="shared" si="26"/>
        <v>2277</v>
      </c>
      <c r="H172">
        <f t="shared" si="27"/>
        <v>2234</v>
      </c>
      <c r="I172" s="13">
        <f t="shared" si="28"/>
        <v>-8.9525514771709937E-4</v>
      </c>
      <c r="J172" t="str">
        <f t="shared" si="29"/>
        <v>No Backlog</v>
      </c>
      <c r="K172" s="13">
        <f t="shared" si="30"/>
        <v>0.98111550285463334</v>
      </c>
      <c r="L172" s="13">
        <f t="shared" si="31"/>
        <v>6.8678085199824332</v>
      </c>
      <c r="M172" s="13">
        <f t="shared" si="32"/>
        <v>29.433465085639</v>
      </c>
      <c r="N172" t="b">
        <f t="shared" si="33"/>
        <v>1</v>
      </c>
      <c r="O172">
        <f t="shared" si="34"/>
        <v>40</v>
      </c>
      <c r="P172" s="13">
        <f t="shared" si="35"/>
        <v>0.98379490201343023</v>
      </c>
      <c r="Q172" s="13">
        <f t="shared" si="36"/>
        <v>0.98339839807858687</v>
      </c>
      <c r="R172" s="15" t="b">
        <f t="shared" si="37"/>
        <v>0</v>
      </c>
      <c r="S172" s="13">
        <f t="shared" si="38"/>
        <v>3.952569169960474E-3</v>
      </c>
    </row>
    <row r="173" spans="1:19" x14ac:dyDescent="0.3">
      <c r="A173" s="4">
        <v>45202</v>
      </c>
      <c r="B173" s="2">
        <v>12</v>
      </c>
      <c r="C173" s="2">
        <v>22</v>
      </c>
      <c r="D173" s="2">
        <v>9</v>
      </c>
      <c r="E173">
        <v>2237</v>
      </c>
      <c r="F173">
        <v>5</v>
      </c>
      <c r="G173" s="2">
        <f t="shared" si="26"/>
        <v>2259</v>
      </c>
      <c r="H173">
        <f t="shared" si="27"/>
        <v>2232</v>
      </c>
      <c r="I173" s="13">
        <f t="shared" si="28"/>
        <v>-4.0322580645161289E-3</v>
      </c>
      <c r="J173" t="str">
        <f t="shared" si="29"/>
        <v>No Backlog</v>
      </c>
      <c r="K173" s="13">
        <f t="shared" si="30"/>
        <v>0.98804780876494025</v>
      </c>
      <c r="L173" s="13">
        <f t="shared" si="31"/>
        <v>6.9163346613545817</v>
      </c>
      <c r="M173" s="13">
        <f t="shared" si="32"/>
        <v>29.641434262948209</v>
      </c>
      <c r="N173" t="b">
        <f t="shared" si="33"/>
        <v>1</v>
      </c>
      <c r="O173">
        <f t="shared" si="34"/>
        <v>40</v>
      </c>
      <c r="P173" s="13">
        <f t="shared" si="35"/>
        <v>0.98904202032449917</v>
      </c>
      <c r="Q173" s="13">
        <f t="shared" si="36"/>
        <v>0.98772726259142529</v>
      </c>
      <c r="R173" s="15" t="b">
        <f t="shared" si="37"/>
        <v>0</v>
      </c>
      <c r="S173" s="13">
        <f t="shared" si="38"/>
        <v>2.213368747233289E-3</v>
      </c>
    </row>
    <row r="174" spans="1:19" x14ac:dyDescent="0.3">
      <c r="A174" s="4">
        <v>45203</v>
      </c>
      <c r="B174" s="2">
        <v>7</v>
      </c>
      <c r="C174" s="2">
        <v>14</v>
      </c>
      <c r="D174" s="2">
        <v>7</v>
      </c>
      <c r="E174">
        <v>2234</v>
      </c>
      <c r="F174">
        <v>11</v>
      </c>
      <c r="G174" s="2">
        <f t="shared" si="26"/>
        <v>2248</v>
      </c>
      <c r="H174">
        <f t="shared" si="27"/>
        <v>2223</v>
      </c>
      <c r="I174" s="13">
        <f t="shared" si="28"/>
        <v>-3.5987404408457041E-3</v>
      </c>
      <c r="J174" t="str">
        <f t="shared" si="29"/>
        <v>No Backlog</v>
      </c>
      <c r="K174" s="13">
        <f t="shared" si="30"/>
        <v>0.98887900355871883</v>
      </c>
      <c r="L174" s="13">
        <f t="shared" si="31"/>
        <v>6.9221530249110321</v>
      </c>
      <c r="M174" s="13">
        <f t="shared" si="32"/>
        <v>29.666370106761565</v>
      </c>
      <c r="N174" t="b">
        <f t="shared" si="33"/>
        <v>1</v>
      </c>
      <c r="O174">
        <f t="shared" si="34"/>
        <v>40</v>
      </c>
      <c r="P174" s="13">
        <f t="shared" si="35"/>
        <v>0.98961856514024094</v>
      </c>
      <c r="Q174" s="13">
        <f t="shared" si="36"/>
        <v>0.98719989411938736</v>
      </c>
      <c r="R174" s="15" t="b">
        <f t="shared" si="37"/>
        <v>0</v>
      </c>
      <c r="S174" s="13">
        <f t="shared" si="38"/>
        <v>4.8932384341637009E-3</v>
      </c>
    </row>
    <row r="175" spans="1:19" x14ac:dyDescent="0.3">
      <c r="A175" s="4">
        <v>45204</v>
      </c>
      <c r="B175" s="2">
        <v>12</v>
      </c>
      <c r="C175" s="2">
        <v>26</v>
      </c>
      <c r="D175" s="2">
        <v>18</v>
      </c>
      <c r="E175">
        <v>2223</v>
      </c>
      <c r="F175">
        <v>8</v>
      </c>
      <c r="G175" s="2">
        <f t="shared" si="26"/>
        <v>2249</v>
      </c>
      <c r="H175">
        <f t="shared" si="27"/>
        <v>2215</v>
      </c>
      <c r="I175" s="13">
        <f t="shared" si="28"/>
        <v>-4.5146726862302479E-3</v>
      </c>
      <c r="J175" t="str">
        <f t="shared" si="29"/>
        <v>No Backlog</v>
      </c>
      <c r="K175" s="13">
        <f t="shared" si="30"/>
        <v>0.98488216985326815</v>
      </c>
      <c r="L175" s="13">
        <f t="shared" si="31"/>
        <v>6.8941751889728771</v>
      </c>
      <c r="M175" s="13">
        <f t="shared" si="32"/>
        <v>29.546465095598045</v>
      </c>
      <c r="N175" t="b">
        <f t="shared" si="33"/>
        <v>1</v>
      </c>
      <c r="O175">
        <f t="shared" si="34"/>
        <v>40</v>
      </c>
      <c r="P175" s="13">
        <f t="shared" si="35"/>
        <v>0.98716585556883585</v>
      </c>
      <c r="Q175" s="13">
        <f t="shared" si="36"/>
        <v>0.98264173821641476</v>
      </c>
      <c r="R175" s="15" t="b">
        <f t="shared" si="37"/>
        <v>0</v>
      </c>
      <c r="S175" s="13">
        <f t="shared" si="38"/>
        <v>3.5571365051133837E-3</v>
      </c>
    </row>
    <row r="176" spans="1:19" x14ac:dyDescent="0.3">
      <c r="A176" s="4">
        <v>45208</v>
      </c>
      <c r="B176" s="2">
        <v>5</v>
      </c>
      <c r="C176" s="2">
        <v>31</v>
      </c>
      <c r="D176" s="2">
        <v>16</v>
      </c>
      <c r="E176">
        <v>2208</v>
      </c>
      <c r="F176">
        <v>3</v>
      </c>
      <c r="G176" s="2">
        <f t="shared" si="26"/>
        <v>2239</v>
      </c>
      <c r="H176">
        <f t="shared" si="27"/>
        <v>2205</v>
      </c>
      <c r="I176" s="13">
        <f t="shared" si="28"/>
        <v>-1.1791383219954649E-2</v>
      </c>
      <c r="J176" t="str">
        <f t="shared" si="29"/>
        <v>No Backlog</v>
      </c>
      <c r="K176" s="13">
        <f t="shared" si="30"/>
        <v>0.98481464939705221</v>
      </c>
      <c r="L176" s="13">
        <f t="shared" si="31"/>
        <v>6.8937025457793659</v>
      </c>
      <c r="M176" s="13">
        <f t="shared" si="32"/>
        <v>29.544439481911567</v>
      </c>
      <c r="N176" t="b">
        <f t="shared" si="33"/>
        <v>1</v>
      </c>
      <c r="O176">
        <f t="shared" si="34"/>
        <v>41</v>
      </c>
      <c r="P176" s="13">
        <f t="shared" si="35"/>
        <v>0.98663098458762044</v>
      </c>
      <c r="Q176" s="13">
        <f t="shared" si="36"/>
        <v>0.98723085411029077</v>
      </c>
      <c r="R176" s="15" t="b">
        <f t="shared" si="37"/>
        <v>0</v>
      </c>
      <c r="S176" s="13">
        <f t="shared" si="38"/>
        <v>1.3398838767306833E-3</v>
      </c>
    </row>
    <row r="177" spans="1:19" x14ac:dyDescent="0.3">
      <c r="A177" s="4">
        <v>45209</v>
      </c>
      <c r="B177" s="2">
        <v>17</v>
      </c>
      <c r="C177" s="2">
        <v>36</v>
      </c>
      <c r="D177" s="2">
        <v>7</v>
      </c>
      <c r="E177">
        <v>2191</v>
      </c>
      <c r="F177">
        <v>12</v>
      </c>
      <c r="G177" s="2">
        <f t="shared" si="26"/>
        <v>2227</v>
      </c>
      <c r="H177">
        <f t="shared" si="27"/>
        <v>2179</v>
      </c>
      <c r="I177" s="13">
        <f t="shared" si="28"/>
        <v>4.1303350160624142E-3</v>
      </c>
      <c r="J177" t="str">
        <f t="shared" si="29"/>
        <v>Backlog</v>
      </c>
      <c r="K177" s="13">
        <f t="shared" si="30"/>
        <v>0.97844634036820832</v>
      </c>
      <c r="L177" s="13">
        <f t="shared" si="31"/>
        <v>6.8491243825774584</v>
      </c>
      <c r="M177" s="13">
        <f t="shared" si="32"/>
        <v>29.35339021104625</v>
      </c>
      <c r="N177" t="b">
        <f t="shared" si="33"/>
        <v>1</v>
      </c>
      <c r="O177">
        <f t="shared" si="34"/>
        <v>41</v>
      </c>
      <c r="P177" s="13">
        <f t="shared" si="35"/>
        <v>0.98457633003540534</v>
      </c>
      <c r="Q177" s="13">
        <f t="shared" si="36"/>
        <v>0.98593060198090565</v>
      </c>
      <c r="R177" s="15" t="str">
        <f t="shared" si="37"/>
        <v>STRAIN</v>
      </c>
      <c r="S177" s="13">
        <f t="shared" si="38"/>
        <v>5.3884149079479124E-3</v>
      </c>
    </row>
    <row r="178" spans="1:19" x14ac:dyDescent="0.3">
      <c r="A178" s="4">
        <v>45210</v>
      </c>
      <c r="B178" s="2">
        <v>9</v>
      </c>
      <c r="C178" s="2">
        <v>25</v>
      </c>
      <c r="D178" s="2">
        <v>8</v>
      </c>
      <c r="E178">
        <v>2193</v>
      </c>
      <c r="F178">
        <v>5</v>
      </c>
      <c r="G178" s="2">
        <f t="shared" si="26"/>
        <v>2218</v>
      </c>
      <c r="H178">
        <f t="shared" si="27"/>
        <v>2188</v>
      </c>
      <c r="I178" s="13">
        <f t="shared" si="28"/>
        <v>-9.1407678244972577E-4</v>
      </c>
      <c r="J178" t="str">
        <f t="shared" si="29"/>
        <v>No Backlog</v>
      </c>
      <c r="K178" s="13">
        <f t="shared" si="30"/>
        <v>0.98647430117222723</v>
      </c>
      <c r="L178" s="13">
        <f t="shared" si="31"/>
        <v>6.9053201082055908</v>
      </c>
      <c r="M178" s="13">
        <f t="shared" si="32"/>
        <v>29.594229035166816</v>
      </c>
      <c r="N178" t="b">
        <f t="shared" si="33"/>
        <v>1</v>
      </c>
      <c r="O178">
        <f t="shared" si="34"/>
        <v>41</v>
      </c>
      <c r="P178" s="13">
        <f t="shared" si="35"/>
        <v>0.98607779723738376</v>
      </c>
      <c r="Q178" s="13">
        <f t="shared" si="36"/>
        <v>0.98715100826401625</v>
      </c>
      <c r="R178" s="15" t="b">
        <f t="shared" si="37"/>
        <v>0</v>
      </c>
      <c r="S178" s="13">
        <f t="shared" si="38"/>
        <v>2.254283137962128E-3</v>
      </c>
    </row>
    <row r="179" spans="1:19" x14ac:dyDescent="0.3">
      <c r="A179" s="4">
        <v>45211</v>
      </c>
      <c r="B179" s="2">
        <v>9</v>
      </c>
      <c r="C179" s="2">
        <v>20</v>
      </c>
      <c r="D179" s="2">
        <v>5</v>
      </c>
      <c r="E179">
        <v>2188</v>
      </c>
      <c r="F179">
        <v>2</v>
      </c>
      <c r="G179" s="2">
        <f t="shared" si="26"/>
        <v>2208</v>
      </c>
      <c r="H179">
        <f t="shared" si="27"/>
        <v>2186</v>
      </c>
      <c r="I179" s="13">
        <f t="shared" si="28"/>
        <v>-1.3266239707227814E-2</v>
      </c>
      <c r="J179" t="str">
        <f t="shared" si="29"/>
        <v>No Backlog</v>
      </c>
      <c r="K179" s="13">
        <f t="shared" si="30"/>
        <v>0.99003623188405798</v>
      </c>
      <c r="L179" s="13">
        <f t="shared" si="31"/>
        <v>6.9302536231884062</v>
      </c>
      <c r="M179" s="13">
        <f t="shared" si="32"/>
        <v>29.701086956521738</v>
      </c>
      <c r="N179" t="b">
        <f t="shared" si="33"/>
        <v>1</v>
      </c>
      <c r="O179">
        <f t="shared" si="34"/>
        <v>41</v>
      </c>
      <c r="P179" s="13">
        <f t="shared" si="35"/>
        <v>0.98872147415098421</v>
      </c>
      <c r="Q179" s="13">
        <f t="shared" si="36"/>
        <v>0.98891769360509796</v>
      </c>
      <c r="R179" s="15" t="b">
        <f t="shared" si="37"/>
        <v>0</v>
      </c>
      <c r="S179" s="13">
        <f t="shared" si="38"/>
        <v>9.0579710144927537E-4</v>
      </c>
    </row>
    <row r="180" spans="1:19" x14ac:dyDescent="0.3">
      <c r="A180" s="4">
        <v>45214</v>
      </c>
      <c r="B180" s="2">
        <v>1</v>
      </c>
      <c r="C180" s="2">
        <v>19</v>
      </c>
      <c r="D180" s="2">
        <v>13</v>
      </c>
      <c r="E180">
        <v>2159</v>
      </c>
      <c r="F180">
        <v>2</v>
      </c>
      <c r="G180" s="2">
        <f t="shared" si="26"/>
        <v>2178</v>
      </c>
      <c r="H180">
        <f t="shared" si="27"/>
        <v>2157</v>
      </c>
      <c r="I180" s="13">
        <f t="shared" si="28"/>
        <v>0</v>
      </c>
      <c r="J180" t="str">
        <f t="shared" si="29"/>
        <v>No Backlog</v>
      </c>
      <c r="K180" s="13">
        <f t="shared" si="30"/>
        <v>0.99035812672176304</v>
      </c>
      <c r="L180" s="13">
        <f t="shared" si="31"/>
        <v>6.932506887052341</v>
      </c>
      <c r="M180" s="13">
        <f t="shared" si="32"/>
        <v>29.710743801652892</v>
      </c>
      <c r="N180" t="b">
        <f t="shared" si="33"/>
        <v>1</v>
      </c>
      <c r="O180">
        <f t="shared" si="34"/>
        <v>42</v>
      </c>
      <c r="P180" s="13">
        <f t="shared" si="35"/>
        <v>0.98793945570090957</v>
      </c>
      <c r="Q180" s="13">
        <f t="shared" si="36"/>
        <v>0.98789180431057599</v>
      </c>
      <c r="R180" s="15" t="b">
        <f t="shared" si="37"/>
        <v>0</v>
      </c>
      <c r="S180" s="13">
        <f t="shared" si="38"/>
        <v>9.1827364554637281E-4</v>
      </c>
    </row>
    <row r="181" spans="1:19" x14ac:dyDescent="0.3">
      <c r="A181" s="4">
        <v>45215</v>
      </c>
      <c r="B181" s="2">
        <v>9</v>
      </c>
      <c r="C181" s="2">
        <v>21</v>
      </c>
      <c r="D181" s="2">
        <v>15</v>
      </c>
      <c r="E181">
        <v>2159</v>
      </c>
      <c r="F181">
        <v>2</v>
      </c>
      <c r="G181" s="2">
        <f t="shared" si="26"/>
        <v>2180</v>
      </c>
      <c r="H181">
        <f t="shared" si="27"/>
        <v>2157</v>
      </c>
      <c r="I181" s="13">
        <f t="shared" si="28"/>
        <v>-8.3449235048678721E-3</v>
      </c>
      <c r="J181" t="str">
        <f t="shared" si="29"/>
        <v>No Backlog</v>
      </c>
      <c r="K181" s="13">
        <f t="shared" si="30"/>
        <v>0.98944954128440366</v>
      </c>
      <c r="L181" s="13">
        <f t="shared" si="31"/>
        <v>6.9261467889908257</v>
      </c>
      <c r="M181" s="13">
        <f t="shared" si="32"/>
        <v>29.683486238532108</v>
      </c>
      <c r="N181" t="b">
        <f t="shared" si="33"/>
        <v>1</v>
      </c>
      <c r="O181">
        <f t="shared" si="34"/>
        <v>42</v>
      </c>
      <c r="P181" s="13">
        <f t="shared" si="35"/>
        <v>0.98492542393198246</v>
      </c>
      <c r="Q181" s="13">
        <f t="shared" si="36"/>
        <v>0.98288083195200215</v>
      </c>
      <c r="R181" s="15" t="b">
        <f t="shared" si="37"/>
        <v>0</v>
      </c>
      <c r="S181" s="13">
        <f t="shared" si="38"/>
        <v>9.1743119266055051E-4</v>
      </c>
    </row>
    <row r="182" spans="1:19" x14ac:dyDescent="0.3">
      <c r="A182" s="4">
        <v>45216</v>
      </c>
      <c r="B182" s="2">
        <v>12</v>
      </c>
      <c r="C182" s="2">
        <v>19</v>
      </c>
      <c r="D182" s="2">
        <v>7</v>
      </c>
      <c r="E182">
        <v>2145</v>
      </c>
      <c r="F182">
        <v>6</v>
      </c>
      <c r="G182" s="2">
        <f t="shared" si="26"/>
        <v>2164</v>
      </c>
      <c r="H182">
        <f t="shared" si="27"/>
        <v>2139</v>
      </c>
      <c r="I182" s="13">
        <f t="shared" si="28"/>
        <v>-3.2725572697522207E-3</v>
      </c>
      <c r="J182" t="str">
        <f t="shared" si="29"/>
        <v>No Backlog</v>
      </c>
      <c r="K182" s="13">
        <f t="shared" si="30"/>
        <v>0.98844731977818856</v>
      </c>
      <c r="L182" s="13">
        <f t="shared" si="31"/>
        <v>6.9191312384473198</v>
      </c>
      <c r="M182" s="13">
        <f t="shared" si="32"/>
        <v>29.653419593345657</v>
      </c>
      <c r="N182" t="b">
        <f t="shared" si="33"/>
        <v>1</v>
      </c>
      <c r="O182">
        <f t="shared" si="34"/>
        <v>42</v>
      </c>
      <c r="P182" s="13">
        <f t="shared" si="35"/>
        <v>0.989047189300859</v>
      </c>
      <c r="Q182" s="13">
        <f t="shared" si="36"/>
        <v>0.98150395591129591</v>
      </c>
      <c r="R182" s="15" t="b">
        <f t="shared" si="37"/>
        <v>0</v>
      </c>
      <c r="S182" s="13">
        <f t="shared" si="38"/>
        <v>2.7726432532347504E-3</v>
      </c>
    </row>
    <row r="183" spans="1:19" x14ac:dyDescent="0.3">
      <c r="A183" s="4">
        <v>45217</v>
      </c>
      <c r="B183" s="2">
        <v>7</v>
      </c>
      <c r="C183" s="2">
        <v>13</v>
      </c>
      <c r="D183" s="2">
        <v>11</v>
      </c>
      <c r="E183">
        <v>2139</v>
      </c>
      <c r="F183">
        <v>7</v>
      </c>
      <c r="G183" s="2">
        <f t="shared" si="26"/>
        <v>2152</v>
      </c>
      <c r="H183">
        <f t="shared" si="27"/>
        <v>2132</v>
      </c>
      <c r="I183" s="13">
        <f t="shared" si="28"/>
        <v>9.3808630393996248E-4</v>
      </c>
      <c r="J183" t="str">
        <f t="shared" si="29"/>
        <v>Backlog</v>
      </c>
      <c r="K183" s="13">
        <f t="shared" si="30"/>
        <v>0.99070631970260226</v>
      </c>
      <c r="L183" s="13">
        <f t="shared" si="31"/>
        <v>6.9349442379182156</v>
      </c>
      <c r="M183" s="13">
        <f t="shared" si="32"/>
        <v>29.721189591078069</v>
      </c>
      <c r="N183" t="b">
        <f t="shared" si="33"/>
        <v>1</v>
      </c>
      <c r="O183">
        <f t="shared" si="34"/>
        <v>42</v>
      </c>
      <c r="P183" s="13">
        <f t="shared" si="35"/>
        <v>0.99206059164810267</v>
      </c>
      <c r="Q183" s="13">
        <f t="shared" si="36"/>
        <v>0.98199013089807174</v>
      </c>
      <c r="R183" s="15" t="str">
        <f t="shared" si="37"/>
        <v>STRAIN</v>
      </c>
      <c r="S183" s="13">
        <f t="shared" si="38"/>
        <v>3.2527881040892194E-3</v>
      </c>
    </row>
    <row r="184" spans="1:19" x14ac:dyDescent="0.3">
      <c r="A184" s="4">
        <v>45218</v>
      </c>
      <c r="B184" s="2">
        <v>15</v>
      </c>
      <c r="C184" s="2">
        <v>29</v>
      </c>
      <c r="D184" s="2">
        <v>9</v>
      </c>
      <c r="E184">
        <v>2136</v>
      </c>
      <c r="F184">
        <v>2</v>
      </c>
      <c r="G184" s="2">
        <f t="shared" si="26"/>
        <v>2165</v>
      </c>
      <c r="H184">
        <f t="shared" si="27"/>
        <v>2134</v>
      </c>
      <c r="I184" s="13">
        <f t="shared" si="28"/>
        <v>-7.9662605435801316E-3</v>
      </c>
      <c r="J184" t="str">
        <f t="shared" si="29"/>
        <v>No Backlog</v>
      </c>
      <c r="K184" s="13">
        <f t="shared" si="30"/>
        <v>0.9856812933025404</v>
      </c>
      <c r="L184" s="13">
        <f t="shared" si="31"/>
        <v>6.8997690531177831</v>
      </c>
      <c r="M184" s="13">
        <f t="shared" si="32"/>
        <v>29.570438799076211</v>
      </c>
      <c r="N184" t="b">
        <f t="shared" si="33"/>
        <v>1</v>
      </c>
      <c r="O184">
        <f t="shared" si="34"/>
        <v>42</v>
      </c>
      <c r="P184" s="13">
        <f t="shared" si="35"/>
        <v>0.98675450432917278</v>
      </c>
      <c r="Q184" s="13">
        <f t="shared" si="36"/>
        <v>0.9795545527628734</v>
      </c>
      <c r="R184" s="15" t="b">
        <f t="shared" si="37"/>
        <v>0</v>
      </c>
      <c r="S184" s="13">
        <f t="shared" si="38"/>
        <v>9.2378752886836026E-4</v>
      </c>
    </row>
    <row r="185" spans="1:19" x14ac:dyDescent="0.3">
      <c r="A185" s="4">
        <v>45221</v>
      </c>
      <c r="B185" s="2">
        <v>9</v>
      </c>
      <c r="C185" s="2">
        <v>20</v>
      </c>
      <c r="D185" s="2">
        <v>11</v>
      </c>
      <c r="E185">
        <v>2124</v>
      </c>
      <c r="F185">
        <v>7</v>
      </c>
      <c r="G185" s="2">
        <f t="shared" si="26"/>
        <v>2144</v>
      </c>
      <c r="H185">
        <f t="shared" si="27"/>
        <v>2117</v>
      </c>
      <c r="I185" s="13">
        <f t="shared" si="28"/>
        <v>-3.3065658951346244E-3</v>
      </c>
      <c r="J185" t="str">
        <f t="shared" si="29"/>
        <v>No Backlog</v>
      </c>
      <c r="K185" s="13">
        <f t="shared" si="30"/>
        <v>0.98740671641791045</v>
      </c>
      <c r="L185" s="13">
        <f t="shared" si="31"/>
        <v>6.9118470149253728</v>
      </c>
      <c r="M185" s="13">
        <f t="shared" si="32"/>
        <v>29.622201492537314</v>
      </c>
      <c r="N185" t="b">
        <f t="shared" si="33"/>
        <v>1</v>
      </c>
      <c r="O185">
        <f t="shared" si="34"/>
        <v>43</v>
      </c>
      <c r="P185" s="13">
        <f t="shared" si="35"/>
        <v>0.98760293587202419</v>
      </c>
      <c r="Q185" s="13">
        <f t="shared" si="36"/>
        <v>0.98173122063821072</v>
      </c>
      <c r="R185" s="15" t="b">
        <f t="shared" si="37"/>
        <v>0</v>
      </c>
      <c r="S185" s="13">
        <f t="shared" si="38"/>
        <v>3.2649253731343282E-3</v>
      </c>
    </row>
    <row r="186" spans="1:19" x14ac:dyDescent="0.3">
      <c r="A186" s="4">
        <v>45222</v>
      </c>
      <c r="B186" s="2">
        <v>6</v>
      </c>
      <c r="C186" s="2">
        <v>22</v>
      </c>
      <c r="D186" s="2">
        <v>14</v>
      </c>
      <c r="E186">
        <v>2119</v>
      </c>
      <c r="F186">
        <v>9</v>
      </c>
      <c r="G186" s="2">
        <f t="shared" si="26"/>
        <v>2141</v>
      </c>
      <c r="H186">
        <f t="shared" si="27"/>
        <v>2110</v>
      </c>
      <c r="I186" s="13">
        <f t="shared" si="28"/>
        <v>-4.2654028436018955E-3</v>
      </c>
      <c r="J186" t="str">
        <f t="shared" si="29"/>
        <v>No Backlog</v>
      </c>
      <c r="K186" s="13">
        <f t="shared" si="30"/>
        <v>0.98552078468005599</v>
      </c>
      <c r="L186" s="13">
        <f t="shared" si="31"/>
        <v>6.8986454927603917</v>
      </c>
      <c r="M186" s="13">
        <f t="shared" si="32"/>
        <v>29.565623540401681</v>
      </c>
      <c r="N186" t="b">
        <f t="shared" si="33"/>
        <v>1</v>
      </c>
      <c r="O186">
        <f t="shared" si="34"/>
        <v>43</v>
      </c>
      <c r="P186" s="13">
        <f t="shared" si="35"/>
        <v>0.98547313328972241</v>
      </c>
      <c r="Q186" s="13">
        <f t="shared" si="36"/>
        <v>0.98110236125194517</v>
      </c>
      <c r="R186" s="15" t="b">
        <f t="shared" si="37"/>
        <v>0</v>
      </c>
      <c r="S186" s="13">
        <f t="shared" si="38"/>
        <v>4.2036431574030827E-3</v>
      </c>
    </row>
    <row r="187" spans="1:19" x14ac:dyDescent="0.3">
      <c r="A187" s="4">
        <v>45223</v>
      </c>
      <c r="B187" s="2">
        <v>19</v>
      </c>
      <c r="C187" s="2">
        <v>34</v>
      </c>
      <c r="D187" s="2">
        <v>6</v>
      </c>
      <c r="E187">
        <v>2109</v>
      </c>
      <c r="F187">
        <v>8</v>
      </c>
      <c r="G187" s="2">
        <f t="shared" si="26"/>
        <v>2143</v>
      </c>
      <c r="H187">
        <f t="shared" si="27"/>
        <v>2101</v>
      </c>
      <c r="I187" s="13">
        <f t="shared" si="28"/>
        <v>9.519276534983341E-4</v>
      </c>
      <c r="J187" t="str">
        <f t="shared" si="29"/>
        <v>Backlog</v>
      </c>
      <c r="K187" s="13">
        <f t="shared" si="30"/>
        <v>0.98040130657956137</v>
      </c>
      <c r="L187" s="13">
        <f t="shared" si="31"/>
        <v>6.8628091460569296</v>
      </c>
      <c r="M187" s="13">
        <f t="shared" si="32"/>
        <v>29.412039197386839</v>
      </c>
      <c r="N187" t="b">
        <f t="shared" si="33"/>
        <v>1</v>
      </c>
      <c r="O187">
        <f t="shared" si="34"/>
        <v>43</v>
      </c>
      <c r="P187" s="13">
        <f t="shared" si="35"/>
        <v>0.97835671459958096</v>
      </c>
      <c r="Q187" s="13">
        <f t="shared" si="36"/>
        <v>0.97835231205755324</v>
      </c>
      <c r="R187" s="15" t="str">
        <f t="shared" si="37"/>
        <v>STRAIN</v>
      </c>
      <c r="S187" s="13">
        <f t="shared" si="38"/>
        <v>3.733084461035931E-3</v>
      </c>
    </row>
    <row r="188" spans="1:19" x14ac:dyDescent="0.3">
      <c r="A188" s="4">
        <v>45224</v>
      </c>
      <c r="B188" s="2">
        <v>5</v>
      </c>
      <c r="C188" s="2">
        <v>14</v>
      </c>
      <c r="D188" s="2">
        <v>0</v>
      </c>
      <c r="E188">
        <v>2111</v>
      </c>
      <c r="F188">
        <v>8</v>
      </c>
      <c r="G188" s="2">
        <f t="shared" si="26"/>
        <v>2125</v>
      </c>
      <c r="H188">
        <f t="shared" si="27"/>
        <v>2103</v>
      </c>
      <c r="I188" s="13">
        <f t="shared" si="28"/>
        <v>4.2796005706134095E-3</v>
      </c>
      <c r="J188" t="str">
        <f t="shared" si="29"/>
        <v>Backlog</v>
      </c>
      <c r="K188" s="13">
        <f t="shared" si="30"/>
        <v>0.98964705882352944</v>
      </c>
      <c r="L188" s="13">
        <f t="shared" si="31"/>
        <v>6.9275294117647057</v>
      </c>
      <c r="M188" s="13">
        <f t="shared" si="32"/>
        <v>29.689411764705884</v>
      </c>
      <c r="N188" t="b">
        <f t="shared" si="33"/>
        <v>1</v>
      </c>
      <c r="O188">
        <f t="shared" si="34"/>
        <v>43</v>
      </c>
      <c r="P188" s="13">
        <f t="shared" si="35"/>
        <v>0.98210382543396646</v>
      </c>
      <c r="Q188" s="13">
        <f t="shared" si="36"/>
        <v>0.98401721187228008</v>
      </c>
      <c r="R188" s="15" t="str">
        <f t="shared" si="37"/>
        <v>STRAIN</v>
      </c>
      <c r="S188" s="13">
        <f t="shared" si="38"/>
        <v>3.7647058823529413E-3</v>
      </c>
    </row>
    <row r="189" spans="1:19" x14ac:dyDescent="0.3">
      <c r="A189" s="4">
        <v>45225</v>
      </c>
      <c r="B189" s="2">
        <v>1</v>
      </c>
      <c r="C189" s="2">
        <v>9</v>
      </c>
      <c r="D189" s="2">
        <v>8</v>
      </c>
      <c r="E189">
        <v>2117</v>
      </c>
      <c r="F189">
        <v>5</v>
      </c>
      <c r="G189" s="2">
        <f t="shared" si="26"/>
        <v>2126</v>
      </c>
      <c r="H189">
        <f t="shared" si="27"/>
        <v>2112</v>
      </c>
      <c r="I189" s="13">
        <f t="shared" si="28"/>
        <v>-9.46969696969697E-4</v>
      </c>
      <c r="J189" t="str">
        <f t="shared" si="29"/>
        <v>No Backlog</v>
      </c>
      <c r="K189" s="13">
        <f t="shared" si="30"/>
        <v>0.99341486359360298</v>
      </c>
      <c r="L189" s="13">
        <f t="shared" si="31"/>
        <v>6.9539040451552205</v>
      </c>
      <c r="M189" s="13">
        <f t="shared" si="32"/>
        <v>29.802445907808089</v>
      </c>
      <c r="N189" t="b">
        <f t="shared" si="33"/>
        <v>1</v>
      </c>
      <c r="O189">
        <f t="shared" si="34"/>
        <v>43</v>
      </c>
      <c r="P189" s="13">
        <f t="shared" si="35"/>
        <v>0.98334440284357205</v>
      </c>
      <c r="Q189" s="13">
        <f t="shared" si="36"/>
        <v>0.98766137916522256</v>
      </c>
      <c r="R189" s="15" t="b">
        <f t="shared" si="37"/>
        <v>0</v>
      </c>
      <c r="S189" s="13">
        <f t="shared" si="38"/>
        <v>2.3518344308560675E-3</v>
      </c>
    </row>
    <row r="190" spans="1:19" x14ac:dyDescent="0.3">
      <c r="A190" s="4">
        <v>45228</v>
      </c>
      <c r="B190" s="2">
        <v>4</v>
      </c>
      <c r="C190" s="2">
        <v>20</v>
      </c>
      <c r="D190" s="2">
        <v>9</v>
      </c>
      <c r="E190">
        <v>2116</v>
      </c>
      <c r="F190">
        <v>6</v>
      </c>
      <c r="G190" s="2">
        <f t="shared" si="26"/>
        <v>2136</v>
      </c>
      <c r="H190">
        <f t="shared" si="27"/>
        <v>2110</v>
      </c>
      <c r="I190" s="13">
        <f t="shared" si="28"/>
        <v>-2.3696682464454978E-3</v>
      </c>
      <c r="J190" t="str">
        <f t="shared" si="29"/>
        <v>No Backlog</v>
      </c>
      <c r="K190" s="13">
        <f t="shared" si="30"/>
        <v>0.98782771535580527</v>
      </c>
      <c r="L190" s="13">
        <f t="shared" si="31"/>
        <v>6.9147940074906371</v>
      </c>
      <c r="M190" s="13">
        <f t="shared" si="32"/>
        <v>29.634831460674157</v>
      </c>
      <c r="N190" t="b">
        <f t="shared" si="33"/>
        <v>1</v>
      </c>
      <c r="O190">
        <f t="shared" si="34"/>
        <v>44</v>
      </c>
      <c r="P190" s="13">
        <f t="shared" si="35"/>
        <v>0.98062776378950578</v>
      </c>
      <c r="Q190" s="13">
        <f t="shared" si="36"/>
        <v>0.98771551057046469</v>
      </c>
      <c r="R190" s="15" t="b">
        <f t="shared" si="37"/>
        <v>0</v>
      </c>
      <c r="S190" s="13">
        <f t="shared" si="38"/>
        <v>2.8089887640449437E-3</v>
      </c>
    </row>
    <row r="191" spans="1:19" x14ac:dyDescent="0.3">
      <c r="A191" s="4">
        <v>45229</v>
      </c>
      <c r="B191" s="2">
        <v>6</v>
      </c>
      <c r="C191" s="2">
        <v>18</v>
      </c>
      <c r="D191" s="2">
        <v>2</v>
      </c>
      <c r="E191">
        <v>2113</v>
      </c>
      <c r="F191">
        <v>8</v>
      </c>
      <c r="G191" s="2">
        <f t="shared" si="26"/>
        <v>2131</v>
      </c>
      <c r="H191">
        <f t="shared" si="27"/>
        <v>2105</v>
      </c>
      <c r="I191" s="13">
        <f t="shared" si="28"/>
        <v>-4.2755344418052253E-3</v>
      </c>
      <c r="J191" t="str">
        <f t="shared" si="29"/>
        <v>No Backlog</v>
      </c>
      <c r="K191" s="13">
        <f t="shared" si="30"/>
        <v>0.98779915532613793</v>
      </c>
      <c r="L191" s="13">
        <f t="shared" si="31"/>
        <v>6.9145940872829659</v>
      </c>
      <c r="M191" s="13">
        <f t="shared" si="32"/>
        <v>29.633974659784137</v>
      </c>
      <c r="N191" t="b">
        <f t="shared" si="33"/>
        <v>1</v>
      </c>
      <c r="O191">
        <f t="shared" si="34"/>
        <v>44</v>
      </c>
      <c r="P191" s="13">
        <f t="shared" si="35"/>
        <v>0.98192744009232458</v>
      </c>
      <c r="Q191" s="13">
        <f t="shared" si="36"/>
        <v>0.98445399244746323</v>
      </c>
      <c r="R191" s="15" t="b">
        <f t="shared" si="37"/>
        <v>0</v>
      </c>
      <c r="S191" s="13">
        <f t="shared" si="38"/>
        <v>3.7541060534960111E-3</v>
      </c>
    </row>
    <row r="192" spans="1:19" x14ac:dyDescent="0.3">
      <c r="A192" s="4">
        <v>45230</v>
      </c>
      <c r="B192" s="2">
        <v>3</v>
      </c>
      <c r="C192" s="2">
        <v>11</v>
      </c>
      <c r="D192" s="2">
        <v>7</v>
      </c>
      <c r="E192">
        <v>2116</v>
      </c>
      <c r="F192">
        <v>20</v>
      </c>
      <c r="G192" s="2">
        <f t="shared" si="26"/>
        <v>2127</v>
      </c>
      <c r="H192">
        <f t="shared" si="27"/>
        <v>2096</v>
      </c>
      <c r="I192" s="13">
        <f t="shared" si="28"/>
        <v>2.8625954198473282E-3</v>
      </c>
      <c r="J192" t="str">
        <f t="shared" si="29"/>
        <v>Backlog</v>
      </c>
      <c r="K192" s="13">
        <f t="shared" si="30"/>
        <v>0.98542548189938883</v>
      </c>
      <c r="L192" s="13">
        <f t="shared" si="31"/>
        <v>6.8979783732957216</v>
      </c>
      <c r="M192" s="13">
        <f t="shared" si="32"/>
        <v>29.562764456981665</v>
      </c>
      <c r="N192" t="b">
        <f t="shared" si="33"/>
        <v>1</v>
      </c>
      <c r="O192">
        <f t="shared" si="34"/>
        <v>44</v>
      </c>
      <c r="P192" s="13">
        <f t="shared" si="35"/>
        <v>0.98105470986161158</v>
      </c>
      <c r="Q192" s="13">
        <f t="shared" si="36"/>
        <v>0.98225763639864883</v>
      </c>
      <c r="R192" s="15" t="str">
        <f t="shared" si="37"/>
        <v>STRAIN</v>
      </c>
      <c r="S192" s="13">
        <f t="shared" si="38"/>
        <v>9.4029149036201215E-3</v>
      </c>
    </row>
    <row r="193" spans="1:19" x14ac:dyDescent="0.3">
      <c r="A193" s="4">
        <v>45231</v>
      </c>
      <c r="B193" s="2">
        <v>6</v>
      </c>
      <c r="C193" s="2">
        <v>28</v>
      </c>
      <c r="D193" s="2">
        <v>8</v>
      </c>
      <c r="E193">
        <v>2125</v>
      </c>
      <c r="F193">
        <v>23</v>
      </c>
      <c r="G193" s="2">
        <f t="shared" si="26"/>
        <v>2153</v>
      </c>
      <c r="H193">
        <f t="shared" si="27"/>
        <v>2102</v>
      </c>
      <c r="I193" s="13">
        <f t="shared" si="28"/>
        <v>2.3786869647954329E-3</v>
      </c>
      <c r="J193" t="str">
        <f t="shared" si="29"/>
        <v>Backlog</v>
      </c>
      <c r="K193" s="13">
        <f t="shared" si="30"/>
        <v>0.97631212261960054</v>
      </c>
      <c r="L193" s="13">
        <f t="shared" si="31"/>
        <v>6.8341848583372036</v>
      </c>
      <c r="M193" s="13">
        <f t="shared" si="32"/>
        <v>29.289363678588018</v>
      </c>
      <c r="N193" t="b">
        <f t="shared" si="33"/>
        <v>1</v>
      </c>
      <c r="O193">
        <f t="shared" si="34"/>
        <v>44</v>
      </c>
      <c r="P193" s="13">
        <f t="shared" si="35"/>
        <v>0.97630772007757272</v>
      </c>
      <c r="Q193" s="13">
        <f t="shared" si="36"/>
        <v>0.97695763301903404</v>
      </c>
      <c r="R193" s="15" t="str">
        <f t="shared" si="37"/>
        <v>STRAIN</v>
      </c>
      <c r="S193" s="13">
        <f t="shared" si="38"/>
        <v>1.0682768230376219E-2</v>
      </c>
    </row>
    <row r="194" spans="1:19" x14ac:dyDescent="0.3">
      <c r="A194" s="4">
        <v>45232</v>
      </c>
      <c r="B194" s="2">
        <v>12</v>
      </c>
      <c r="C194" s="2">
        <v>25</v>
      </c>
      <c r="D194" s="2">
        <v>15</v>
      </c>
      <c r="E194">
        <v>2137</v>
      </c>
      <c r="F194">
        <v>30</v>
      </c>
      <c r="G194" s="2">
        <f t="shared" si="26"/>
        <v>2162</v>
      </c>
      <c r="H194">
        <f t="shared" si="27"/>
        <v>2107</v>
      </c>
      <c r="I194" s="13">
        <f t="shared" si="28"/>
        <v>3.7019458946369245E-2</v>
      </c>
      <c r="J194" t="str">
        <f t="shared" si="29"/>
        <v>Backlog</v>
      </c>
      <c r="K194" s="13">
        <f t="shared" si="30"/>
        <v>0.97456059204440337</v>
      </c>
      <c r="L194" s="13">
        <f t="shared" si="31"/>
        <v>6.8219241443108238</v>
      </c>
      <c r="M194" s="13">
        <f t="shared" si="32"/>
        <v>29.236817761332102</v>
      </c>
      <c r="N194" t="b">
        <f t="shared" si="33"/>
        <v>1</v>
      </c>
      <c r="O194">
        <f t="shared" si="34"/>
        <v>44</v>
      </c>
      <c r="P194" s="13">
        <f t="shared" si="35"/>
        <v>0.976473978482717</v>
      </c>
      <c r="Q194" s="13">
        <f t="shared" si="36"/>
        <v>0.98020760447013888</v>
      </c>
      <c r="R194" s="15" t="str">
        <f t="shared" si="37"/>
        <v>STRAIN</v>
      </c>
      <c r="S194" s="13">
        <f t="shared" si="38"/>
        <v>1.3876040703052728E-2</v>
      </c>
    </row>
    <row r="195" spans="1:19" x14ac:dyDescent="0.3">
      <c r="A195" s="4">
        <v>45235</v>
      </c>
      <c r="B195" s="2">
        <v>7</v>
      </c>
      <c r="C195" s="2">
        <v>27</v>
      </c>
      <c r="D195" s="2">
        <v>6</v>
      </c>
      <c r="E195">
        <v>2218</v>
      </c>
      <c r="F195">
        <v>33</v>
      </c>
      <c r="G195" s="2">
        <f t="shared" ref="G195:G258" si="39">C195+E195</f>
        <v>2245</v>
      </c>
      <c r="H195">
        <f t="shared" ref="H195:H258" si="40">E195-F195</f>
        <v>2185</v>
      </c>
      <c r="I195" s="13">
        <f t="shared" ref="I195:I258" si="41">(H196-H195)/H195</f>
        <v>5.9496567505720821E-3</v>
      </c>
      <c r="J195" t="str">
        <f t="shared" ref="J195:J258" si="42">IF(I195&gt;0,"Backlog","No Backlog")</f>
        <v>Backlog</v>
      </c>
      <c r="K195" s="13">
        <f t="shared" ref="K195:K258" si="43">H195/G195</f>
        <v>0.97327394209354123</v>
      </c>
      <c r="L195" s="13">
        <f t="shared" ref="L195:L258" si="44">K195*7</f>
        <v>6.8129175946547882</v>
      </c>
      <c r="M195" s="13">
        <f t="shared" ref="M195:M258" si="45">K195*30</f>
        <v>29.198218262806236</v>
      </c>
      <c r="N195" t="b">
        <f t="shared" ref="N195:N258" si="46">IF(D195&lt;C195,F195&lt;E195)</f>
        <v>1</v>
      </c>
      <c r="O195">
        <f t="shared" ref="O195:O258" si="47">WEEKNUM(A195)</f>
        <v>45</v>
      </c>
      <c r="P195" s="13">
        <f t="shared" ref="P195:P258" si="48">AVERAGE(K195,K201)</f>
        <v>0.97759091841519163</v>
      </c>
      <c r="Q195" s="13">
        <f t="shared" ref="Q195:Q258" si="49">AVERAGE(K195,K207)</f>
        <v>0.98115751899197612</v>
      </c>
      <c r="R195" s="15" t="str">
        <f t="shared" ref="R195:R258" si="50">IF(I195&gt;0,"STRAIN")</f>
        <v>STRAIN</v>
      </c>
      <c r="S195" s="13">
        <f t="shared" ref="S195:S258" si="51">F195/G195</f>
        <v>1.4699331848552339E-2</v>
      </c>
    </row>
    <row r="196" spans="1:19" x14ac:dyDescent="0.3">
      <c r="A196" s="4">
        <v>45236</v>
      </c>
      <c r="B196" s="2">
        <v>5</v>
      </c>
      <c r="C196" s="2">
        <v>20</v>
      </c>
      <c r="D196" s="2">
        <v>4</v>
      </c>
      <c r="E196">
        <v>2238</v>
      </c>
      <c r="F196">
        <v>40</v>
      </c>
      <c r="G196" s="2">
        <f t="shared" si="39"/>
        <v>2258</v>
      </c>
      <c r="H196">
        <f t="shared" si="40"/>
        <v>2198</v>
      </c>
      <c r="I196" s="13">
        <f t="shared" si="41"/>
        <v>2.0018198362147407E-2</v>
      </c>
      <c r="J196" t="str">
        <f t="shared" si="42"/>
        <v>Backlog</v>
      </c>
      <c r="K196" s="13">
        <f t="shared" si="43"/>
        <v>0.9734278122232064</v>
      </c>
      <c r="L196" s="13">
        <f t="shared" si="44"/>
        <v>6.8139946855624451</v>
      </c>
      <c r="M196" s="13">
        <f t="shared" si="45"/>
        <v>29.202834366696191</v>
      </c>
      <c r="N196" t="b">
        <f t="shared" si="46"/>
        <v>1</v>
      </c>
      <c r="O196">
        <f t="shared" si="47"/>
        <v>45</v>
      </c>
      <c r="P196" s="13">
        <f t="shared" si="48"/>
        <v>0.9805155590041652</v>
      </c>
      <c r="Q196" s="13">
        <f t="shared" si="49"/>
        <v>0.98043693475028504</v>
      </c>
      <c r="R196" s="15" t="str">
        <f t="shared" si="50"/>
        <v>STRAIN</v>
      </c>
      <c r="S196" s="13">
        <f t="shared" si="51"/>
        <v>1.771479185119575E-2</v>
      </c>
    </row>
    <row r="197" spans="1:19" x14ac:dyDescent="0.3">
      <c r="A197" s="4">
        <v>45237</v>
      </c>
      <c r="B197" s="2">
        <v>4</v>
      </c>
      <c r="C197" s="2">
        <v>25</v>
      </c>
      <c r="D197" s="2">
        <v>10</v>
      </c>
      <c r="E197">
        <v>2272</v>
      </c>
      <c r="F197">
        <v>30</v>
      </c>
      <c r="G197" s="2">
        <f t="shared" si="39"/>
        <v>2297</v>
      </c>
      <c r="H197">
        <f t="shared" si="40"/>
        <v>2242</v>
      </c>
      <c r="I197" s="13">
        <f t="shared" si="41"/>
        <v>8.9206066012488851E-3</v>
      </c>
      <c r="J197" t="str">
        <f t="shared" si="42"/>
        <v>Backlog</v>
      </c>
      <c r="K197" s="13">
        <f t="shared" si="43"/>
        <v>0.97605572485851111</v>
      </c>
      <c r="L197" s="13">
        <f t="shared" si="44"/>
        <v>6.8323900740095773</v>
      </c>
      <c r="M197" s="13">
        <f t="shared" si="45"/>
        <v>29.281671745755332</v>
      </c>
      <c r="N197" t="b">
        <f t="shared" si="46"/>
        <v>1</v>
      </c>
      <c r="O197">
        <f t="shared" si="47"/>
        <v>45</v>
      </c>
      <c r="P197" s="13">
        <f t="shared" si="48"/>
        <v>0.97858227721364988</v>
      </c>
      <c r="Q197" s="13">
        <f t="shared" si="49"/>
        <v>0.97291544075583136</v>
      </c>
      <c r="R197" s="15" t="str">
        <f t="shared" si="50"/>
        <v>STRAIN</v>
      </c>
      <c r="S197" s="13">
        <f t="shared" si="51"/>
        <v>1.3060513713539399E-2</v>
      </c>
    </row>
    <row r="198" spans="1:19" x14ac:dyDescent="0.3">
      <c r="A198" s="4">
        <v>45238</v>
      </c>
      <c r="B198" s="2">
        <v>8</v>
      </c>
      <c r="C198" s="2">
        <v>29</v>
      </c>
      <c r="D198" s="2">
        <v>18</v>
      </c>
      <c r="E198">
        <v>2287</v>
      </c>
      <c r="F198">
        <v>25</v>
      </c>
      <c r="G198" s="2">
        <f t="shared" si="39"/>
        <v>2316</v>
      </c>
      <c r="H198">
        <f t="shared" si="40"/>
        <v>2262</v>
      </c>
      <c r="I198" s="13">
        <f t="shared" si="41"/>
        <v>1.7683465959328027E-3</v>
      </c>
      <c r="J198" t="str">
        <f t="shared" si="42"/>
        <v>Backlog</v>
      </c>
      <c r="K198" s="13">
        <f t="shared" si="43"/>
        <v>0.97668393782383423</v>
      </c>
      <c r="L198" s="13">
        <f t="shared" si="44"/>
        <v>6.8367875647668397</v>
      </c>
      <c r="M198" s="13">
        <f t="shared" si="45"/>
        <v>29.300518134715027</v>
      </c>
      <c r="N198" t="b">
        <f t="shared" si="46"/>
        <v>1</v>
      </c>
      <c r="O198">
        <f t="shared" si="47"/>
        <v>45</v>
      </c>
      <c r="P198" s="13">
        <f t="shared" si="48"/>
        <v>0.97788686436087158</v>
      </c>
      <c r="Q198" s="13">
        <f t="shared" si="49"/>
        <v>0.97282970339965158</v>
      </c>
      <c r="R198" s="15" t="str">
        <f t="shared" si="50"/>
        <v>STRAIN</v>
      </c>
      <c r="S198" s="13">
        <f t="shared" si="51"/>
        <v>1.079447322970639E-2</v>
      </c>
    </row>
    <row r="199" spans="1:19" x14ac:dyDescent="0.3">
      <c r="A199" s="4">
        <v>45242</v>
      </c>
      <c r="B199" s="2">
        <v>12</v>
      </c>
      <c r="C199" s="2">
        <v>24</v>
      </c>
      <c r="D199" s="2">
        <v>4</v>
      </c>
      <c r="E199">
        <v>2297</v>
      </c>
      <c r="F199">
        <v>31</v>
      </c>
      <c r="G199" s="2">
        <f t="shared" si="39"/>
        <v>2321</v>
      </c>
      <c r="H199">
        <f t="shared" si="40"/>
        <v>2266</v>
      </c>
      <c r="I199" s="13">
        <f t="shared" si="41"/>
        <v>3.8834951456310676E-2</v>
      </c>
      <c r="J199" t="str">
        <f t="shared" si="42"/>
        <v>Backlog</v>
      </c>
      <c r="K199" s="13">
        <f t="shared" si="43"/>
        <v>0.976303317535545</v>
      </c>
      <c r="L199" s="13">
        <f t="shared" si="44"/>
        <v>6.8341232227488149</v>
      </c>
      <c r="M199" s="13">
        <f t="shared" si="45"/>
        <v>29.289099526066352</v>
      </c>
      <c r="N199" t="b">
        <f t="shared" si="46"/>
        <v>1</v>
      </c>
      <c r="O199">
        <f t="shared" si="47"/>
        <v>46</v>
      </c>
      <c r="P199" s="13">
        <f t="shared" si="48"/>
        <v>0.97695323047700633</v>
      </c>
      <c r="Q199" s="13">
        <f t="shared" si="49"/>
        <v>0.97539022665150166</v>
      </c>
      <c r="R199" s="15" t="str">
        <f t="shared" si="50"/>
        <v>STRAIN</v>
      </c>
      <c r="S199" s="13">
        <f t="shared" si="51"/>
        <v>1.3356311934510987E-2</v>
      </c>
    </row>
    <row r="200" spans="1:19" x14ac:dyDescent="0.3">
      <c r="A200" s="4">
        <v>45243</v>
      </c>
      <c r="B200" s="2">
        <v>10</v>
      </c>
      <c r="C200" s="2">
        <v>15</v>
      </c>
      <c r="D200" s="2">
        <v>17</v>
      </c>
      <c r="E200">
        <v>2391</v>
      </c>
      <c r="F200">
        <v>37</v>
      </c>
      <c r="G200" s="2">
        <f t="shared" si="39"/>
        <v>2406</v>
      </c>
      <c r="H200">
        <f t="shared" si="40"/>
        <v>2354</v>
      </c>
      <c r="I200" s="13">
        <f t="shared" si="41"/>
        <v>1.4443500424808835E-2</v>
      </c>
      <c r="J200" t="str">
        <f t="shared" si="42"/>
        <v>Backlog</v>
      </c>
      <c r="K200" s="13">
        <f t="shared" si="43"/>
        <v>0.97838736492103073</v>
      </c>
      <c r="L200" s="13">
        <f t="shared" si="44"/>
        <v>6.848711554447215</v>
      </c>
      <c r="M200" s="13">
        <f t="shared" si="45"/>
        <v>29.351620947630924</v>
      </c>
      <c r="N200" t="b">
        <f t="shared" si="46"/>
        <v>0</v>
      </c>
      <c r="O200">
        <f t="shared" si="47"/>
        <v>46</v>
      </c>
      <c r="P200" s="13">
        <f t="shared" si="48"/>
        <v>0.98212099090845251</v>
      </c>
      <c r="Q200" s="13">
        <f t="shared" si="49"/>
        <v>0.97499312145069772</v>
      </c>
      <c r="R200" s="15" t="str">
        <f t="shared" si="50"/>
        <v>STRAIN</v>
      </c>
      <c r="S200" s="13">
        <f t="shared" si="51"/>
        <v>1.5378221113881962E-2</v>
      </c>
    </row>
    <row r="201" spans="1:19" x14ac:dyDescent="0.3">
      <c r="A201" s="4">
        <v>45244</v>
      </c>
      <c r="B201" s="2">
        <v>12</v>
      </c>
      <c r="C201" s="2">
        <v>21</v>
      </c>
      <c r="D201" s="2">
        <v>1</v>
      </c>
      <c r="E201">
        <v>2411</v>
      </c>
      <c r="F201">
        <v>23</v>
      </c>
      <c r="G201" s="2">
        <f t="shared" si="39"/>
        <v>2432</v>
      </c>
      <c r="H201">
        <f t="shared" si="40"/>
        <v>2388</v>
      </c>
      <c r="I201" s="13">
        <f t="shared" si="41"/>
        <v>8.375209380234506E-4</v>
      </c>
      <c r="J201" t="str">
        <f t="shared" si="42"/>
        <v>Backlog</v>
      </c>
      <c r="K201" s="13">
        <f t="shared" si="43"/>
        <v>0.98190789473684215</v>
      </c>
      <c r="L201" s="13">
        <f t="shared" si="44"/>
        <v>6.8733552631578947</v>
      </c>
      <c r="M201" s="13">
        <f t="shared" si="45"/>
        <v>29.457236842105264</v>
      </c>
      <c r="N201" t="b">
        <f t="shared" si="46"/>
        <v>1</v>
      </c>
      <c r="O201">
        <f t="shared" si="47"/>
        <v>46</v>
      </c>
      <c r="P201" s="13">
        <f t="shared" si="48"/>
        <v>0.98547449531362652</v>
      </c>
      <c r="Q201" s="13">
        <f t="shared" si="49"/>
        <v>0.97158348731999489</v>
      </c>
      <c r="R201" s="15" t="str">
        <f t="shared" si="50"/>
        <v>STRAIN</v>
      </c>
      <c r="S201" s="13">
        <f t="shared" si="51"/>
        <v>9.4572368421052631E-3</v>
      </c>
    </row>
    <row r="202" spans="1:19" x14ac:dyDescent="0.3">
      <c r="A202" s="4">
        <v>45245</v>
      </c>
      <c r="B202" s="2">
        <v>11</v>
      </c>
      <c r="C202" s="2">
        <v>7</v>
      </c>
      <c r="D202" s="2">
        <v>7</v>
      </c>
      <c r="E202">
        <v>2413</v>
      </c>
      <c r="F202">
        <v>23</v>
      </c>
      <c r="G202" s="2">
        <f t="shared" si="39"/>
        <v>2420</v>
      </c>
      <c r="H202">
        <f t="shared" si="40"/>
        <v>2390</v>
      </c>
      <c r="I202" s="13">
        <f t="shared" si="41"/>
        <v>-4.1841004184100416E-4</v>
      </c>
      <c r="J202" t="str">
        <f t="shared" si="42"/>
        <v>No Backlog</v>
      </c>
      <c r="K202" s="13">
        <f t="shared" si="43"/>
        <v>0.98760330578512401</v>
      </c>
      <c r="L202" s="13">
        <f t="shared" si="44"/>
        <v>6.9132231404958677</v>
      </c>
      <c r="M202" s="13">
        <f t="shared" si="45"/>
        <v>29.628099173553721</v>
      </c>
      <c r="N202" t="b">
        <f t="shared" si="46"/>
        <v>0</v>
      </c>
      <c r="O202">
        <f t="shared" si="47"/>
        <v>46</v>
      </c>
      <c r="P202" s="13">
        <f t="shared" si="48"/>
        <v>0.98752468153124384</v>
      </c>
      <c r="Q202" s="13">
        <f t="shared" si="49"/>
        <v>0.96625730181879921</v>
      </c>
      <c r="R202" s="15" t="b">
        <f t="shared" si="50"/>
        <v>0</v>
      </c>
      <c r="S202" s="13">
        <f t="shared" si="51"/>
        <v>9.5041322314049579E-3</v>
      </c>
    </row>
    <row r="203" spans="1:19" x14ac:dyDescent="0.3">
      <c r="A203" s="4">
        <v>45246</v>
      </c>
      <c r="B203" s="2">
        <v>20</v>
      </c>
      <c r="C203" s="2">
        <v>22</v>
      </c>
      <c r="D203" s="2">
        <v>14</v>
      </c>
      <c r="E203">
        <v>2413</v>
      </c>
      <c r="F203">
        <v>24</v>
      </c>
      <c r="G203" s="2">
        <f t="shared" si="39"/>
        <v>2435</v>
      </c>
      <c r="H203">
        <f t="shared" si="40"/>
        <v>2389</v>
      </c>
      <c r="I203" s="13">
        <f t="shared" si="41"/>
        <v>-4.1858518208455421E-4</v>
      </c>
      <c r="J203" t="str">
        <f t="shared" si="42"/>
        <v>No Backlog</v>
      </c>
      <c r="K203" s="13">
        <f t="shared" si="43"/>
        <v>0.98110882956878853</v>
      </c>
      <c r="L203" s="13">
        <f t="shared" si="44"/>
        <v>6.8677618069815196</v>
      </c>
      <c r="M203" s="13">
        <f t="shared" si="45"/>
        <v>29.433264887063658</v>
      </c>
      <c r="N203" t="b">
        <f t="shared" si="46"/>
        <v>1</v>
      </c>
      <c r="O203">
        <f t="shared" si="47"/>
        <v>46</v>
      </c>
      <c r="P203" s="13">
        <f t="shared" si="48"/>
        <v>0.97544199311097002</v>
      </c>
      <c r="Q203" s="13">
        <f t="shared" si="49"/>
        <v>0.96950811292029326</v>
      </c>
      <c r="R203" s="15" t="b">
        <f t="shared" si="50"/>
        <v>0</v>
      </c>
      <c r="S203" s="13">
        <f t="shared" si="51"/>
        <v>9.8562628336755654E-3</v>
      </c>
    </row>
    <row r="204" spans="1:19" x14ac:dyDescent="0.3">
      <c r="A204" s="4">
        <v>45249</v>
      </c>
      <c r="B204" s="2">
        <v>7</v>
      </c>
      <c r="C204" s="2">
        <v>16</v>
      </c>
      <c r="D204" s="2">
        <v>8</v>
      </c>
      <c r="E204">
        <v>2423</v>
      </c>
      <c r="F204">
        <v>35</v>
      </c>
      <c r="G204" s="2">
        <f t="shared" si="39"/>
        <v>2439</v>
      </c>
      <c r="H204">
        <f t="shared" si="40"/>
        <v>2388</v>
      </c>
      <c r="I204" s="13">
        <f t="shared" si="41"/>
        <v>4.1876046901172533E-2</v>
      </c>
      <c r="J204" t="str">
        <f t="shared" si="42"/>
        <v>Backlog</v>
      </c>
      <c r="K204" s="13">
        <f t="shared" si="43"/>
        <v>0.97908979089790893</v>
      </c>
      <c r="L204" s="13">
        <f t="shared" si="44"/>
        <v>6.8536285362853624</v>
      </c>
      <c r="M204" s="13">
        <f t="shared" si="45"/>
        <v>29.372693726937268</v>
      </c>
      <c r="N204" t="b">
        <f t="shared" si="46"/>
        <v>1</v>
      </c>
      <c r="O204">
        <f t="shared" si="47"/>
        <v>47</v>
      </c>
      <c r="P204" s="13">
        <f t="shared" si="48"/>
        <v>0.97403262993668893</v>
      </c>
      <c r="Q204" s="13">
        <f t="shared" si="49"/>
        <v>0.97079306421543554</v>
      </c>
      <c r="R204" s="15" t="str">
        <f t="shared" si="50"/>
        <v>STRAIN</v>
      </c>
      <c r="S204" s="13">
        <f t="shared" si="51"/>
        <v>1.4350143501435014E-2</v>
      </c>
    </row>
    <row r="205" spans="1:19" x14ac:dyDescent="0.3">
      <c r="A205" s="4">
        <v>45250</v>
      </c>
      <c r="B205" s="2">
        <v>13</v>
      </c>
      <c r="C205" s="2">
        <v>25</v>
      </c>
      <c r="D205" s="2">
        <v>15</v>
      </c>
      <c r="E205">
        <v>2520</v>
      </c>
      <c r="F205">
        <v>32</v>
      </c>
      <c r="G205" s="2">
        <f t="shared" si="39"/>
        <v>2545</v>
      </c>
      <c r="H205">
        <f t="shared" si="40"/>
        <v>2488</v>
      </c>
      <c r="I205" s="13">
        <f t="shared" si="41"/>
        <v>8.4405144694533769E-3</v>
      </c>
      <c r="J205" t="str">
        <f t="shared" si="42"/>
        <v>Backlog</v>
      </c>
      <c r="K205" s="13">
        <f t="shared" si="43"/>
        <v>0.97760314341846755</v>
      </c>
      <c r="L205" s="13">
        <f t="shared" si="44"/>
        <v>6.8432220039292728</v>
      </c>
      <c r="M205" s="13">
        <f t="shared" si="45"/>
        <v>29.328094302554028</v>
      </c>
      <c r="N205" t="b">
        <f t="shared" si="46"/>
        <v>1</v>
      </c>
      <c r="O205">
        <f t="shared" si="47"/>
        <v>47</v>
      </c>
      <c r="P205" s="13">
        <f t="shared" si="48"/>
        <v>0.97604013959296299</v>
      </c>
      <c r="Q205" s="13">
        <f t="shared" si="49"/>
        <v>0.96748486637280684</v>
      </c>
      <c r="R205" s="15" t="str">
        <f t="shared" si="50"/>
        <v>STRAIN</v>
      </c>
      <c r="S205" s="13">
        <f t="shared" si="51"/>
        <v>1.2573673870333988E-2</v>
      </c>
    </row>
    <row r="206" spans="1:19" x14ac:dyDescent="0.3">
      <c r="A206" s="4">
        <v>45251</v>
      </c>
      <c r="B206" s="2">
        <v>12</v>
      </c>
      <c r="C206" s="2">
        <v>17</v>
      </c>
      <c r="D206" s="2">
        <v>17</v>
      </c>
      <c r="E206">
        <v>2528</v>
      </c>
      <c r="F206">
        <v>19</v>
      </c>
      <c r="G206" s="2">
        <f t="shared" si="39"/>
        <v>2545</v>
      </c>
      <c r="H206">
        <f t="shared" si="40"/>
        <v>2509</v>
      </c>
      <c r="I206" s="13">
        <f t="shared" si="41"/>
        <v>7.1741729772817854E-3</v>
      </c>
      <c r="J206" t="str">
        <f t="shared" si="42"/>
        <v>Backlog</v>
      </c>
      <c r="K206" s="13">
        <f t="shared" si="43"/>
        <v>0.98585461689587428</v>
      </c>
      <c r="L206" s="13">
        <f t="shared" si="44"/>
        <v>6.9009823182711196</v>
      </c>
      <c r="M206" s="13">
        <f t="shared" si="45"/>
        <v>29.575638506876228</v>
      </c>
      <c r="N206" t="b">
        <f t="shared" si="46"/>
        <v>0</v>
      </c>
      <c r="O206">
        <f t="shared" si="47"/>
        <v>47</v>
      </c>
      <c r="P206" s="13">
        <f t="shared" si="48"/>
        <v>0.97872674743811949</v>
      </c>
      <c r="Q206" s="13">
        <f t="shared" si="49"/>
        <v>0.96582317150071884</v>
      </c>
      <c r="R206" s="15" t="str">
        <f t="shared" si="50"/>
        <v>STRAIN</v>
      </c>
      <c r="S206" s="13">
        <f t="shared" si="51"/>
        <v>7.4656188605108052E-3</v>
      </c>
    </row>
    <row r="207" spans="1:19" x14ac:dyDescent="0.3">
      <c r="A207" s="4">
        <v>45253</v>
      </c>
      <c r="B207" s="2">
        <v>18</v>
      </c>
      <c r="C207" s="2">
        <v>19</v>
      </c>
      <c r="D207" s="2">
        <v>11</v>
      </c>
      <c r="E207">
        <v>2536</v>
      </c>
      <c r="F207">
        <v>9</v>
      </c>
      <c r="G207" s="2">
        <f t="shared" si="39"/>
        <v>2555</v>
      </c>
      <c r="H207">
        <f t="shared" si="40"/>
        <v>2527</v>
      </c>
      <c r="I207" s="13">
        <f t="shared" si="41"/>
        <v>-3.9572615749901069E-3</v>
      </c>
      <c r="J207" t="str">
        <f t="shared" si="42"/>
        <v>No Backlog</v>
      </c>
      <c r="K207" s="13">
        <f t="shared" si="43"/>
        <v>0.989041095890411</v>
      </c>
      <c r="L207" s="13">
        <f t="shared" si="44"/>
        <v>6.9232876712328775</v>
      </c>
      <c r="M207" s="13">
        <f t="shared" si="45"/>
        <v>29.671232876712331</v>
      </c>
      <c r="N207" t="b">
        <f t="shared" si="46"/>
        <v>1</v>
      </c>
      <c r="O207">
        <f t="shared" si="47"/>
        <v>47</v>
      </c>
      <c r="P207" s="13">
        <f t="shared" si="48"/>
        <v>0.97515008789677937</v>
      </c>
      <c r="Q207" s="13">
        <f t="shared" si="49"/>
        <v>0.96917376358202767</v>
      </c>
      <c r="R207" s="15" t="b">
        <f t="shared" si="50"/>
        <v>0</v>
      </c>
      <c r="S207" s="13">
        <f t="shared" si="51"/>
        <v>3.5225048923679062E-3</v>
      </c>
    </row>
    <row r="208" spans="1:19" x14ac:dyDescent="0.3">
      <c r="A208" s="4">
        <v>45256</v>
      </c>
      <c r="B208" s="2">
        <v>8</v>
      </c>
      <c r="C208" s="2">
        <v>17</v>
      </c>
      <c r="D208" s="2">
        <v>14</v>
      </c>
      <c r="E208">
        <v>2532</v>
      </c>
      <c r="F208">
        <v>15</v>
      </c>
      <c r="G208" s="2">
        <f t="shared" si="39"/>
        <v>2549</v>
      </c>
      <c r="H208">
        <f t="shared" si="40"/>
        <v>2517</v>
      </c>
      <c r="I208" s="13">
        <f t="shared" si="41"/>
        <v>4.5292014302741358E-2</v>
      </c>
      <c r="J208" t="str">
        <f t="shared" si="42"/>
        <v>Backlog</v>
      </c>
      <c r="K208" s="13">
        <f t="shared" si="43"/>
        <v>0.98744605727736368</v>
      </c>
      <c r="L208" s="13">
        <f t="shared" si="44"/>
        <v>6.9121224009415458</v>
      </c>
      <c r="M208" s="13">
        <f t="shared" si="45"/>
        <v>29.62338171832091</v>
      </c>
      <c r="N208" t="b">
        <f t="shared" si="46"/>
        <v>1</v>
      </c>
      <c r="O208">
        <f t="shared" si="47"/>
        <v>48</v>
      </c>
      <c r="P208" s="13">
        <f t="shared" si="48"/>
        <v>0.96617867756491904</v>
      </c>
      <c r="Q208" s="13">
        <f t="shared" si="49"/>
        <v>0.97549003793873079</v>
      </c>
      <c r="R208" s="15" t="str">
        <f t="shared" si="50"/>
        <v>STRAIN</v>
      </c>
      <c r="S208" s="13">
        <f t="shared" si="51"/>
        <v>5.8846606512357787E-3</v>
      </c>
    </row>
    <row r="209" spans="1:19" x14ac:dyDescent="0.3">
      <c r="A209" s="4">
        <v>45257</v>
      </c>
      <c r="B209" s="2">
        <v>15</v>
      </c>
      <c r="C209" s="2">
        <v>10</v>
      </c>
      <c r="D209" s="2">
        <v>23</v>
      </c>
      <c r="E209">
        <v>2703</v>
      </c>
      <c r="F209">
        <v>72</v>
      </c>
      <c r="G209" s="2">
        <f t="shared" si="39"/>
        <v>2713</v>
      </c>
      <c r="H209">
        <f t="shared" si="40"/>
        <v>2631</v>
      </c>
      <c r="I209" s="13">
        <f t="shared" si="41"/>
        <v>2.0904599011782592E-2</v>
      </c>
      <c r="J209" t="str">
        <f t="shared" si="42"/>
        <v>Backlog</v>
      </c>
      <c r="K209" s="13">
        <f t="shared" si="43"/>
        <v>0.9697751566531515</v>
      </c>
      <c r="L209" s="13">
        <f t="shared" si="44"/>
        <v>6.7884260965720609</v>
      </c>
      <c r="M209" s="13">
        <f t="shared" si="45"/>
        <v>29.093254699594546</v>
      </c>
      <c r="N209" t="b">
        <f t="shared" si="46"/>
        <v>0</v>
      </c>
      <c r="O209">
        <f t="shared" si="47"/>
        <v>48</v>
      </c>
      <c r="P209" s="13">
        <f t="shared" si="48"/>
        <v>0.96384127646247475</v>
      </c>
      <c r="Q209" s="13">
        <f t="shared" si="49"/>
        <v>0.96679348906240203</v>
      </c>
      <c r="R209" s="15" t="str">
        <f t="shared" si="50"/>
        <v>STRAIN</v>
      </c>
      <c r="S209" s="13">
        <f t="shared" si="51"/>
        <v>2.6538886841135274E-2</v>
      </c>
    </row>
    <row r="210" spans="1:19" x14ac:dyDescent="0.3">
      <c r="A210" s="4">
        <v>45258</v>
      </c>
      <c r="B210" s="2">
        <v>16</v>
      </c>
      <c r="C210" s="2">
        <v>20</v>
      </c>
      <c r="D210" s="2">
        <v>20</v>
      </c>
      <c r="E210">
        <v>2752</v>
      </c>
      <c r="F210">
        <v>66</v>
      </c>
      <c r="G210" s="2">
        <f t="shared" si="39"/>
        <v>2772</v>
      </c>
      <c r="H210">
        <f t="shared" si="40"/>
        <v>2686</v>
      </c>
      <c r="I210" s="13">
        <f t="shared" si="41"/>
        <v>2.3454951600893521E-2</v>
      </c>
      <c r="J210" t="str">
        <f t="shared" si="42"/>
        <v>Backlog</v>
      </c>
      <c r="K210" s="13">
        <f t="shared" si="43"/>
        <v>0.96897546897546893</v>
      </c>
      <c r="L210" s="13">
        <f t="shared" si="44"/>
        <v>6.7828282828282829</v>
      </c>
      <c r="M210" s="13">
        <f t="shared" si="45"/>
        <v>29.069264069264069</v>
      </c>
      <c r="N210" t="b">
        <f t="shared" si="46"/>
        <v>0</v>
      </c>
      <c r="O210">
        <f t="shared" si="47"/>
        <v>48</v>
      </c>
      <c r="P210" s="13">
        <f t="shared" si="48"/>
        <v>0.96573590325421554</v>
      </c>
      <c r="Q210" s="13">
        <f t="shared" si="49"/>
        <v>0.96313035432636762</v>
      </c>
      <c r="R210" s="15" t="str">
        <f t="shared" si="50"/>
        <v>STRAIN</v>
      </c>
      <c r="S210" s="13">
        <f t="shared" si="51"/>
        <v>2.3809523809523808E-2</v>
      </c>
    </row>
    <row r="211" spans="1:19" x14ac:dyDescent="0.3">
      <c r="A211" s="4">
        <v>45259</v>
      </c>
      <c r="B211" s="2">
        <v>11</v>
      </c>
      <c r="C211" s="2">
        <v>22</v>
      </c>
      <c r="D211" s="2">
        <v>12</v>
      </c>
      <c r="E211">
        <v>2799</v>
      </c>
      <c r="F211">
        <v>50</v>
      </c>
      <c r="G211" s="2">
        <f t="shared" si="39"/>
        <v>2821</v>
      </c>
      <c r="H211">
        <f t="shared" si="40"/>
        <v>2749</v>
      </c>
      <c r="I211" s="13">
        <f t="shared" si="41"/>
        <v>8.0029101491451444E-3</v>
      </c>
      <c r="J211" t="str">
        <f t="shared" si="42"/>
        <v>Backlog</v>
      </c>
      <c r="K211" s="13">
        <f t="shared" si="43"/>
        <v>0.97447713576745831</v>
      </c>
      <c r="L211" s="13">
        <f t="shared" si="44"/>
        <v>6.8213399503722085</v>
      </c>
      <c r="M211" s="13">
        <f t="shared" si="45"/>
        <v>29.23431407302375</v>
      </c>
      <c r="N211" t="b">
        <f t="shared" si="46"/>
        <v>1</v>
      </c>
      <c r="O211">
        <f t="shared" si="47"/>
        <v>48</v>
      </c>
      <c r="P211" s="13">
        <f t="shared" si="48"/>
        <v>0.96592186254730228</v>
      </c>
      <c r="Q211" s="13">
        <f t="shared" si="49"/>
        <v>0.96009504505055121</v>
      </c>
      <c r="R211" s="15" t="str">
        <f t="shared" si="50"/>
        <v>STRAIN</v>
      </c>
      <c r="S211" s="13">
        <f t="shared" si="51"/>
        <v>1.7724211272598371E-2</v>
      </c>
    </row>
    <row r="212" spans="1:19" x14ac:dyDescent="0.3">
      <c r="A212" s="4">
        <v>45260</v>
      </c>
      <c r="B212" s="2">
        <v>16</v>
      </c>
      <c r="C212" s="2">
        <v>18</v>
      </c>
      <c r="D212" s="2">
        <v>15</v>
      </c>
      <c r="E212">
        <v>2834</v>
      </c>
      <c r="F212">
        <v>63</v>
      </c>
      <c r="G212" s="2">
        <f t="shared" si="39"/>
        <v>2852</v>
      </c>
      <c r="H212">
        <f t="shared" si="40"/>
        <v>2771</v>
      </c>
      <c r="I212" s="13">
        <f t="shared" si="41"/>
        <v>2.88704438830747E-3</v>
      </c>
      <c r="J212" t="str">
        <f t="shared" si="42"/>
        <v>Backlog</v>
      </c>
      <c r="K212" s="13">
        <f t="shared" si="43"/>
        <v>0.97159887798036471</v>
      </c>
      <c r="L212" s="13">
        <f t="shared" si="44"/>
        <v>6.8011921458625526</v>
      </c>
      <c r="M212" s="13">
        <f t="shared" si="45"/>
        <v>29.147966339410942</v>
      </c>
      <c r="N212" t="b">
        <f t="shared" si="46"/>
        <v>1</v>
      </c>
      <c r="O212">
        <f t="shared" si="47"/>
        <v>48</v>
      </c>
      <c r="P212" s="13">
        <f t="shared" si="48"/>
        <v>0.95869530204296405</v>
      </c>
      <c r="Q212" s="13">
        <f t="shared" si="49"/>
        <v>0.95928751394759293</v>
      </c>
      <c r="R212" s="15" t="str">
        <f t="shared" si="50"/>
        <v>STRAIN</v>
      </c>
      <c r="S212" s="13">
        <f t="shared" si="51"/>
        <v>2.2089761570827489E-2</v>
      </c>
    </row>
    <row r="213" spans="1:19" x14ac:dyDescent="0.3">
      <c r="A213" s="4">
        <v>45263</v>
      </c>
      <c r="B213" s="2">
        <v>15</v>
      </c>
      <c r="C213" s="2">
        <v>13</v>
      </c>
      <c r="D213" s="2">
        <v>23</v>
      </c>
      <c r="E213">
        <v>2878</v>
      </c>
      <c r="F213">
        <v>99</v>
      </c>
      <c r="G213" s="2">
        <f t="shared" si="39"/>
        <v>2891</v>
      </c>
      <c r="H213">
        <f t="shared" si="40"/>
        <v>2779</v>
      </c>
      <c r="I213" s="13">
        <f t="shared" si="41"/>
        <v>9.2479309103994239E-2</v>
      </c>
      <c r="J213" t="str">
        <f t="shared" si="42"/>
        <v>Backlog</v>
      </c>
      <c r="K213" s="13">
        <f t="shared" si="43"/>
        <v>0.96125907990314774</v>
      </c>
      <c r="L213" s="13">
        <f t="shared" si="44"/>
        <v>6.7288135593220346</v>
      </c>
      <c r="M213" s="13">
        <f t="shared" si="45"/>
        <v>28.837772397094433</v>
      </c>
      <c r="N213" t="b">
        <f t="shared" si="46"/>
        <v>0</v>
      </c>
      <c r="O213">
        <f t="shared" si="47"/>
        <v>49</v>
      </c>
      <c r="P213" s="13">
        <f t="shared" si="48"/>
        <v>0.95528275558839604</v>
      </c>
      <c r="Q213" s="13">
        <f t="shared" si="49"/>
        <v>0.9619340684102361</v>
      </c>
      <c r="R213" s="15" t="str">
        <f t="shared" si="50"/>
        <v>STRAIN</v>
      </c>
      <c r="S213" s="13">
        <f t="shared" si="51"/>
        <v>3.4244206157039089E-2</v>
      </c>
    </row>
    <row r="214" spans="1:19" x14ac:dyDescent="0.3">
      <c r="A214" s="4">
        <v>45264</v>
      </c>
      <c r="B214" s="2">
        <v>25</v>
      </c>
      <c r="C214" s="2">
        <v>32</v>
      </c>
      <c r="D214" s="2">
        <v>27</v>
      </c>
      <c r="E214">
        <v>3181</v>
      </c>
      <c r="F214">
        <v>145</v>
      </c>
      <c r="G214" s="2">
        <f t="shared" si="39"/>
        <v>3213</v>
      </c>
      <c r="H214">
        <f t="shared" si="40"/>
        <v>3036</v>
      </c>
      <c r="I214" s="13">
        <f t="shared" si="41"/>
        <v>4.9407114624505928E-2</v>
      </c>
      <c r="J214" t="str">
        <f t="shared" si="42"/>
        <v>Backlog</v>
      </c>
      <c r="K214" s="13">
        <f t="shared" si="43"/>
        <v>0.9449112978524743</v>
      </c>
      <c r="L214" s="13">
        <f t="shared" si="44"/>
        <v>6.6143790849673199</v>
      </c>
      <c r="M214" s="13">
        <f t="shared" si="45"/>
        <v>28.347338935574228</v>
      </c>
      <c r="N214" t="b">
        <f t="shared" si="46"/>
        <v>1</v>
      </c>
      <c r="O214">
        <f t="shared" si="47"/>
        <v>49</v>
      </c>
      <c r="P214" s="13">
        <f t="shared" si="48"/>
        <v>0.95422265822628605</v>
      </c>
      <c r="Q214" s="13">
        <f t="shared" si="49"/>
        <v>0.96014346194793998</v>
      </c>
      <c r="R214" s="15" t="str">
        <f t="shared" si="50"/>
        <v>STRAIN</v>
      </c>
      <c r="S214" s="13">
        <f t="shared" si="51"/>
        <v>4.5129162776221601E-2</v>
      </c>
    </row>
    <row r="215" spans="1:19" x14ac:dyDescent="0.3">
      <c r="A215" s="4">
        <v>45265</v>
      </c>
      <c r="B215" s="2">
        <v>26</v>
      </c>
      <c r="C215" s="2">
        <v>36</v>
      </c>
      <c r="D215" s="2">
        <v>36</v>
      </c>
      <c r="E215">
        <v>3290</v>
      </c>
      <c r="F215">
        <v>104</v>
      </c>
      <c r="G215" s="2">
        <f t="shared" si="39"/>
        <v>3326</v>
      </c>
      <c r="H215">
        <f t="shared" si="40"/>
        <v>3186</v>
      </c>
      <c r="I215" s="13">
        <f t="shared" si="41"/>
        <v>3.1073446327683617E-2</v>
      </c>
      <c r="J215" t="str">
        <f t="shared" si="42"/>
        <v>Backlog</v>
      </c>
      <c r="K215" s="13">
        <f t="shared" si="43"/>
        <v>0.957907396271798</v>
      </c>
      <c r="L215" s="13">
        <f t="shared" si="44"/>
        <v>6.7053517739025859</v>
      </c>
      <c r="M215" s="13">
        <f t="shared" si="45"/>
        <v>28.73722188815394</v>
      </c>
      <c r="N215" t="b">
        <f t="shared" si="46"/>
        <v>0</v>
      </c>
      <c r="O215">
        <f t="shared" si="47"/>
        <v>49</v>
      </c>
      <c r="P215" s="13">
        <f t="shared" si="48"/>
        <v>0.96085960887172528</v>
      </c>
      <c r="Q215" s="13">
        <f t="shared" si="49"/>
        <v>0.9531967595320302</v>
      </c>
      <c r="R215" s="15" t="str">
        <f t="shared" si="50"/>
        <v>STRAIN</v>
      </c>
      <c r="S215" s="13">
        <f t="shared" si="51"/>
        <v>3.1268791340950092E-2</v>
      </c>
    </row>
    <row r="216" spans="1:19" x14ac:dyDescent="0.3">
      <c r="A216" s="4">
        <v>45266</v>
      </c>
      <c r="B216" s="2">
        <v>34</v>
      </c>
      <c r="C216" s="2">
        <v>54</v>
      </c>
      <c r="D216" s="2">
        <v>29</v>
      </c>
      <c r="E216">
        <v>3359</v>
      </c>
      <c r="F216">
        <v>74</v>
      </c>
      <c r="G216" s="2">
        <f t="shared" si="39"/>
        <v>3413</v>
      </c>
      <c r="H216">
        <f t="shared" si="40"/>
        <v>3285</v>
      </c>
      <c r="I216" s="13">
        <f t="shared" si="41"/>
        <v>4.8706240487062409E-3</v>
      </c>
      <c r="J216" t="str">
        <f t="shared" si="42"/>
        <v>Backlog</v>
      </c>
      <c r="K216" s="13">
        <f t="shared" si="43"/>
        <v>0.96249633753296215</v>
      </c>
      <c r="L216" s="13">
        <f t="shared" si="44"/>
        <v>6.737474362730735</v>
      </c>
      <c r="M216" s="13">
        <f t="shared" si="45"/>
        <v>28.874890125988866</v>
      </c>
      <c r="N216" t="b">
        <f t="shared" si="46"/>
        <v>1</v>
      </c>
      <c r="O216">
        <f t="shared" si="47"/>
        <v>49</v>
      </c>
      <c r="P216" s="13">
        <f t="shared" si="48"/>
        <v>0.95989078860511423</v>
      </c>
      <c r="Q216" s="13">
        <f t="shared" si="49"/>
        <v>0.9469385453355188</v>
      </c>
      <c r="R216" s="15" t="str">
        <f t="shared" si="50"/>
        <v>STRAIN</v>
      </c>
      <c r="S216" s="13">
        <f t="shared" si="51"/>
        <v>2.1681804863756225E-2</v>
      </c>
    </row>
    <row r="217" spans="1:19" x14ac:dyDescent="0.3">
      <c r="A217" s="4">
        <v>45267</v>
      </c>
      <c r="B217" s="2">
        <v>23</v>
      </c>
      <c r="C217" s="2">
        <v>45</v>
      </c>
      <c r="D217" s="2">
        <v>11</v>
      </c>
      <c r="E217">
        <v>3403</v>
      </c>
      <c r="F217">
        <v>102</v>
      </c>
      <c r="G217" s="2">
        <f t="shared" si="39"/>
        <v>3448</v>
      </c>
      <c r="H217">
        <f t="shared" si="40"/>
        <v>3301</v>
      </c>
      <c r="I217" s="13">
        <f t="shared" si="41"/>
        <v>4.2411390487730989E-3</v>
      </c>
      <c r="J217" t="str">
        <f t="shared" si="42"/>
        <v>Backlog</v>
      </c>
      <c r="K217" s="13">
        <f t="shared" si="43"/>
        <v>0.95736658932714613</v>
      </c>
      <c r="L217" s="13">
        <f t="shared" si="44"/>
        <v>6.7015661252900234</v>
      </c>
      <c r="M217" s="13">
        <f t="shared" si="45"/>
        <v>28.720997679814385</v>
      </c>
      <c r="N217" t="b">
        <f t="shared" si="46"/>
        <v>1</v>
      </c>
      <c r="O217">
        <f t="shared" si="47"/>
        <v>49</v>
      </c>
      <c r="P217" s="13">
        <f t="shared" si="48"/>
        <v>0.95153977183039506</v>
      </c>
      <c r="Q217" s="13">
        <f t="shared" si="49"/>
        <v>0.94372170317253512</v>
      </c>
      <c r="R217" s="15" t="str">
        <f t="shared" si="50"/>
        <v>STRAIN</v>
      </c>
      <c r="S217" s="13">
        <f t="shared" si="51"/>
        <v>2.9582366589327145E-2</v>
      </c>
    </row>
    <row r="218" spans="1:19" x14ac:dyDescent="0.3">
      <c r="A218" s="4">
        <v>45270</v>
      </c>
      <c r="B218" s="2">
        <v>20</v>
      </c>
      <c r="C218" s="2">
        <v>22</v>
      </c>
      <c r="D218" s="2">
        <v>41</v>
      </c>
      <c r="E218">
        <v>3483</v>
      </c>
      <c r="F218">
        <v>168</v>
      </c>
      <c r="G218" s="2">
        <f t="shared" si="39"/>
        <v>3505</v>
      </c>
      <c r="H218">
        <f t="shared" si="40"/>
        <v>3315</v>
      </c>
      <c r="I218" s="13">
        <f t="shared" si="41"/>
        <v>0.13544494720965308</v>
      </c>
      <c r="J218" t="str">
        <f t="shared" si="42"/>
        <v>Backlog</v>
      </c>
      <c r="K218" s="13">
        <f t="shared" si="43"/>
        <v>0.9457917261055635</v>
      </c>
      <c r="L218" s="13">
        <f t="shared" si="44"/>
        <v>6.620542082738945</v>
      </c>
      <c r="M218" s="13">
        <f t="shared" si="45"/>
        <v>28.373751783166906</v>
      </c>
      <c r="N218" t="b">
        <f t="shared" si="46"/>
        <v>0</v>
      </c>
      <c r="O218">
        <f t="shared" si="47"/>
        <v>50</v>
      </c>
      <c r="P218" s="13">
        <f t="shared" si="48"/>
        <v>0.94638393801019238</v>
      </c>
      <c r="Q218" s="13">
        <f t="shared" si="49"/>
        <v>0.94071422435584195</v>
      </c>
      <c r="R218" s="15" t="str">
        <f t="shared" si="50"/>
        <v>STRAIN</v>
      </c>
      <c r="S218" s="13">
        <f t="shared" si="51"/>
        <v>4.7931526390870186E-2</v>
      </c>
    </row>
    <row r="219" spans="1:19" x14ac:dyDescent="0.3">
      <c r="A219" s="4">
        <v>45271</v>
      </c>
      <c r="B219" s="2">
        <v>47</v>
      </c>
      <c r="C219" s="2">
        <v>42</v>
      </c>
      <c r="D219" s="2">
        <v>47</v>
      </c>
      <c r="E219">
        <v>3923</v>
      </c>
      <c r="F219">
        <v>159</v>
      </c>
      <c r="G219" s="2">
        <f t="shared" si="39"/>
        <v>3965</v>
      </c>
      <c r="H219">
        <f t="shared" si="40"/>
        <v>3764</v>
      </c>
      <c r="I219" s="13">
        <f t="shared" si="41"/>
        <v>4.5961742826780019E-2</v>
      </c>
      <c r="J219" t="str">
        <f t="shared" si="42"/>
        <v>Backlog</v>
      </c>
      <c r="K219" s="13">
        <f t="shared" si="43"/>
        <v>0.94930643127364434</v>
      </c>
      <c r="L219" s="13">
        <f t="shared" si="44"/>
        <v>6.6451450189155103</v>
      </c>
      <c r="M219" s="13">
        <f t="shared" si="45"/>
        <v>28.47919293820933</v>
      </c>
      <c r="N219" t="b">
        <f t="shared" si="46"/>
        <v>0</v>
      </c>
      <c r="O219">
        <f t="shared" si="47"/>
        <v>50</v>
      </c>
      <c r="P219" s="13">
        <f t="shared" si="48"/>
        <v>0.9559577440954844</v>
      </c>
      <c r="Q219" s="13">
        <f t="shared" si="49"/>
        <v>0.94877248349747956</v>
      </c>
      <c r="R219" s="15" t="str">
        <f t="shared" si="50"/>
        <v>STRAIN</v>
      </c>
      <c r="S219" s="13">
        <f t="shared" si="51"/>
        <v>4.0100882723833546E-2</v>
      </c>
    </row>
    <row r="220" spans="1:19" x14ac:dyDescent="0.3">
      <c r="A220" s="4">
        <v>45272</v>
      </c>
      <c r="B220" s="2">
        <v>32</v>
      </c>
      <c r="C220" s="2">
        <v>50</v>
      </c>
      <c r="D220" s="2">
        <v>39</v>
      </c>
      <c r="E220">
        <v>4036</v>
      </c>
      <c r="F220">
        <v>99</v>
      </c>
      <c r="G220" s="2">
        <f t="shared" si="39"/>
        <v>4086</v>
      </c>
      <c r="H220">
        <f t="shared" si="40"/>
        <v>3937</v>
      </c>
      <c r="I220" s="13">
        <f t="shared" si="41"/>
        <v>1.4732029464058927E-2</v>
      </c>
      <c r="J220" t="str">
        <f t="shared" si="42"/>
        <v>Backlog</v>
      </c>
      <c r="K220" s="13">
        <f t="shared" si="43"/>
        <v>0.96353401860009791</v>
      </c>
      <c r="L220" s="13">
        <f t="shared" si="44"/>
        <v>6.7447381302006857</v>
      </c>
      <c r="M220" s="13">
        <f t="shared" si="45"/>
        <v>28.906020558002936</v>
      </c>
      <c r="N220" t="b">
        <f t="shared" si="46"/>
        <v>1</v>
      </c>
      <c r="O220">
        <f t="shared" si="47"/>
        <v>50</v>
      </c>
      <c r="P220" s="13">
        <f t="shared" si="48"/>
        <v>0.96945482232175184</v>
      </c>
      <c r="Q220" s="13">
        <f t="shared" si="49"/>
        <v>0.95367492970582346</v>
      </c>
      <c r="R220" s="15" t="str">
        <f t="shared" si="50"/>
        <v>STRAIN</v>
      </c>
      <c r="S220" s="13">
        <f t="shared" si="51"/>
        <v>2.4229074889867842E-2</v>
      </c>
    </row>
    <row r="221" spans="1:19" x14ac:dyDescent="0.3">
      <c r="A221" s="4">
        <v>45273</v>
      </c>
      <c r="B221" s="2">
        <v>32</v>
      </c>
      <c r="C221" s="2">
        <v>49</v>
      </c>
      <c r="D221" s="2">
        <v>39</v>
      </c>
      <c r="E221">
        <v>4096</v>
      </c>
      <c r="F221">
        <v>101</v>
      </c>
      <c r="G221" s="2">
        <f t="shared" si="39"/>
        <v>4145</v>
      </c>
      <c r="H221">
        <f t="shared" si="40"/>
        <v>3995</v>
      </c>
      <c r="I221" s="13">
        <f t="shared" si="41"/>
        <v>9.7622027534418031E-3</v>
      </c>
      <c r="J221" t="str">
        <f t="shared" si="42"/>
        <v>Backlog</v>
      </c>
      <c r="K221" s="13">
        <f t="shared" si="43"/>
        <v>0.96381182147165256</v>
      </c>
      <c r="L221" s="13">
        <f t="shared" si="44"/>
        <v>6.7466827503015683</v>
      </c>
      <c r="M221" s="13">
        <f t="shared" si="45"/>
        <v>28.914354644149576</v>
      </c>
      <c r="N221" t="b">
        <f t="shared" si="46"/>
        <v>1</v>
      </c>
      <c r="O221">
        <f t="shared" si="47"/>
        <v>50</v>
      </c>
      <c r="P221" s="13">
        <f t="shared" si="48"/>
        <v>0.95614897213195749</v>
      </c>
      <c r="Q221" s="13">
        <f t="shared" si="49"/>
        <v>0.9493746306588291</v>
      </c>
      <c r="R221" s="15" t="str">
        <f t="shared" si="50"/>
        <v>STRAIN</v>
      </c>
      <c r="S221" s="13">
        <f t="shared" si="51"/>
        <v>2.4366706875753919E-2</v>
      </c>
    </row>
    <row r="222" spans="1:19" x14ac:dyDescent="0.3">
      <c r="A222" s="4">
        <v>45274</v>
      </c>
      <c r="B222" s="2">
        <v>33</v>
      </c>
      <c r="C222" s="2">
        <v>53</v>
      </c>
      <c r="D222" s="2">
        <v>34</v>
      </c>
      <c r="E222">
        <v>4161</v>
      </c>
      <c r="F222">
        <v>127</v>
      </c>
      <c r="G222" s="2">
        <f t="shared" si="39"/>
        <v>4214</v>
      </c>
      <c r="H222">
        <f t="shared" si="40"/>
        <v>4034</v>
      </c>
      <c r="I222" s="13">
        <f t="shared" si="41"/>
        <v>6.1973227565691623E-3</v>
      </c>
      <c r="J222" t="str">
        <f t="shared" si="42"/>
        <v>Backlog</v>
      </c>
      <c r="K222" s="13">
        <f t="shared" si="43"/>
        <v>0.95728523967726631</v>
      </c>
      <c r="L222" s="13">
        <f t="shared" si="44"/>
        <v>6.7009966777408643</v>
      </c>
      <c r="M222" s="13">
        <f t="shared" si="45"/>
        <v>28.718557190317988</v>
      </c>
      <c r="N222" t="b">
        <f t="shared" si="46"/>
        <v>1</v>
      </c>
      <c r="O222">
        <f t="shared" si="47"/>
        <v>50</v>
      </c>
      <c r="P222" s="13">
        <f t="shared" si="48"/>
        <v>0.94433299640767077</v>
      </c>
      <c r="Q222" s="13">
        <f t="shared" si="49"/>
        <v>0.95663510507749527</v>
      </c>
      <c r="R222" s="15" t="str">
        <f t="shared" si="50"/>
        <v>STRAIN</v>
      </c>
      <c r="S222" s="13">
        <f t="shared" si="51"/>
        <v>3.0137636449928808E-2</v>
      </c>
    </row>
    <row r="223" spans="1:19" x14ac:dyDescent="0.3">
      <c r="A223" s="4">
        <v>45277</v>
      </c>
      <c r="B223" s="2">
        <v>29</v>
      </c>
      <c r="C223" s="2">
        <v>51</v>
      </c>
      <c r="D223" s="2">
        <v>11</v>
      </c>
      <c r="E223">
        <v>4241</v>
      </c>
      <c r="F223">
        <v>182</v>
      </c>
      <c r="G223" s="2">
        <f t="shared" si="39"/>
        <v>4292</v>
      </c>
      <c r="H223">
        <f t="shared" si="40"/>
        <v>4059</v>
      </c>
      <c r="I223" s="13">
        <f t="shared" si="41"/>
        <v>9.5590046809559001E-2</v>
      </c>
      <c r="J223" t="str">
        <f t="shared" si="42"/>
        <v>Backlog</v>
      </c>
      <c r="K223" s="13">
        <f t="shared" si="43"/>
        <v>0.945712954333644</v>
      </c>
      <c r="L223" s="13">
        <f t="shared" si="44"/>
        <v>6.6199906803355084</v>
      </c>
      <c r="M223" s="13">
        <f t="shared" si="45"/>
        <v>28.371388630009321</v>
      </c>
      <c r="N223" t="b">
        <f t="shared" si="46"/>
        <v>1</v>
      </c>
      <c r="O223">
        <f t="shared" si="47"/>
        <v>51</v>
      </c>
      <c r="P223" s="13">
        <f t="shared" si="48"/>
        <v>0.93789488567578405</v>
      </c>
      <c r="Q223" s="13">
        <f t="shared" si="49"/>
        <v>0.94963747980534441</v>
      </c>
      <c r="R223" s="15" t="str">
        <f t="shared" si="50"/>
        <v>STRAIN</v>
      </c>
      <c r="S223" s="13">
        <f t="shared" si="51"/>
        <v>4.2404473438956196E-2</v>
      </c>
    </row>
    <row r="224" spans="1:19" x14ac:dyDescent="0.3">
      <c r="A224" s="4">
        <v>45278</v>
      </c>
      <c r="B224" s="2">
        <v>91</v>
      </c>
      <c r="C224" s="2">
        <v>75</v>
      </c>
      <c r="D224" s="2">
        <v>97</v>
      </c>
      <c r="E224">
        <v>4621</v>
      </c>
      <c r="F224">
        <v>174</v>
      </c>
      <c r="G224" s="2">
        <f t="shared" si="39"/>
        <v>4696</v>
      </c>
      <c r="H224">
        <f t="shared" si="40"/>
        <v>4447</v>
      </c>
      <c r="I224" s="13">
        <f t="shared" si="41"/>
        <v>4.2050820778052618E-2</v>
      </c>
      <c r="J224" t="str">
        <f t="shared" si="42"/>
        <v>Backlog</v>
      </c>
      <c r="K224" s="13">
        <f t="shared" si="43"/>
        <v>0.94697614991482115</v>
      </c>
      <c r="L224" s="13">
        <f t="shared" si="44"/>
        <v>6.628833049403748</v>
      </c>
      <c r="M224" s="13">
        <f t="shared" si="45"/>
        <v>28.409284497444634</v>
      </c>
      <c r="N224" t="b">
        <f t="shared" si="46"/>
        <v>0</v>
      </c>
      <c r="O224">
        <f t="shared" si="47"/>
        <v>51</v>
      </c>
      <c r="P224" s="13">
        <f t="shared" si="48"/>
        <v>0.94130643626047084</v>
      </c>
      <c r="Q224" s="13">
        <f t="shared" si="49"/>
        <v>0.95482233005592421</v>
      </c>
      <c r="R224" s="15" t="str">
        <f t="shared" si="50"/>
        <v>STRAIN</v>
      </c>
      <c r="S224" s="13">
        <f t="shared" si="51"/>
        <v>3.7052810902896083E-2</v>
      </c>
    </row>
    <row r="225" spans="1:19" x14ac:dyDescent="0.3">
      <c r="A225" s="4">
        <v>45279</v>
      </c>
      <c r="B225" s="2">
        <v>62</v>
      </c>
      <c r="C225" s="2">
        <v>97</v>
      </c>
      <c r="D225" s="2">
        <v>52</v>
      </c>
      <c r="E225">
        <v>4717</v>
      </c>
      <c r="F225">
        <v>83</v>
      </c>
      <c r="G225" s="2">
        <f t="shared" si="39"/>
        <v>4814</v>
      </c>
      <c r="H225">
        <f t="shared" si="40"/>
        <v>4634</v>
      </c>
      <c r="I225" s="13">
        <f t="shared" si="41"/>
        <v>8.6318515321536469E-3</v>
      </c>
      <c r="J225" t="str">
        <f t="shared" si="42"/>
        <v>Backlog</v>
      </c>
      <c r="K225" s="13">
        <f t="shared" si="43"/>
        <v>0.96260905691732446</v>
      </c>
      <c r="L225" s="13">
        <f t="shared" si="44"/>
        <v>6.738263398421271</v>
      </c>
      <c r="M225" s="13">
        <f t="shared" si="45"/>
        <v>28.878271707519733</v>
      </c>
      <c r="N225" t="b">
        <f t="shared" si="46"/>
        <v>1</v>
      </c>
      <c r="O225">
        <f t="shared" si="47"/>
        <v>51</v>
      </c>
      <c r="P225" s="13">
        <f t="shared" si="48"/>
        <v>0.95542379631931951</v>
      </c>
      <c r="Q225" s="13">
        <f t="shared" si="49"/>
        <v>0.95986002682888016</v>
      </c>
      <c r="R225" s="15" t="str">
        <f t="shared" si="50"/>
        <v>STRAIN</v>
      </c>
      <c r="S225" s="13">
        <f t="shared" si="51"/>
        <v>1.7241379310344827E-2</v>
      </c>
    </row>
    <row r="226" spans="1:19" x14ac:dyDescent="0.3">
      <c r="A226" s="4">
        <v>45280</v>
      </c>
      <c r="B226" s="2">
        <v>59</v>
      </c>
      <c r="C226" s="2">
        <v>64</v>
      </c>
      <c r="D226" s="2">
        <v>117</v>
      </c>
      <c r="E226">
        <v>4728</v>
      </c>
      <c r="F226">
        <v>54</v>
      </c>
      <c r="G226" s="2">
        <f t="shared" si="39"/>
        <v>4792</v>
      </c>
      <c r="H226">
        <f t="shared" si="40"/>
        <v>4674</v>
      </c>
      <c r="I226" s="13">
        <f t="shared" si="41"/>
        <v>-3.4873769790329481E-2</v>
      </c>
      <c r="J226" t="str">
        <f t="shared" si="42"/>
        <v>No Backlog</v>
      </c>
      <c r="K226" s="13">
        <f t="shared" si="43"/>
        <v>0.97537562604340566</v>
      </c>
      <c r="L226" s="13">
        <f t="shared" si="44"/>
        <v>6.8276293823038401</v>
      </c>
      <c r="M226" s="13">
        <f t="shared" si="45"/>
        <v>29.261268781302171</v>
      </c>
      <c r="N226" t="b">
        <f t="shared" si="46"/>
        <v>0</v>
      </c>
      <c r="O226">
        <f t="shared" si="47"/>
        <v>51</v>
      </c>
      <c r="P226" s="13">
        <f t="shared" si="48"/>
        <v>0.95959573342747739</v>
      </c>
      <c r="Q226" s="13">
        <f t="shared" si="49"/>
        <v>0.96602534450784894</v>
      </c>
      <c r="R226" s="15" t="b">
        <f t="shared" si="50"/>
        <v>0</v>
      </c>
      <c r="S226" s="13">
        <f t="shared" si="51"/>
        <v>1.1268781302170284E-2</v>
      </c>
    </row>
    <row r="227" spans="1:19" x14ac:dyDescent="0.3">
      <c r="A227" s="4">
        <v>45281</v>
      </c>
      <c r="B227" s="2">
        <v>84</v>
      </c>
      <c r="C227" s="2">
        <v>118</v>
      </c>
      <c r="D227" s="2">
        <v>136</v>
      </c>
      <c r="E227">
        <v>4638</v>
      </c>
      <c r="F227">
        <v>127</v>
      </c>
      <c r="G227" s="2">
        <f t="shared" si="39"/>
        <v>4756</v>
      </c>
      <c r="H227">
        <f t="shared" si="40"/>
        <v>4511</v>
      </c>
      <c r="I227" s="13">
        <f t="shared" si="41"/>
        <v>-1.3079139880292618E-2</v>
      </c>
      <c r="J227" t="str">
        <f t="shared" si="42"/>
        <v>No Backlog</v>
      </c>
      <c r="K227" s="13">
        <f t="shared" si="43"/>
        <v>0.94848612279226241</v>
      </c>
      <c r="L227" s="13">
        <f t="shared" si="44"/>
        <v>6.6394028595458368</v>
      </c>
      <c r="M227" s="13">
        <f t="shared" si="45"/>
        <v>28.454583683767872</v>
      </c>
      <c r="N227" t="b">
        <f t="shared" si="46"/>
        <v>0</v>
      </c>
      <c r="O227">
        <f t="shared" si="47"/>
        <v>51</v>
      </c>
      <c r="P227" s="13">
        <f t="shared" si="48"/>
        <v>0.94171178131913402</v>
      </c>
      <c r="Q227" s="13">
        <f t="shared" si="49"/>
        <v>0.95538106831219527</v>
      </c>
      <c r="R227" s="15" t="b">
        <f t="shared" si="50"/>
        <v>0</v>
      </c>
      <c r="S227" s="13">
        <f t="shared" si="51"/>
        <v>2.6703111858704793E-2</v>
      </c>
    </row>
    <row r="228" spans="1:19" x14ac:dyDescent="0.3">
      <c r="A228" s="4">
        <v>45285</v>
      </c>
      <c r="B228" s="2">
        <v>86</v>
      </c>
      <c r="C228" s="2">
        <v>152</v>
      </c>
      <c r="D228" s="2">
        <v>168</v>
      </c>
      <c r="E228">
        <v>4628</v>
      </c>
      <c r="F228">
        <v>176</v>
      </c>
      <c r="G228" s="2">
        <f t="shared" si="39"/>
        <v>4780</v>
      </c>
      <c r="H228">
        <f t="shared" si="40"/>
        <v>4452</v>
      </c>
      <c r="I228" s="13">
        <f t="shared" si="41"/>
        <v>6.0646900269541781E-2</v>
      </c>
      <c r="J228" t="str">
        <f t="shared" si="42"/>
        <v>Backlog</v>
      </c>
      <c r="K228" s="13">
        <f t="shared" si="43"/>
        <v>0.93138075313807533</v>
      </c>
      <c r="L228" s="13">
        <f t="shared" si="44"/>
        <v>6.5196652719665273</v>
      </c>
      <c r="M228" s="13">
        <f t="shared" si="45"/>
        <v>27.94142259414226</v>
      </c>
      <c r="N228" t="b">
        <f t="shared" si="46"/>
        <v>0</v>
      </c>
      <c r="O228">
        <f t="shared" si="47"/>
        <v>52</v>
      </c>
      <c r="P228" s="13">
        <f t="shared" si="48"/>
        <v>0.94368286180789973</v>
      </c>
      <c r="Q228" s="13">
        <f t="shared" si="49"/>
        <v>0.9494641364206835</v>
      </c>
      <c r="R228" s="15" t="str">
        <f t="shared" si="50"/>
        <v>STRAIN</v>
      </c>
      <c r="S228" s="13">
        <f t="shared" si="51"/>
        <v>3.682008368200837E-2</v>
      </c>
    </row>
    <row r="229" spans="1:19" x14ac:dyDescent="0.3">
      <c r="A229" s="4">
        <v>45286</v>
      </c>
      <c r="B229" s="2">
        <v>106</v>
      </c>
      <c r="C229" s="2">
        <v>196</v>
      </c>
      <c r="D229" s="2">
        <v>131</v>
      </c>
      <c r="E229">
        <v>4881</v>
      </c>
      <c r="F229">
        <v>159</v>
      </c>
      <c r="G229" s="2">
        <f t="shared" si="39"/>
        <v>5077</v>
      </c>
      <c r="H229">
        <f t="shared" si="40"/>
        <v>4722</v>
      </c>
      <c r="I229" s="13">
        <f t="shared" si="41"/>
        <v>3.6001694197373992E-3</v>
      </c>
      <c r="J229" t="str">
        <f t="shared" si="42"/>
        <v>Backlog</v>
      </c>
      <c r="K229" s="13">
        <f t="shared" si="43"/>
        <v>0.930076817017924</v>
      </c>
      <c r="L229" s="13">
        <f t="shared" si="44"/>
        <v>6.5105377191254679</v>
      </c>
      <c r="M229" s="13">
        <f t="shared" si="45"/>
        <v>27.902304510537721</v>
      </c>
      <c r="N229" t="b">
        <f t="shared" si="46"/>
        <v>1</v>
      </c>
      <c r="O229">
        <f t="shared" si="47"/>
        <v>52</v>
      </c>
      <c r="P229" s="13">
        <f t="shared" si="48"/>
        <v>0.94181941114748446</v>
      </c>
      <c r="Q229" s="13">
        <f t="shared" si="49"/>
        <v>0.93984930109595144</v>
      </c>
      <c r="R229" s="15" t="str">
        <f t="shared" si="50"/>
        <v>STRAIN</v>
      </c>
      <c r="S229" s="13">
        <f t="shared" si="51"/>
        <v>3.131770730746504E-2</v>
      </c>
    </row>
    <row r="230" spans="1:19" x14ac:dyDescent="0.3">
      <c r="A230" s="4">
        <v>45287</v>
      </c>
      <c r="B230" s="2">
        <v>113</v>
      </c>
      <c r="C230" s="2">
        <v>162</v>
      </c>
      <c r="D230" s="2">
        <v>107</v>
      </c>
      <c r="E230">
        <v>4903</v>
      </c>
      <c r="F230">
        <v>164</v>
      </c>
      <c r="G230" s="2">
        <f t="shared" si="39"/>
        <v>5065</v>
      </c>
      <c r="H230">
        <f t="shared" si="40"/>
        <v>4739</v>
      </c>
      <c r="I230" s="13">
        <f t="shared" si="41"/>
        <v>1.6670183583034397E-2</v>
      </c>
      <c r="J230" t="str">
        <f t="shared" si="42"/>
        <v>Backlog</v>
      </c>
      <c r="K230" s="13">
        <f t="shared" si="43"/>
        <v>0.93563672260612041</v>
      </c>
      <c r="L230" s="13">
        <f t="shared" si="44"/>
        <v>6.5494570582428429</v>
      </c>
      <c r="M230" s="13">
        <f t="shared" si="45"/>
        <v>28.069101678183614</v>
      </c>
      <c r="N230" t="b">
        <f t="shared" si="46"/>
        <v>1</v>
      </c>
      <c r="O230">
        <f t="shared" si="47"/>
        <v>52</v>
      </c>
      <c r="P230" s="13">
        <f t="shared" si="48"/>
        <v>0.94915261640157378</v>
      </c>
      <c r="Q230" s="13">
        <f t="shared" si="49"/>
        <v>0.93873019250125167</v>
      </c>
      <c r="R230" s="15" t="str">
        <f t="shared" si="50"/>
        <v>STRAIN</v>
      </c>
      <c r="S230" s="13">
        <f t="shared" si="51"/>
        <v>3.2379072063178679E-2</v>
      </c>
    </row>
    <row r="231" spans="1:19" x14ac:dyDescent="0.3">
      <c r="A231" s="4">
        <v>45288</v>
      </c>
      <c r="B231" s="2">
        <v>92</v>
      </c>
      <c r="C231" s="2">
        <v>124</v>
      </c>
      <c r="D231" s="2">
        <v>93</v>
      </c>
      <c r="E231">
        <v>4957</v>
      </c>
      <c r="F231">
        <v>139</v>
      </c>
      <c r="G231" s="2">
        <f t="shared" si="39"/>
        <v>5081</v>
      </c>
      <c r="H231">
        <f t="shared" si="40"/>
        <v>4818</v>
      </c>
      <c r="I231" s="13">
        <f t="shared" si="41"/>
        <v>4.1511000415110008E-3</v>
      </c>
      <c r="J231" t="str">
        <f t="shared" si="42"/>
        <v>Backlog</v>
      </c>
      <c r="K231" s="13">
        <f t="shared" si="43"/>
        <v>0.94823853572131467</v>
      </c>
      <c r="L231" s="13">
        <f t="shared" si="44"/>
        <v>6.637669750049203</v>
      </c>
      <c r="M231" s="13">
        <f t="shared" si="45"/>
        <v>28.447156071639441</v>
      </c>
      <c r="N231" t="b">
        <f t="shared" si="46"/>
        <v>1</v>
      </c>
      <c r="O231">
        <f t="shared" si="47"/>
        <v>52</v>
      </c>
      <c r="P231" s="13">
        <f t="shared" si="48"/>
        <v>0.95267476623087521</v>
      </c>
      <c r="Q231" s="13">
        <f t="shared" si="49"/>
        <v>0.95530245720023854</v>
      </c>
      <c r="R231" s="15" t="str">
        <f t="shared" si="50"/>
        <v>STRAIN</v>
      </c>
      <c r="S231" s="13">
        <f t="shared" si="51"/>
        <v>2.7356819523715804E-2</v>
      </c>
    </row>
    <row r="232" spans="1:19" x14ac:dyDescent="0.3">
      <c r="A232" s="4">
        <v>45292</v>
      </c>
      <c r="B232" s="2">
        <v>68</v>
      </c>
      <c r="C232" s="2">
        <v>107</v>
      </c>
      <c r="D232" s="2">
        <v>102</v>
      </c>
      <c r="E232">
        <v>5019</v>
      </c>
      <c r="F232">
        <v>181</v>
      </c>
      <c r="G232" s="2">
        <f t="shared" si="39"/>
        <v>5126</v>
      </c>
      <c r="H232">
        <f t="shared" si="40"/>
        <v>4838</v>
      </c>
      <c r="I232" s="13">
        <f t="shared" si="41"/>
        <v>3.9272426622571311E-3</v>
      </c>
      <c r="J232" t="str">
        <f t="shared" si="42"/>
        <v>Backlog</v>
      </c>
      <c r="K232" s="13">
        <f t="shared" si="43"/>
        <v>0.94381584081154901</v>
      </c>
      <c r="L232" s="13">
        <f t="shared" si="44"/>
        <v>6.606710885680843</v>
      </c>
      <c r="M232" s="13">
        <f t="shared" si="45"/>
        <v>28.31447522434647</v>
      </c>
      <c r="N232" t="b">
        <f t="shared" si="46"/>
        <v>1</v>
      </c>
      <c r="O232">
        <f t="shared" si="47"/>
        <v>1</v>
      </c>
      <c r="P232" s="13">
        <f t="shared" si="48"/>
        <v>0.95024545189192056</v>
      </c>
      <c r="Q232" s="13">
        <f t="shared" si="49"/>
        <v>0.95227574991971409</v>
      </c>
      <c r="R232" s="15" t="str">
        <f t="shared" si="50"/>
        <v>STRAIN</v>
      </c>
      <c r="S232" s="13">
        <f t="shared" si="51"/>
        <v>3.5310183378852909E-2</v>
      </c>
    </row>
    <row r="233" spans="1:19" x14ac:dyDescent="0.3">
      <c r="A233" s="4">
        <v>45293</v>
      </c>
      <c r="B233" s="2">
        <v>74</v>
      </c>
      <c r="C233" s="2">
        <v>103</v>
      </c>
      <c r="D233" s="2">
        <v>80</v>
      </c>
      <c r="E233">
        <v>5092</v>
      </c>
      <c r="F233">
        <v>235</v>
      </c>
      <c r="G233" s="2">
        <f t="shared" si="39"/>
        <v>5195</v>
      </c>
      <c r="H233">
        <f t="shared" si="40"/>
        <v>4857</v>
      </c>
      <c r="I233" s="13">
        <f t="shared" si="41"/>
        <v>0.10006176652254478</v>
      </c>
      <c r="J233" t="str">
        <f t="shared" si="42"/>
        <v>Backlog</v>
      </c>
      <c r="K233" s="13">
        <f t="shared" si="43"/>
        <v>0.93493743984600575</v>
      </c>
      <c r="L233" s="13">
        <f t="shared" si="44"/>
        <v>6.5445620789220404</v>
      </c>
      <c r="M233" s="13">
        <f t="shared" si="45"/>
        <v>28.048123195380171</v>
      </c>
      <c r="N233" t="b">
        <f t="shared" si="46"/>
        <v>1</v>
      </c>
      <c r="O233">
        <f t="shared" si="47"/>
        <v>1</v>
      </c>
      <c r="P233" s="13">
        <f t="shared" si="48"/>
        <v>0.94860672683906699</v>
      </c>
      <c r="Q233" s="13">
        <f t="shared" si="49"/>
        <v>0.93433271068245993</v>
      </c>
      <c r="R233" s="15" t="str">
        <f t="shared" si="50"/>
        <v>STRAIN</v>
      </c>
      <c r="S233" s="13">
        <f t="shared" si="51"/>
        <v>4.523580365736285E-2</v>
      </c>
    </row>
    <row r="234" spans="1:19" x14ac:dyDescent="0.3">
      <c r="A234" s="4">
        <v>45294</v>
      </c>
      <c r="B234" s="2">
        <v>56</v>
      </c>
      <c r="C234" s="2">
        <v>82</v>
      </c>
      <c r="D234" s="2">
        <v>68</v>
      </c>
      <c r="E234">
        <v>5507</v>
      </c>
      <c r="F234">
        <v>164</v>
      </c>
      <c r="G234" s="2">
        <f t="shared" si="39"/>
        <v>5589</v>
      </c>
      <c r="H234">
        <f t="shared" si="40"/>
        <v>5343</v>
      </c>
      <c r="I234" s="13">
        <f t="shared" si="41"/>
        <v>1.4598540145985401E-2</v>
      </c>
      <c r="J234" t="str">
        <f t="shared" si="42"/>
        <v>Backlog</v>
      </c>
      <c r="K234" s="13">
        <f t="shared" si="43"/>
        <v>0.95598497047772413</v>
      </c>
      <c r="L234" s="13">
        <f t="shared" si="44"/>
        <v>6.6918947933440691</v>
      </c>
      <c r="M234" s="13">
        <f t="shared" si="45"/>
        <v>28.679549114331724</v>
      </c>
      <c r="N234" t="b">
        <f t="shared" si="46"/>
        <v>1</v>
      </c>
      <c r="O234">
        <f t="shared" si="47"/>
        <v>1</v>
      </c>
      <c r="P234" s="13">
        <f t="shared" si="48"/>
        <v>0.96176624509050779</v>
      </c>
      <c r="Q234" s="13">
        <f t="shared" si="49"/>
        <v>0.93962651037771039</v>
      </c>
      <c r="R234" s="15" t="str">
        <f t="shared" si="50"/>
        <v>STRAIN</v>
      </c>
      <c r="S234" s="13">
        <f t="shared" si="51"/>
        <v>2.9343353014850599E-2</v>
      </c>
    </row>
    <row r="235" spans="1:19" x14ac:dyDescent="0.3">
      <c r="A235" s="4">
        <v>45295</v>
      </c>
      <c r="B235" s="2">
        <v>38</v>
      </c>
      <c r="C235" s="2">
        <v>80</v>
      </c>
      <c r="D235" s="2">
        <v>82</v>
      </c>
      <c r="E235">
        <v>5605</v>
      </c>
      <c r="F235">
        <v>184</v>
      </c>
      <c r="G235" s="2">
        <f t="shared" si="39"/>
        <v>5685</v>
      </c>
      <c r="H235">
        <f t="shared" si="40"/>
        <v>5421</v>
      </c>
      <c r="I235" s="13">
        <f t="shared" si="41"/>
        <v>2.7485703744696551E-2</v>
      </c>
      <c r="J235" t="str">
        <f t="shared" si="42"/>
        <v>Backlog</v>
      </c>
      <c r="K235" s="13">
        <f t="shared" si="43"/>
        <v>0.95356200527704482</v>
      </c>
      <c r="L235" s="13">
        <f t="shared" si="44"/>
        <v>6.6749340369393142</v>
      </c>
      <c r="M235" s="13">
        <f t="shared" si="45"/>
        <v>28.606860158311346</v>
      </c>
      <c r="N235" t="b">
        <f t="shared" si="46"/>
        <v>0</v>
      </c>
      <c r="O235">
        <f t="shared" si="47"/>
        <v>1</v>
      </c>
      <c r="P235" s="13">
        <f t="shared" si="48"/>
        <v>0.9515918952255118</v>
      </c>
      <c r="Q235" s="13">
        <f t="shared" si="49"/>
        <v>0.93860582015677063</v>
      </c>
      <c r="R235" s="15" t="str">
        <f t="shared" si="50"/>
        <v>STRAIN</v>
      </c>
      <c r="S235" s="13">
        <f t="shared" si="51"/>
        <v>3.2365875109938436E-2</v>
      </c>
    </row>
    <row r="236" spans="1:19" x14ac:dyDescent="0.3">
      <c r="A236" s="4">
        <v>45298</v>
      </c>
      <c r="B236" s="2">
        <v>65</v>
      </c>
      <c r="C236" s="2">
        <v>83</v>
      </c>
      <c r="D236" s="2">
        <v>65</v>
      </c>
      <c r="E236">
        <v>5703</v>
      </c>
      <c r="F236">
        <v>133</v>
      </c>
      <c r="G236" s="2">
        <f t="shared" si="39"/>
        <v>5786</v>
      </c>
      <c r="H236">
        <f t="shared" si="40"/>
        <v>5570</v>
      </c>
      <c r="I236" s="13">
        <f t="shared" si="41"/>
        <v>1.6157989228007181E-3</v>
      </c>
      <c r="J236" t="str">
        <f t="shared" si="42"/>
        <v>Backlog</v>
      </c>
      <c r="K236" s="13">
        <f t="shared" si="43"/>
        <v>0.96266851019702726</v>
      </c>
      <c r="L236" s="13">
        <f t="shared" si="44"/>
        <v>6.7386795713791905</v>
      </c>
      <c r="M236" s="13">
        <f t="shared" si="45"/>
        <v>28.880055305910819</v>
      </c>
      <c r="N236" t="b">
        <f t="shared" si="46"/>
        <v>1</v>
      </c>
      <c r="O236">
        <f t="shared" si="47"/>
        <v>2</v>
      </c>
      <c r="P236" s="13">
        <f t="shared" si="48"/>
        <v>0.95224608629670504</v>
      </c>
      <c r="Q236" s="13">
        <f t="shared" si="49"/>
        <v>0.93498513929703053</v>
      </c>
      <c r="R236" s="15" t="str">
        <f t="shared" si="50"/>
        <v>STRAIN</v>
      </c>
      <c r="S236" s="13">
        <f t="shared" si="51"/>
        <v>2.2986519184237816E-2</v>
      </c>
    </row>
    <row r="237" spans="1:19" x14ac:dyDescent="0.3">
      <c r="A237" s="4">
        <v>45299</v>
      </c>
      <c r="B237" s="2">
        <v>41</v>
      </c>
      <c r="C237" s="2">
        <v>60</v>
      </c>
      <c r="D237" s="2">
        <v>71</v>
      </c>
      <c r="E237">
        <v>5769</v>
      </c>
      <c r="F237">
        <v>190</v>
      </c>
      <c r="G237" s="2">
        <f t="shared" si="39"/>
        <v>5829</v>
      </c>
      <c r="H237">
        <f t="shared" si="40"/>
        <v>5579</v>
      </c>
      <c r="I237" s="13">
        <f t="shared" si="41"/>
        <v>2.1150743860906974E-2</v>
      </c>
      <c r="J237" t="str">
        <f t="shared" si="42"/>
        <v>Backlog</v>
      </c>
      <c r="K237" s="13">
        <f t="shared" si="43"/>
        <v>0.95711099674043576</v>
      </c>
      <c r="L237" s="13">
        <f t="shared" si="44"/>
        <v>6.69977697718305</v>
      </c>
      <c r="M237" s="13">
        <f t="shared" si="45"/>
        <v>28.713329902213072</v>
      </c>
      <c r="N237" t="b">
        <f t="shared" si="46"/>
        <v>0</v>
      </c>
      <c r="O237">
        <f t="shared" si="47"/>
        <v>2</v>
      </c>
      <c r="P237" s="13">
        <f t="shared" si="48"/>
        <v>0.95973868770979909</v>
      </c>
      <c r="Q237" s="13">
        <f t="shared" si="49"/>
        <v>0.94811818905741818</v>
      </c>
      <c r="R237" s="15" t="str">
        <f t="shared" si="50"/>
        <v>STRAIN</v>
      </c>
      <c r="S237" s="13">
        <f t="shared" si="51"/>
        <v>3.259564247726883E-2</v>
      </c>
    </row>
    <row r="238" spans="1:19" x14ac:dyDescent="0.3">
      <c r="A238" s="4">
        <v>45300</v>
      </c>
      <c r="B238" s="2">
        <v>43</v>
      </c>
      <c r="C238" s="2">
        <v>73</v>
      </c>
      <c r="D238" s="2">
        <v>64</v>
      </c>
      <c r="E238">
        <v>5882</v>
      </c>
      <c r="F238">
        <v>185</v>
      </c>
      <c r="G238" s="2">
        <f t="shared" si="39"/>
        <v>5955</v>
      </c>
      <c r="H238">
        <f t="shared" si="40"/>
        <v>5697</v>
      </c>
      <c r="I238" s="13">
        <f t="shared" si="41"/>
        <v>7.4600667017728634E-2</v>
      </c>
      <c r="J238" t="str">
        <f t="shared" si="42"/>
        <v>Backlog</v>
      </c>
      <c r="K238" s="13">
        <f t="shared" si="43"/>
        <v>0.95667506297229221</v>
      </c>
      <c r="L238" s="13">
        <f t="shared" si="44"/>
        <v>6.6967254408060457</v>
      </c>
      <c r="M238" s="13">
        <f t="shared" si="45"/>
        <v>28.700251889168765</v>
      </c>
      <c r="N238" t="b">
        <f t="shared" si="46"/>
        <v>1</v>
      </c>
      <c r="O238">
        <f t="shared" si="47"/>
        <v>2</v>
      </c>
      <c r="P238" s="13">
        <f t="shared" si="48"/>
        <v>0.95870536100008574</v>
      </c>
      <c r="Q238" s="13">
        <f t="shared" si="49"/>
        <v>0.94452004322323524</v>
      </c>
      <c r="R238" s="15" t="str">
        <f t="shared" si="50"/>
        <v>STRAIN</v>
      </c>
      <c r="S238" s="13">
        <f t="shared" si="51"/>
        <v>3.1066330814441646E-2</v>
      </c>
    </row>
    <row r="239" spans="1:19" x14ac:dyDescent="0.3">
      <c r="A239" s="4">
        <v>45301</v>
      </c>
      <c r="B239" s="2">
        <v>35</v>
      </c>
      <c r="C239" s="2">
        <v>70</v>
      </c>
      <c r="D239" s="2">
        <v>53</v>
      </c>
      <c r="E239">
        <v>6292</v>
      </c>
      <c r="F239">
        <v>170</v>
      </c>
      <c r="G239" s="2">
        <f t="shared" si="39"/>
        <v>6362</v>
      </c>
      <c r="H239">
        <f t="shared" si="40"/>
        <v>6122</v>
      </c>
      <c r="I239" s="13">
        <f t="shared" si="41"/>
        <v>2.270499836654688E-2</v>
      </c>
      <c r="J239" t="str">
        <f t="shared" si="42"/>
        <v>Backlog</v>
      </c>
      <c r="K239" s="13">
        <f t="shared" si="43"/>
        <v>0.96227601383212824</v>
      </c>
      <c r="L239" s="13">
        <f t="shared" si="44"/>
        <v>6.7359320968248975</v>
      </c>
      <c r="M239" s="13">
        <f t="shared" si="45"/>
        <v>28.868280414963849</v>
      </c>
      <c r="N239" t="b">
        <f t="shared" si="46"/>
        <v>1</v>
      </c>
      <c r="O239">
        <f t="shared" si="47"/>
        <v>2</v>
      </c>
      <c r="P239" s="13">
        <f t="shared" si="48"/>
        <v>0.94800199767552118</v>
      </c>
      <c r="Q239" s="13">
        <f t="shared" si="49"/>
        <v>0.94879859139907852</v>
      </c>
      <c r="R239" s="15" t="str">
        <f t="shared" si="50"/>
        <v>STRAIN</v>
      </c>
      <c r="S239" s="13">
        <f t="shared" si="51"/>
        <v>2.6721156868909149E-2</v>
      </c>
    </row>
    <row r="240" spans="1:19" x14ac:dyDescent="0.3">
      <c r="A240" s="4">
        <v>45302</v>
      </c>
      <c r="B240" s="2">
        <v>25</v>
      </c>
      <c r="C240" s="2">
        <v>66</v>
      </c>
      <c r="D240" s="2">
        <v>94</v>
      </c>
      <c r="E240">
        <v>6405</v>
      </c>
      <c r="F240">
        <v>144</v>
      </c>
      <c r="G240" s="2">
        <f t="shared" si="39"/>
        <v>6471</v>
      </c>
      <c r="H240">
        <f t="shared" si="40"/>
        <v>6261</v>
      </c>
      <c r="I240" s="13">
        <f t="shared" si="41"/>
        <v>2.5555023159239739E-3</v>
      </c>
      <c r="J240" t="str">
        <f t="shared" si="42"/>
        <v>Backlog</v>
      </c>
      <c r="K240" s="13">
        <f t="shared" si="43"/>
        <v>0.96754751970329156</v>
      </c>
      <c r="L240" s="13">
        <f t="shared" si="44"/>
        <v>6.7728326379230408</v>
      </c>
      <c r="M240" s="13">
        <f t="shared" si="45"/>
        <v>29.026425591098747</v>
      </c>
      <c r="N240" t="b">
        <f t="shared" si="46"/>
        <v>0</v>
      </c>
      <c r="O240">
        <f t="shared" si="47"/>
        <v>2</v>
      </c>
      <c r="P240" s="13">
        <f t="shared" si="48"/>
        <v>0.94540778499049405</v>
      </c>
      <c r="Q240" s="13">
        <f t="shared" si="49"/>
        <v>0.94218739958478137</v>
      </c>
      <c r="R240" s="15" t="str">
        <f t="shared" si="50"/>
        <v>STRAIN</v>
      </c>
      <c r="S240" s="13">
        <f t="shared" si="51"/>
        <v>2.2253129346314324E-2</v>
      </c>
    </row>
    <row r="241" spans="1:19" x14ac:dyDescent="0.3">
      <c r="A241" s="4">
        <v>45306</v>
      </c>
      <c r="B241" s="2">
        <v>99</v>
      </c>
      <c r="C241" s="2">
        <v>156</v>
      </c>
      <c r="D241" s="2">
        <v>139</v>
      </c>
      <c r="E241">
        <v>6454</v>
      </c>
      <c r="F241">
        <v>177</v>
      </c>
      <c r="G241" s="2">
        <f t="shared" si="39"/>
        <v>6610</v>
      </c>
      <c r="H241">
        <f t="shared" si="40"/>
        <v>6277</v>
      </c>
      <c r="I241" s="13">
        <f t="shared" si="41"/>
        <v>-4.4607296479209817E-3</v>
      </c>
      <c r="J241" t="str">
        <f t="shared" si="42"/>
        <v>No Backlog</v>
      </c>
      <c r="K241" s="13">
        <f t="shared" si="43"/>
        <v>0.94962178517397877</v>
      </c>
      <c r="L241" s="13">
        <f t="shared" si="44"/>
        <v>6.6473524962178514</v>
      </c>
      <c r="M241" s="13">
        <f t="shared" si="45"/>
        <v>28.488653555219365</v>
      </c>
      <c r="N241" t="b">
        <f t="shared" si="46"/>
        <v>1</v>
      </c>
      <c r="O241">
        <f t="shared" si="47"/>
        <v>3</v>
      </c>
      <c r="P241" s="13">
        <f t="shared" si="48"/>
        <v>0.93663571010523761</v>
      </c>
      <c r="Q241" s="13">
        <f t="shared" si="49"/>
        <v>0.94162110939720622</v>
      </c>
      <c r="R241" s="15" t="b">
        <f t="shared" si="50"/>
        <v>0</v>
      </c>
      <c r="S241" s="13">
        <f t="shared" si="51"/>
        <v>2.6777609682299548E-2</v>
      </c>
    </row>
    <row r="242" spans="1:19" x14ac:dyDescent="0.3">
      <c r="A242" s="4">
        <v>45307</v>
      </c>
      <c r="B242" s="2">
        <v>107</v>
      </c>
      <c r="C242" s="2">
        <v>170</v>
      </c>
      <c r="D242" s="2">
        <v>133</v>
      </c>
      <c r="E242">
        <v>6465</v>
      </c>
      <c r="F242">
        <v>216</v>
      </c>
      <c r="G242" s="2">
        <f t="shared" si="39"/>
        <v>6635</v>
      </c>
      <c r="H242">
        <f t="shared" si="40"/>
        <v>6249</v>
      </c>
      <c r="I242" s="13">
        <f t="shared" si="41"/>
        <v>5.1688270123219714E-2</v>
      </c>
      <c r="J242" t="str">
        <f t="shared" si="42"/>
        <v>Backlog</v>
      </c>
      <c r="K242" s="13">
        <f t="shared" si="43"/>
        <v>0.94182366239638282</v>
      </c>
      <c r="L242" s="13">
        <f t="shared" si="44"/>
        <v>6.5927656367746801</v>
      </c>
      <c r="M242" s="13">
        <f t="shared" si="45"/>
        <v>28.254709871891485</v>
      </c>
      <c r="N242" t="b">
        <f t="shared" si="46"/>
        <v>1</v>
      </c>
      <c r="O242">
        <f t="shared" si="47"/>
        <v>3</v>
      </c>
      <c r="P242" s="13">
        <f t="shared" si="48"/>
        <v>0.9245627153967082</v>
      </c>
      <c r="Q242" s="13">
        <f t="shared" si="49"/>
        <v>0.93353211247132251</v>
      </c>
      <c r="R242" s="15" t="str">
        <f t="shared" si="50"/>
        <v>STRAIN</v>
      </c>
      <c r="S242" s="13">
        <f t="shared" si="51"/>
        <v>3.2554634513941222E-2</v>
      </c>
    </row>
    <row r="243" spans="1:19" x14ac:dyDescent="0.3">
      <c r="A243" s="4">
        <v>45308</v>
      </c>
      <c r="B243" s="2">
        <v>80</v>
      </c>
      <c r="C243" s="2">
        <v>122</v>
      </c>
      <c r="D243" s="2">
        <v>152</v>
      </c>
      <c r="E243">
        <v>6707</v>
      </c>
      <c r="F243">
        <v>135</v>
      </c>
      <c r="G243" s="2">
        <f t="shared" si="39"/>
        <v>6829</v>
      </c>
      <c r="H243">
        <f t="shared" si="40"/>
        <v>6572</v>
      </c>
      <c r="I243" s="13">
        <f t="shared" si="41"/>
        <v>1.5216068167985392E-3</v>
      </c>
      <c r="J243" t="str">
        <f t="shared" si="42"/>
        <v>Backlog</v>
      </c>
      <c r="K243" s="13">
        <f t="shared" si="43"/>
        <v>0.96236637867916242</v>
      </c>
      <c r="L243" s="13">
        <f t="shared" si="44"/>
        <v>6.7365646507541372</v>
      </c>
      <c r="M243" s="13">
        <f t="shared" si="45"/>
        <v>28.870991360374873</v>
      </c>
      <c r="N243" t="b">
        <f t="shared" si="46"/>
        <v>0</v>
      </c>
      <c r="O243">
        <f t="shared" si="47"/>
        <v>3</v>
      </c>
      <c r="P243" s="13">
        <f t="shared" si="48"/>
        <v>0.95074588002678162</v>
      </c>
      <c r="Q243" s="13">
        <f t="shared" si="49"/>
        <v>0.94539355703096151</v>
      </c>
      <c r="R243" s="15" t="str">
        <f t="shared" si="50"/>
        <v>STRAIN</v>
      </c>
      <c r="S243" s="13">
        <f t="shared" si="51"/>
        <v>1.9768633767755162E-2</v>
      </c>
    </row>
    <row r="244" spans="1:19" x14ac:dyDescent="0.3">
      <c r="A244" s="4">
        <v>45309</v>
      </c>
      <c r="B244" s="2">
        <v>57</v>
      </c>
      <c r="C244" s="2">
        <v>162</v>
      </c>
      <c r="D244" s="2">
        <v>193</v>
      </c>
      <c r="E244">
        <v>6689</v>
      </c>
      <c r="F244">
        <v>107</v>
      </c>
      <c r="G244" s="2">
        <f t="shared" si="39"/>
        <v>6851</v>
      </c>
      <c r="H244">
        <f t="shared" si="40"/>
        <v>6582</v>
      </c>
      <c r="I244" s="13">
        <f t="shared" si="41"/>
        <v>-1.7471893041628685E-2</v>
      </c>
      <c r="J244" t="str">
        <f t="shared" si="42"/>
        <v>No Backlog</v>
      </c>
      <c r="K244" s="13">
        <f t="shared" si="43"/>
        <v>0.96073565902787916</v>
      </c>
      <c r="L244" s="13">
        <f t="shared" si="44"/>
        <v>6.7251496131951543</v>
      </c>
      <c r="M244" s="13">
        <f t="shared" si="45"/>
        <v>28.822069770836375</v>
      </c>
      <c r="N244" t="b">
        <f t="shared" si="46"/>
        <v>0</v>
      </c>
      <c r="O244">
        <f t="shared" si="47"/>
        <v>3</v>
      </c>
      <c r="P244" s="13">
        <f t="shared" si="48"/>
        <v>0.94655034125102877</v>
      </c>
      <c r="Q244" s="13">
        <f t="shared" si="49"/>
        <v>0.94322670844451828</v>
      </c>
      <c r="R244" s="15" t="b">
        <f t="shared" si="50"/>
        <v>0</v>
      </c>
      <c r="S244" s="13">
        <f t="shared" si="51"/>
        <v>1.5618157933148446E-2</v>
      </c>
    </row>
    <row r="245" spans="1:19" x14ac:dyDescent="0.3">
      <c r="A245" s="4">
        <v>45312</v>
      </c>
      <c r="B245" s="2">
        <v>161</v>
      </c>
      <c r="C245" s="2">
        <v>304</v>
      </c>
      <c r="D245" s="2">
        <v>211</v>
      </c>
      <c r="E245">
        <v>6622</v>
      </c>
      <c r="F245">
        <v>155</v>
      </c>
      <c r="G245" s="2">
        <f t="shared" si="39"/>
        <v>6926</v>
      </c>
      <c r="H245">
        <f t="shared" si="40"/>
        <v>6467</v>
      </c>
      <c r="I245" s="13">
        <f t="shared" si="41"/>
        <v>-2.3194680686562549E-2</v>
      </c>
      <c r="J245" t="str">
        <f t="shared" si="42"/>
        <v>No Backlog</v>
      </c>
      <c r="K245" s="13">
        <f t="shared" si="43"/>
        <v>0.93372798151891423</v>
      </c>
      <c r="L245" s="13">
        <f t="shared" si="44"/>
        <v>6.5360958706323995</v>
      </c>
      <c r="M245" s="13">
        <f t="shared" si="45"/>
        <v>28.011839445567428</v>
      </c>
      <c r="N245" t="b">
        <f t="shared" si="46"/>
        <v>1</v>
      </c>
      <c r="O245">
        <f t="shared" si="47"/>
        <v>4</v>
      </c>
      <c r="P245" s="13">
        <f t="shared" si="48"/>
        <v>0.93452457524247157</v>
      </c>
      <c r="Q245" s="13">
        <f t="shared" si="49"/>
        <v>0.93508270725509202</v>
      </c>
      <c r="R245" s="15" t="b">
        <f t="shared" si="50"/>
        <v>0</v>
      </c>
      <c r="S245" s="13">
        <f t="shared" si="51"/>
        <v>2.2379439792087785E-2</v>
      </c>
    </row>
    <row r="246" spans="1:19" x14ac:dyDescent="0.3">
      <c r="A246" s="4">
        <v>45313</v>
      </c>
      <c r="B246" s="2">
        <v>205</v>
      </c>
      <c r="C246" s="2">
        <v>294</v>
      </c>
      <c r="D246" s="2">
        <v>177</v>
      </c>
      <c r="E246">
        <v>6548</v>
      </c>
      <c r="F246">
        <v>231</v>
      </c>
      <c r="G246" s="2">
        <f t="shared" si="39"/>
        <v>6842</v>
      </c>
      <c r="H246">
        <f t="shared" si="40"/>
        <v>6317</v>
      </c>
      <c r="I246" s="13">
        <f t="shared" si="41"/>
        <v>1.5830299192654742E-3</v>
      </c>
      <c r="J246" t="str">
        <f t="shared" si="42"/>
        <v>Backlog</v>
      </c>
      <c r="K246" s="13">
        <f t="shared" si="43"/>
        <v>0.92326805027769654</v>
      </c>
      <c r="L246" s="13">
        <f t="shared" si="44"/>
        <v>6.4628763519438754</v>
      </c>
      <c r="M246" s="13">
        <f t="shared" si="45"/>
        <v>27.698041508330896</v>
      </c>
      <c r="N246" t="b">
        <f t="shared" si="46"/>
        <v>1</v>
      </c>
      <c r="O246">
        <f t="shared" si="47"/>
        <v>4</v>
      </c>
      <c r="P246" s="13">
        <f t="shared" si="48"/>
        <v>0.92004766487198397</v>
      </c>
      <c r="Q246" s="13">
        <f t="shared" si="49"/>
        <v>0.92879616680425103</v>
      </c>
      <c r="R246" s="15" t="str">
        <f t="shared" si="50"/>
        <v>STRAIN</v>
      </c>
      <c r="S246" s="13">
        <f t="shared" si="51"/>
        <v>3.3762057877813507E-2</v>
      </c>
    </row>
    <row r="247" spans="1:19" x14ac:dyDescent="0.3">
      <c r="A247" s="4">
        <v>45314</v>
      </c>
      <c r="B247" s="2">
        <v>100</v>
      </c>
      <c r="C247" s="2">
        <v>255</v>
      </c>
      <c r="D247" s="2">
        <v>236</v>
      </c>
      <c r="E247">
        <v>6595</v>
      </c>
      <c r="F247">
        <v>268</v>
      </c>
      <c r="G247" s="2">
        <f t="shared" si="39"/>
        <v>6850</v>
      </c>
      <c r="H247">
        <f t="shared" si="40"/>
        <v>6327</v>
      </c>
      <c r="I247" s="13">
        <f t="shared" si="41"/>
        <v>5.531847637110795E-3</v>
      </c>
      <c r="J247" t="str">
        <f t="shared" si="42"/>
        <v>Backlog</v>
      </c>
      <c r="K247" s="13">
        <f t="shared" si="43"/>
        <v>0.92364963503649633</v>
      </c>
      <c r="L247" s="13">
        <f t="shared" si="44"/>
        <v>6.4655474452554742</v>
      </c>
      <c r="M247" s="13">
        <f t="shared" si="45"/>
        <v>27.709489051094891</v>
      </c>
      <c r="N247" t="b">
        <f t="shared" si="46"/>
        <v>1</v>
      </c>
      <c r="O247">
        <f t="shared" si="47"/>
        <v>4</v>
      </c>
      <c r="P247" s="13">
        <f t="shared" si="48"/>
        <v>0.92863503432846495</v>
      </c>
      <c r="Q247" s="13">
        <f t="shared" si="49"/>
        <v>0.93419202660636613</v>
      </c>
      <c r="R247" s="15" t="str">
        <f t="shared" si="50"/>
        <v>STRAIN</v>
      </c>
      <c r="S247" s="13">
        <f t="shared" si="51"/>
        <v>3.9124087591240878E-2</v>
      </c>
    </row>
    <row r="248" spans="1:19" x14ac:dyDescent="0.3">
      <c r="A248" s="4">
        <v>45315</v>
      </c>
      <c r="B248" s="2">
        <v>269</v>
      </c>
      <c r="C248" s="2">
        <v>412</v>
      </c>
      <c r="D248" s="2">
        <v>204</v>
      </c>
      <c r="E248">
        <v>6600</v>
      </c>
      <c r="F248">
        <v>238</v>
      </c>
      <c r="G248" s="2">
        <f t="shared" si="39"/>
        <v>7012</v>
      </c>
      <c r="H248">
        <f t="shared" si="40"/>
        <v>6362</v>
      </c>
      <c r="I248" s="13">
        <f t="shared" si="41"/>
        <v>1.6032694121345489E-2</v>
      </c>
      <c r="J248" t="str">
        <f t="shared" si="42"/>
        <v>Backlog</v>
      </c>
      <c r="K248" s="13">
        <f t="shared" si="43"/>
        <v>0.90730176839703369</v>
      </c>
      <c r="L248" s="13">
        <f t="shared" si="44"/>
        <v>6.3511123787792361</v>
      </c>
      <c r="M248" s="13">
        <f t="shared" si="45"/>
        <v>27.219053051911011</v>
      </c>
      <c r="N248" t="b">
        <f t="shared" si="46"/>
        <v>1</v>
      </c>
      <c r="O248">
        <f t="shared" si="47"/>
        <v>4</v>
      </c>
      <c r="P248" s="13">
        <f t="shared" si="48"/>
        <v>0.91627116547164789</v>
      </c>
      <c r="Q248" s="13">
        <f t="shared" si="49"/>
        <v>0.92741295209013941</v>
      </c>
      <c r="R248" s="15" t="str">
        <f t="shared" si="50"/>
        <v>STRAIN</v>
      </c>
      <c r="S248" s="13">
        <f t="shared" si="51"/>
        <v>3.3941814033086139E-2</v>
      </c>
    </row>
    <row r="249" spans="1:19" x14ac:dyDescent="0.3">
      <c r="A249" s="4">
        <v>45316</v>
      </c>
      <c r="B249" s="2">
        <v>168</v>
      </c>
      <c r="C249" s="2">
        <v>285</v>
      </c>
      <c r="D249" s="2">
        <v>210</v>
      </c>
      <c r="E249">
        <v>6598</v>
      </c>
      <c r="F249">
        <v>134</v>
      </c>
      <c r="G249" s="2">
        <f t="shared" si="39"/>
        <v>6883</v>
      </c>
      <c r="H249">
        <f t="shared" si="40"/>
        <v>6464</v>
      </c>
      <c r="I249" s="13">
        <f t="shared" si="41"/>
        <v>-1.6862623762376239E-2</v>
      </c>
      <c r="J249" t="str">
        <f t="shared" si="42"/>
        <v>No Backlog</v>
      </c>
      <c r="K249" s="13">
        <f t="shared" si="43"/>
        <v>0.93912538137440071</v>
      </c>
      <c r="L249" s="13">
        <f t="shared" si="44"/>
        <v>6.5738776696208046</v>
      </c>
      <c r="M249" s="13">
        <f t="shared" si="45"/>
        <v>28.173761441232021</v>
      </c>
      <c r="N249" t="b">
        <f t="shared" si="46"/>
        <v>1</v>
      </c>
      <c r="O249">
        <f t="shared" si="47"/>
        <v>4</v>
      </c>
      <c r="P249" s="13">
        <f t="shared" si="48"/>
        <v>0.93377305837858071</v>
      </c>
      <c r="Q249" s="13">
        <f t="shared" si="49"/>
        <v>0.93474810767984629</v>
      </c>
      <c r="R249" s="15" t="b">
        <f t="shared" si="50"/>
        <v>0</v>
      </c>
      <c r="S249" s="13">
        <f t="shared" si="51"/>
        <v>1.946825512131338E-2</v>
      </c>
    </row>
    <row r="250" spans="1:19" x14ac:dyDescent="0.3">
      <c r="A250" s="4">
        <v>45319</v>
      </c>
      <c r="B250" s="2">
        <v>187</v>
      </c>
      <c r="C250" s="2">
        <v>310</v>
      </c>
      <c r="D250" s="2">
        <v>247</v>
      </c>
      <c r="E250">
        <v>6506</v>
      </c>
      <c r="F250">
        <v>151</v>
      </c>
      <c r="G250" s="2">
        <f t="shared" si="39"/>
        <v>6816</v>
      </c>
      <c r="H250">
        <f t="shared" si="40"/>
        <v>6355</v>
      </c>
      <c r="I250" s="13">
        <f t="shared" si="41"/>
        <v>-7.8678206136900079E-3</v>
      </c>
      <c r="J250" t="str">
        <f t="shared" si="42"/>
        <v>No Backlog</v>
      </c>
      <c r="K250" s="13">
        <f t="shared" si="43"/>
        <v>0.93236502347417838</v>
      </c>
      <c r="L250" s="13">
        <f t="shared" si="44"/>
        <v>6.526555164319249</v>
      </c>
      <c r="M250" s="13">
        <f t="shared" si="45"/>
        <v>27.970950704225352</v>
      </c>
      <c r="N250" t="b">
        <f t="shared" si="46"/>
        <v>1</v>
      </c>
      <c r="O250">
        <f t="shared" si="47"/>
        <v>5</v>
      </c>
      <c r="P250" s="13">
        <f t="shared" si="48"/>
        <v>0.929041390667668</v>
      </c>
      <c r="Q250" s="13">
        <f t="shared" si="49"/>
        <v>0.9300254869437008</v>
      </c>
      <c r="R250" s="15" t="b">
        <f t="shared" si="50"/>
        <v>0</v>
      </c>
      <c r="S250" s="13">
        <f t="shared" si="51"/>
        <v>2.2153755868544601E-2</v>
      </c>
    </row>
    <row r="251" spans="1:19" x14ac:dyDescent="0.3">
      <c r="A251" s="4">
        <v>45320</v>
      </c>
      <c r="B251" s="2">
        <v>133</v>
      </c>
      <c r="C251" s="2">
        <v>287</v>
      </c>
      <c r="D251" s="2">
        <v>189</v>
      </c>
      <c r="E251">
        <v>6454</v>
      </c>
      <c r="F251">
        <v>149</v>
      </c>
      <c r="G251" s="2">
        <f t="shared" si="39"/>
        <v>6741</v>
      </c>
      <c r="H251">
        <f t="shared" si="40"/>
        <v>6305</v>
      </c>
      <c r="I251" s="13">
        <f t="shared" si="41"/>
        <v>-1.9191118160190326E-2</v>
      </c>
      <c r="J251" t="str">
        <f t="shared" si="42"/>
        <v>No Backlog</v>
      </c>
      <c r="K251" s="13">
        <f t="shared" si="43"/>
        <v>0.93532116896602879</v>
      </c>
      <c r="L251" s="13">
        <f t="shared" si="44"/>
        <v>6.5472481827622016</v>
      </c>
      <c r="M251" s="13">
        <f t="shared" si="45"/>
        <v>28.059635068980864</v>
      </c>
      <c r="N251" t="b">
        <f t="shared" si="46"/>
        <v>1</v>
      </c>
      <c r="O251">
        <f t="shared" si="47"/>
        <v>5</v>
      </c>
      <c r="P251" s="13">
        <f t="shared" si="48"/>
        <v>0.93587930097864924</v>
      </c>
      <c r="Q251" s="13">
        <f t="shared" si="49"/>
        <v>0.93378264118652232</v>
      </c>
      <c r="R251" s="15" t="b">
        <f t="shared" si="50"/>
        <v>0</v>
      </c>
      <c r="S251" s="13">
        <f t="shared" si="51"/>
        <v>2.2103545468031449E-2</v>
      </c>
    </row>
    <row r="252" spans="1:19" x14ac:dyDescent="0.3">
      <c r="A252" s="4">
        <v>45321</v>
      </c>
      <c r="B252" s="2">
        <v>180</v>
      </c>
      <c r="C252" s="2">
        <v>337</v>
      </c>
      <c r="D252" s="2">
        <v>219</v>
      </c>
      <c r="E252">
        <v>6408</v>
      </c>
      <c r="F252">
        <v>224</v>
      </c>
      <c r="G252" s="2">
        <f t="shared" si="39"/>
        <v>6745</v>
      </c>
      <c r="H252">
        <f t="shared" si="40"/>
        <v>6184</v>
      </c>
      <c r="I252" s="13">
        <f t="shared" si="41"/>
        <v>1.6655886157826649E-2</v>
      </c>
      <c r="J252" t="str">
        <f t="shared" si="42"/>
        <v>Backlog</v>
      </c>
      <c r="K252" s="13">
        <f t="shared" si="43"/>
        <v>0.91682727946627129</v>
      </c>
      <c r="L252" s="13">
        <f t="shared" si="44"/>
        <v>6.4177909562638993</v>
      </c>
      <c r="M252" s="13">
        <f t="shared" si="45"/>
        <v>27.504818383988137</v>
      </c>
      <c r="N252" t="b">
        <f t="shared" si="46"/>
        <v>1</v>
      </c>
      <c r="O252">
        <f t="shared" si="47"/>
        <v>5</v>
      </c>
      <c r="P252" s="13">
        <f t="shared" si="48"/>
        <v>0.92557578139853836</v>
      </c>
      <c r="Q252" s="13">
        <f t="shared" si="49"/>
        <v>0.9120177495420938</v>
      </c>
      <c r="R252" s="15" t="str">
        <f t="shared" si="50"/>
        <v>STRAIN</v>
      </c>
      <c r="S252" s="13">
        <f t="shared" si="51"/>
        <v>3.3209785025945147E-2</v>
      </c>
    </row>
    <row r="253" spans="1:19" x14ac:dyDescent="0.3">
      <c r="A253" s="4">
        <v>45322</v>
      </c>
      <c r="B253" s="2">
        <v>153</v>
      </c>
      <c r="C253" s="2">
        <v>253</v>
      </c>
      <c r="D253" s="2">
        <v>286</v>
      </c>
      <c r="E253">
        <v>6481</v>
      </c>
      <c r="F253">
        <v>194</v>
      </c>
      <c r="G253" s="2">
        <f t="shared" si="39"/>
        <v>6734</v>
      </c>
      <c r="H253">
        <f t="shared" si="40"/>
        <v>6287</v>
      </c>
      <c r="I253" s="13">
        <f t="shared" si="41"/>
        <v>-5.8851598536662957E-3</v>
      </c>
      <c r="J253" t="str">
        <f t="shared" si="42"/>
        <v>No Backlog</v>
      </c>
      <c r="K253" s="13">
        <f t="shared" si="43"/>
        <v>0.93362043362043357</v>
      </c>
      <c r="L253" s="13">
        <f t="shared" si="44"/>
        <v>6.5353430353430353</v>
      </c>
      <c r="M253" s="13">
        <f t="shared" si="45"/>
        <v>28.008613008613008</v>
      </c>
      <c r="N253" t="b">
        <f t="shared" si="46"/>
        <v>0</v>
      </c>
      <c r="O253">
        <f t="shared" si="47"/>
        <v>5</v>
      </c>
      <c r="P253" s="13">
        <f t="shared" si="48"/>
        <v>0.93917742589833475</v>
      </c>
      <c r="Q253" s="13">
        <f t="shared" si="49"/>
        <v>0.93532448378299482</v>
      </c>
      <c r="R253" s="15" t="b">
        <f t="shared" si="50"/>
        <v>0</v>
      </c>
      <c r="S253" s="13">
        <f t="shared" si="51"/>
        <v>2.880902880902881E-2</v>
      </c>
    </row>
    <row r="254" spans="1:19" x14ac:dyDescent="0.3">
      <c r="A254" s="4">
        <v>45323</v>
      </c>
      <c r="B254" s="2">
        <v>209</v>
      </c>
      <c r="C254" s="2">
        <v>353</v>
      </c>
      <c r="D254" s="2">
        <v>232</v>
      </c>
      <c r="E254">
        <v>6402</v>
      </c>
      <c r="F254">
        <v>152</v>
      </c>
      <c r="G254" s="2">
        <f t="shared" si="39"/>
        <v>6755</v>
      </c>
      <c r="H254">
        <f t="shared" si="40"/>
        <v>6250</v>
      </c>
      <c r="I254" s="13">
        <f t="shared" si="41"/>
        <v>-1.4239999999999999E-2</v>
      </c>
      <c r="J254" t="str">
        <f t="shared" si="42"/>
        <v>No Backlog</v>
      </c>
      <c r="K254" s="13">
        <f t="shared" si="43"/>
        <v>0.92524056254626208</v>
      </c>
      <c r="L254" s="13">
        <f t="shared" si="44"/>
        <v>6.4766839378238341</v>
      </c>
      <c r="M254" s="13">
        <f t="shared" si="45"/>
        <v>27.757216876387862</v>
      </c>
      <c r="N254" t="b">
        <f t="shared" si="46"/>
        <v>1</v>
      </c>
      <c r="O254">
        <f t="shared" si="47"/>
        <v>5</v>
      </c>
      <c r="P254" s="13">
        <f t="shared" si="48"/>
        <v>0.9363823491647536</v>
      </c>
      <c r="Q254" s="13">
        <f t="shared" si="49"/>
        <v>0.92719113955656418</v>
      </c>
      <c r="R254" s="15" t="b">
        <f t="shared" si="50"/>
        <v>0</v>
      </c>
      <c r="S254" s="13">
        <f t="shared" si="51"/>
        <v>2.2501850481125091E-2</v>
      </c>
    </row>
    <row r="255" spans="1:19" x14ac:dyDescent="0.3">
      <c r="A255" s="4">
        <v>45326</v>
      </c>
      <c r="B255" s="2">
        <v>167</v>
      </c>
      <c r="C255" s="2">
        <v>326</v>
      </c>
      <c r="D255" s="2">
        <v>213</v>
      </c>
      <c r="E255">
        <v>6310</v>
      </c>
      <c r="F255">
        <v>149</v>
      </c>
      <c r="G255" s="2">
        <f t="shared" si="39"/>
        <v>6636</v>
      </c>
      <c r="H255">
        <f t="shared" si="40"/>
        <v>6161</v>
      </c>
      <c r="I255" s="13">
        <f t="shared" si="41"/>
        <v>-1.0874857977601038E-2</v>
      </c>
      <c r="J255" t="str">
        <f t="shared" si="42"/>
        <v>No Backlog</v>
      </c>
      <c r="K255" s="13">
        <f t="shared" si="43"/>
        <v>0.92842073538276071</v>
      </c>
      <c r="L255" s="13">
        <f t="shared" si="44"/>
        <v>6.4989451476793247</v>
      </c>
      <c r="M255" s="13">
        <f t="shared" si="45"/>
        <v>27.852622061482823</v>
      </c>
      <c r="N255" t="b">
        <f t="shared" si="46"/>
        <v>1</v>
      </c>
      <c r="O255">
        <f t="shared" si="47"/>
        <v>6</v>
      </c>
      <c r="P255" s="13">
        <f t="shared" si="48"/>
        <v>0.92939578468402628</v>
      </c>
      <c r="Q255" s="13">
        <f t="shared" si="49"/>
        <v>0.92301312538433478</v>
      </c>
      <c r="R255" s="15" t="b">
        <f t="shared" si="50"/>
        <v>0</v>
      </c>
      <c r="S255" s="13">
        <f t="shared" si="51"/>
        <v>2.2453285111512958E-2</v>
      </c>
    </row>
    <row r="256" spans="1:19" x14ac:dyDescent="0.3">
      <c r="A256" s="4">
        <v>45327</v>
      </c>
      <c r="B256" s="2">
        <v>224</v>
      </c>
      <c r="C256" s="2">
        <v>315</v>
      </c>
      <c r="D256" s="2">
        <v>152</v>
      </c>
      <c r="E256">
        <v>6268</v>
      </c>
      <c r="F256">
        <v>174</v>
      </c>
      <c r="G256" s="2">
        <f t="shared" si="39"/>
        <v>6583</v>
      </c>
      <c r="H256">
        <f t="shared" si="40"/>
        <v>6094</v>
      </c>
      <c r="I256" s="13">
        <f t="shared" si="41"/>
        <v>3.2819166393173614E-3</v>
      </c>
      <c r="J256" t="str">
        <f t="shared" si="42"/>
        <v>Backlog</v>
      </c>
      <c r="K256" s="13">
        <f t="shared" si="43"/>
        <v>0.92571775786115751</v>
      </c>
      <c r="L256" s="13">
        <f t="shared" si="44"/>
        <v>6.4800243050281026</v>
      </c>
      <c r="M256" s="13">
        <f t="shared" si="45"/>
        <v>27.771532735834725</v>
      </c>
      <c r="N256" t="b">
        <f t="shared" si="46"/>
        <v>1</v>
      </c>
      <c r="O256">
        <f t="shared" si="47"/>
        <v>6</v>
      </c>
      <c r="P256" s="13">
        <f t="shared" si="48"/>
        <v>0.92670185413719031</v>
      </c>
      <c r="Q256" s="13">
        <f t="shared" si="49"/>
        <v>0.92789845676699034</v>
      </c>
      <c r="R256" s="15" t="str">
        <f t="shared" si="50"/>
        <v>STRAIN</v>
      </c>
      <c r="S256" s="13">
        <f t="shared" si="51"/>
        <v>2.643171806167401E-2</v>
      </c>
    </row>
    <row r="257" spans="1:19" x14ac:dyDescent="0.3">
      <c r="A257" s="4">
        <v>45328</v>
      </c>
      <c r="B257" s="2">
        <v>132</v>
      </c>
      <c r="C257" s="2">
        <v>243</v>
      </c>
      <c r="D257" s="2">
        <v>183</v>
      </c>
      <c r="E257">
        <v>6286</v>
      </c>
      <c r="F257">
        <v>172</v>
      </c>
      <c r="G257" s="2">
        <f t="shared" si="39"/>
        <v>6529</v>
      </c>
      <c r="H257">
        <f t="shared" si="40"/>
        <v>6114</v>
      </c>
      <c r="I257" s="13">
        <f t="shared" si="41"/>
        <v>7.5237160614982012E-3</v>
      </c>
      <c r="J257" t="str">
        <f t="shared" si="42"/>
        <v>Backlog</v>
      </c>
      <c r="K257" s="13">
        <f t="shared" si="43"/>
        <v>0.93643743299126969</v>
      </c>
      <c r="L257" s="13">
        <f t="shared" si="44"/>
        <v>6.5550620309388883</v>
      </c>
      <c r="M257" s="13">
        <f t="shared" si="45"/>
        <v>28.093122989738092</v>
      </c>
      <c r="N257" t="b">
        <f t="shared" si="46"/>
        <v>1</v>
      </c>
      <c r="O257">
        <f t="shared" si="47"/>
        <v>6</v>
      </c>
      <c r="P257" s="13">
        <f t="shared" si="48"/>
        <v>0.93434077319914277</v>
      </c>
      <c r="Q257" s="13">
        <f t="shared" si="49"/>
        <v>0.93866691876127262</v>
      </c>
      <c r="R257" s="15" t="str">
        <f t="shared" si="50"/>
        <v>STRAIN</v>
      </c>
      <c r="S257" s="13">
        <f t="shared" si="51"/>
        <v>2.6344003675907491E-2</v>
      </c>
    </row>
    <row r="258" spans="1:19" x14ac:dyDescent="0.3">
      <c r="A258" s="4">
        <v>45329</v>
      </c>
      <c r="B258" s="2">
        <v>218</v>
      </c>
      <c r="C258" s="2">
        <v>283</v>
      </c>
      <c r="D258" s="2">
        <v>208</v>
      </c>
      <c r="E258">
        <v>6310</v>
      </c>
      <c r="F258">
        <v>150</v>
      </c>
      <c r="G258" s="2">
        <f t="shared" si="39"/>
        <v>6593</v>
      </c>
      <c r="H258">
        <f t="shared" si="40"/>
        <v>6160</v>
      </c>
      <c r="I258" s="13">
        <f t="shared" si="41"/>
        <v>-9.7402597402597403E-4</v>
      </c>
      <c r="J258" t="str">
        <f t="shared" si="42"/>
        <v>No Backlog</v>
      </c>
      <c r="K258" s="13">
        <f t="shared" si="43"/>
        <v>0.93432428333080542</v>
      </c>
      <c r="L258" s="13">
        <f t="shared" si="44"/>
        <v>6.5402699833156381</v>
      </c>
      <c r="M258" s="13">
        <f t="shared" si="45"/>
        <v>28.029728499924161</v>
      </c>
      <c r="N258" t="b">
        <f t="shared" si="46"/>
        <v>1</v>
      </c>
      <c r="O258">
        <f t="shared" si="47"/>
        <v>6</v>
      </c>
      <c r="P258" s="13">
        <f t="shared" si="48"/>
        <v>0.92076625147436086</v>
      </c>
      <c r="Q258" s="13">
        <f t="shared" si="49"/>
        <v>0.937837839666394</v>
      </c>
      <c r="R258" s="15" t="b">
        <f t="shared" si="50"/>
        <v>0</v>
      </c>
      <c r="S258" s="13">
        <f t="shared" si="51"/>
        <v>2.2751403003185195E-2</v>
      </c>
    </row>
    <row r="259" spans="1:19" x14ac:dyDescent="0.3">
      <c r="A259" s="4">
        <v>45330</v>
      </c>
      <c r="B259" s="2">
        <v>118</v>
      </c>
      <c r="C259" s="2">
        <v>245</v>
      </c>
      <c r="D259" s="2">
        <v>160</v>
      </c>
      <c r="E259">
        <v>6269</v>
      </c>
      <c r="F259">
        <v>115</v>
      </c>
      <c r="G259" s="2">
        <f t="shared" ref="G259:G322" si="52">C259+E259</f>
        <v>6514</v>
      </c>
      <c r="H259">
        <f t="shared" ref="H259:H322" si="53">E259-F259</f>
        <v>6154</v>
      </c>
      <c r="I259" s="13">
        <f t="shared" ref="I259:I322" si="54">(H260-H259)/H259</f>
        <v>-1.1212219694507638E-2</v>
      </c>
      <c r="J259" t="str">
        <f t="shared" ref="J259:J322" si="55">IF(I259&gt;0,"Backlog","No Backlog")</f>
        <v>No Backlog</v>
      </c>
      <c r="K259" s="13">
        <f t="shared" ref="K259:K322" si="56">H259/G259</f>
        <v>0.94473441817623582</v>
      </c>
      <c r="L259" s="13">
        <f t="shared" ref="L259:L322" si="57">K259*7</f>
        <v>6.6131409272336512</v>
      </c>
      <c r="M259" s="13">
        <f t="shared" ref="M259:M322" si="58">K259*30</f>
        <v>28.342032545287076</v>
      </c>
      <c r="N259" t="b">
        <f t="shared" ref="N259:N322" si="59">IF(D259&lt;C259,F259&lt;E259)</f>
        <v>1</v>
      </c>
      <c r="O259">
        <f t="shared" ref="O259:O322" si="60">WEEKNUM(A259)</f>
        <v>6</v>
      </c>
      <c r="P259" s="13">
        <f t="shared" ref="P259:P322" si="61">AVERAGE(K259,K265)</f>
        <v>0.94088147606089589</v>
      </c>
      <c r="Q259" s="13">
        <f t="shared" ref="Q259:Q322" si="62">AVERAGE(K259,K271)</f>
        <v>0.94405435621531819</v>
      </c>
      <c r="R259" s="15" t="b">
        <f t="shared" ref="R259:R322" si="63">IF(I259&gt;0,"STRAIN")</f>
        <v>0</v>
      </c>
      <c r="S259" s="13">
        <f t="shared" ref="S259:S322" si="64">F259/G259</f>
        <v>1.7654283082591343E-2</v>
      </c>
    </row>
    <row r="260" spans="1:19" x14ac:dyDescent="0.3">
      <c r="A260" s="4">
        <v>45333</v>
      </c>
      <c r="B260" s="2">
        <v>81</v>
      </c>
      <c r="C260" s="2">
        <v>230</v>
      </c>
      <c r="D260" s="2">
        <v>242</v>
      </c>
      <c r="E260">
        <v>6192</v>
      </c>
      <c r="F260">
        <v>107</v>
      </c>
      <c r="G260" s="2">
        <f t="shared" si="52"/>
        <v>6422</v>
      </c>
      <c r="H260">
        <f t="shared" si="53"/>
        <v>6085</v>
      </c>
      <c r="I260" s="13">
        <f t="shared" si="54"/>
        <v>-2.28430566967954E-2</v>
      </c>
      <c r="J260" t="str">
        <f t="shared" si="55"/>
        <v>No Backlog</v>
      </c>
      <c r="K260" s="13">
        <f t="shared" si="56"/>
        <v>0.94752413578324512</v>
      </c>
      <c r="L260" s="13">
        <f t="shared" si="57"/>
        <v>6.6326689504827154</v>
      </c>
      <c r="M260" s="13">
        <f t="shared" si="58"/>
        <v>28.425724073497353</v>
      </c>
      <c r="N260" t="b">
        <f t="shared" si="59"/>
        <v>0</v>
      </c>
      <c r="O260">
        <f t="shared" si="60"/>
        <v>7</v>
      </c>
      <c r="P260" s="13">
        <f t="shared" si="61"/>
        <v>0.9383329261750557</v>
      </c>
      <c r="Q260" s="13">
        <f t="shared" si="62"/>
        <v>0.94015768687602352</v>
      </c>
      <c r="R260" s="15" t="b">
        <f t="shared" si="63"/>
        <v>0</v>
      </c>
      <c r="S260" s="13">
        <f t="shared" si="64"/>
        <v>1.6661476175646218E-2</v>
      </c>
    </row>
    <row r="261" spans="1:19" x14ac:dyDescent="0.3">
      <c r="A261" s="4">
        <v>45334</v>
      </c>
      <c r="B261" s="2">
        <v>236</v>
      </c>
      <c r="C261" s="2">
        <v>330</v>
      </c>
      <c r="D261" s="2">
        <v>222</v>
      </c>
      <c r="E261">
        <v>6061</v>
      </c>
      <c r="F261">
        <v>115</v>
      </c>
      <c r="G261" s="2">
        <f t="shared" si="52"/>
        <v>6391</v>
      </c>
      <c r="H261">
        <f t="shared" si="53"/>
        <v>5946</v>
      </c>
      <c r="I261" s="13">
        <f t="shared" si="54"/>
        <v>-1.8331651530440633E-2</v>
      </c>
      <c r="J261" t="str">
        <f t="shared" si="55"/>
        <v>No Backlog</v>
      </c>
      <c r="K261" s="13">
        <f t="shared" si="56"/>
        <v>0.93037083398529186</v>
      </c>
      <c r="L261" s="13">
        <f t="shared" si="57"/>
        <v>6.5125958378970434</v>
      </c>
      <c r="M261" s="13">
        <f t="shared" si="58"/>
        <v>27.911125019558757</v>
      </c>
      <c r="N261" t="b">
        <f t="shared" si="59"/>
        <v>1</v>
      </c>
      <c r="O261">
        <f t="shared" si="60"/>
        <v>7</v>
      </c>
      <c r="P261" s="13">
        <f t="shared" si="61"/>
        <v>0.92398817468560035</v>
      </c>
      <c r="Q261" s="13">
        <f t="shared" si="62"/>
        <v>0.93387535933729682</v>
      </c>
      <c r="R261" s="15" t="b">
        <f t="shared" si="63"/>
        <v>0</v>
      </c>
      <c r="S261" s="13">
        <f t="shared" si="64"/>
        <v>1.7994054138632452E-2</v>
      </c>
    </row>
    <row r="262" spans="1:19" x14ac:dyDescent="0.3">
      <c r="A262" s="4">
        <v>45335</v>
      </c>
      <c r="B262" s="2">
        <v>196</v>
      </c>
      <c r="C262" s="2">
        <v>306</v>
      </c>
      <c r="D262" s="2">
        <v>187</v>
      </c>
      <c r="E262">
        <v>5986</v>
      </c>
      <c r="F262">
        <v>149</v>
      </c>
      <c r="G262" s="2">
        <f t="shared" si="52"/>
        <v>6292</v>
      </c>
      <c r="H262">
        <f t="shared" si="53"/>
        <v>5837</v>
      </c>
      <c r="I262" s="13">
        <f t="shared" si="54"/>
        <v>-2.9124550282679457E-3</v>
      </c>
      <c r="J262" t="str">
        <f t="shared" si="55"/>
        <v>No Backlog</v>
      </c>
      <c r="K262" s="13">
        <f t="shared" si="56"/>
        <v>0.9276859504132231</v>
      </c>
      <c r="L262" s="13">
        <f t="shared" si="57"/>
        <v>6.4938016528925617</v>
      </c>
      <c r="M262" s="13">
        <f t="shared" si="58"/>
        <v>27.830578512396691</v>
      </c>
      <c r="N262" t="b">
        <f t="shared" si="59"/>
        <v>1</v>
      </c>
      <c r="O262">
        <f t="shared" si="60"/>
        <v>7</v>
      </c>
      <c r="P262" s="13">
        <f t="shared" si="61"/>
        <v>0.92888255304302314</v>
      </c>
      <c r="Q262" s="13">
        <f t="shared" si="62"/>
        <v>0.93196405071780131</v>
      </c>
      <c r="R262" s="15" t="b">
        <f t="shared" si="63"/>
        <v>0</v>
      </c>
      <c r="S262" s="13">
        <f t="shared" si="64"/>
        <v>2.3680864589955501E-2</v>
      </c>
    </row>
    <row r="263" spans="1:19" x14ac:dyDescent="0.3">
      <c r="A263" s="4">
        <v>45336</v>
      </c>
      <c r="B263" s="2">
        <v>113</v>
      </c>
      <c r="C263" s="2">
        <v>280</v>
      </c>
      <c r="D263" s="2">
        <v>237</v>
      </c>
      <c r="E263">
        <v>5963</v>
      </c>
      <c r="F263">
        <v>143</v>
      </c>
      <c r="G263" s="2">
        <f t="shared" si="52"/>
        <v>6243</v>
      </c>
      <c r="H263">
        <f t="shared" si="53"/>
        <v>5820</v>
      </c>
      <c r="I263" s="13">
        <f t="shared" si="54"/>
        <v>-2.9037800687285224E-2</v>
      </c>
      <c r="J263" t="str">
        <f t="shared" si="55"/>
        <v>No Backlog</v>
      </c>
      <c r="K263" s="13">
        <f t="shared" si="56"/>
        <v>0.93224411340701585</v>
      </c>
      <c r="L263" s="13">
        <f t="shared" si="57"/>
        <v>6.5257087938491107</v>
      </c>
      <c r="M263" s="13">
        <f t="shared" si="58"/>
        <v>27.967323402210475</v>
      </c>
      <c r="N263" t="b">
        <f t="shared" si="59"/>
        <v>1</v>
      </c>
      <c r="O263">
        <f t="shared" si="60"/>
        <v>7</v>
      </c>
      <c r="P263" s="13">
        <f t="shared" si="61"/>
        <v>0.93657025896914581</v>
      </c>
      <c r="Q263" s="13">
        <f t="shared" si="62"/>
        <v>0.93608985058434535</v>
      </c>
      <c r="R263" s="15" t="b">
        <f t="shared" si="63"/>
        <v>0</v>
      </c>
      <c r="S263" s="13">
        <f t="shared" si="64"/>
        <v>2.2905654332852795E-2</v>
      </c>
    </row>
    <row r="264" spans="1:19" x14ac:dyDescent="0.3">
      <c r="A264" s="4">
        <v>45337</v>
      </c>
      <c r="B264" s="2">
        <v>239</v>
      </c>
      <c r="C264" s="2">
        <v>367</v>
      </c>
      <c r="D264" s="2">
        <v>224</v>
      </c>
      <c r="E264">
        <v>5862</v>
      </c>
      <c r="F264">
        <v>211</v>
      </c>
      <c r="G264" s="2">
        <f t="shared" si="52"/>
        <v>6229</v>
      </c>
      <c r="H264">
        <f t="shared" si="53"/>
        <v>5651</v>
      </c>
      <c r="I264" s="13">
        <f t="shared" si="54"/>
        <v>1.1148469297469474E-2</v>
      </c>
      <c r="J264" t="str">
        <f t="shared" si="55"/>
        <v>Backlog</v>
      </c>
      <c r="K264" s="13">
        <f t="shared" si="56"/>
        <v>0.9072082196179162</v>
      </c>
      <c r="L264" s="13">
        <f t="shared" si="57"/>
        <v>6.3504575373254131</v>
      </c>
      <c r="M264" s="13">
        <f t="shared" si="58"/>
        <v>27.216246588537487</v>
      </c>
      <c r="N264" t="b">
        <f t="shared" si="59"/>
        <v>1</v>
      </c>
      <c r="O264">
        <f t="shared" si="60"/>
        <v>7</v>
      </c>
      <c r="P264" s="13">
        <f t="shared" si="61"/>
        <v>0.92427980780994934</v>
      </c>
      <c r="Q264" s="13">
        <f t="shared" si="62"/>
        <v>0.93033305113966935</v>
      </c>
      <c r="R264" s="15" t="str">
        <f t="shared" si="63"/>
        <v>STRAIN</v>
      </c>
      <c r="S264" s="13">
        <f t="shared" si="64"/>
        <v>3.3873816021833363E-2</v>
      </c>
    </row>
    <row r="265" spans="1:19" x14ac:dyDescent="0.3">
      <c r="A265" s="4">
        <v>45341</v>
      </c>
      <c r="B265" s="2">
        <v>152</v>
      </c>
      <c r="C265" s="2">
        <v>272</v>
      </c>
      <c r="D265" s="2">
        <v>214</v>
      </c>
      <c r="E265">
        <v>5826</v>
      </c>
      <c r="F265">
        <v>112</v>
      </c>
      <c r="G265" s="2">
        <f t="shared" si="52"/>
        <v>6098</v>
      </c>
      <c r="H265">
        <f t="shared" si="53"/>
        <v>5714</v>
      </c>
      <c r="I265" s="13">
        <f t="shared" si="54"/>
        <v>-2.24011200560028E-2</v>
      </c>
      <c r="J265" t="str">
        <f t="shared" si="55"/>
        <v>No Backlog</v>
      </c>
      <c r="K265" s="13">
        <f t="shared" si="56"/>
        <v>0.93702853394555596</v>
      </c>
      <c r="L265" s="13">
        <f t="shared" si="57"/>
        <v>6.5591997376188917</v>
      </c>
      <c r="M265" s="13">
        <f t="shared" si="58"/>
        <v>28.110856018366679</v>
      </c>
      <c r="N265" t="b">
        <f t="shared" si="59"/>
        <v>1</v>
      </c>
      <c r="O265">
        <f t="shared" si="60"/>
        <v>8</v>
      </c>
      <c r="P265" s="13">
        <f t="shared" si="61"/>
        <v>0.94020141409997826</v>
      </c>
      <c r="Q265" s="13">
        <f t="shared" si="62"/>
        <v>0.93613617957569129</v>
      </c>
      <c r="R265" s="15" t="b">
        <f t="shared" si="63"/>
        <v>0</v>
      </c>
      <c r="S265" s="13">
        <f t="shared" si="64"/>
        <v>1.8366677599212858E-2</v>
      </c>
    </row>
    <row r="266" spans="1:19" x14ac:dyDescent="0.3">
      <c r="A266" s="4">
        <v>45342</v>
      </c>
      <c r="B266" s="2">
        <v>170</v>
      </c>
      <c r="C266" s="2">
        <v>297</v>
      </c>
      <c r="D266" s="2">
        <v>196</v>
      </c>
      <c r="E266">
        <v>5715</v>
      </c>
      <c r="F266">
        <v>129</v>
      </c>
      <c r="G266" s="2">
        <f t="shared" si="52"/>
        <v>6012</v>
      </c>
      <c r="H266">
        <f t="shared" si="53"/>
        <v>5586</v>
      </c>
      <c r="I266" s="13">
        <f t="shared" si="54"/>
        <v>-2.309344790547798E-2</v>
      </c>
      <c r="J266" t="str">
        <f t="shared" si="55"/>
        <v>No Backlog</v>
      </c>
      <c r="K266" s="13">
        <f t="shared" si="56"/>
        <v>0.92914171656686628</v>
      </c>
      <c r="L266" s="13">
        <f t="shared" si="57"/>
        <v>6.5039920159680644</v>
      </c>
      <c r="M266" s="13">
        <f t="shared" si="58"/>
        <v>27.874251497005989</v>
      </c>
      <c r="N266" t="b">
        <f t="shared" si="59"/>
        <v>1</v>
      </c>
      <c r="O266">
        <f t="shared" si="60"/>
        <v>8</v>
      </c>
      <c r="P266" s="13">
        <f t="shared" si="61"/>
        <v>0.9309664772678341</v>
      </c>
      <c r="Q266" s="13">
        <f t="shared" si="62"/>
        <v>0.93358694153792698</v>
      </c>
      <c r="R266" s="15" t="b">
        <f t="shared" si="63"/>
        <v>0</v>
      </c>
      <c r="S266" s="13">
        <f t="shared" si="64"/>
        <v>2.1457085828343315E-2</v>
      </c>
    </row>
    <row r="267" spans="1:19" x14ac:dyDescent="0.3">
      <c r="A267" s="4">
        <v>45343</v>
      </c>
      <c r="B267" s="2">
        <v>191</v>
      </c>
      <c r="C267" s="2">
        <v>283</v>
      </c>
      <c r="D267" s="2">
        <v>192</v>
      </c>
      <c r="E267">
        <v>5664</v>
      </c>
      <c r="F267">
        <v>207</v>
      </c>
      <c r="G267" s="2">
        <f t="shared" si="52"/>
        <v>5947</v>
      </c>
      <c r="H267">
        <f t="shared" si="53"/>
        <v>5457</v>
      </c>
      <c r="I267" s="13">
        <f t="shared" si="54"/>
        <v>3.3534909290819134E-2</v>
      </c>
      <c r="J267" t="str">
        <f t="shared" si="55"/>
        <v>Backlog</v>
      </c>
      <c r="K267" s="13">
        <f t="shared" si="56"/>
        <v>0.91760551538590884</v>
      </c>
      <c r="L267" s="13">
        <f t="shared" si="57"/>
        <v>6.4232386077013617</v>
      </c>
      <c r="M267" s="13">
        <f t="shared" si="58"/>
        <v>27.528165461577267</v>
      </c>
      <c r="N267" t="b">
        <f t="shared" si="59"/>
        <v>1</v>
      </c>
      <c r="O267">
        <f t="shared" si="60"/>
        <v>8</v>
      </c>
      <c r="P267" s="13">
        <f t="shared" si="61"/>
        <v>0.92749270003760531</v>
      </c>
      <c r="Q267" s="13">
        <f t="shared" si="62"/>
        <v>0.92931150173111021</v>
      </c>
      <c r="R267" s="15" t="str">
        <f t="shared" si="63"/>
        <v>STRAIN</v>
      </c>
      <c r="S267" s="13">
        <f t="shared" si="64"/>
        <v>3.4807465949218096E-2</v>
      </c>
    </row>
    <row r="268" spans="1:19" x14ac:dyDescent="0.3">
      <c r="A268" s="4">
        <v>45344</v>
      </c>
      <c r="B268" s="2">
        <v>109</v>
      </c>
      <c r="C268" s="2">
        <v>214</v>
      </c>
      <c r="D268" s="2">
        <v>173</v>
      </c>
      <c r="E268">
        <v>5850</v>
      </c>
      <c r="F268">
        <v>210</v>
      </c>
      <c r="G268" s="2">
        <f t="shared" si="52"/>
        <v>6064</v>
      </c>
      <c r="H268">
        <f t="shared" si="53"/>
        <v>5640</v>
      </c>
      <c r="I268" s="13">
        <f t="shared" si="54"/>
        <v>1.6134751773049644E-2</v>
      </c>
      <c r="J268" t="str">
        <f t="shared" si="55"/>
        <v>Backlog</v>
      </c>
      <c r="K268" s="13">
        <f t="shared" si="56"/>
        <v>0.93007915567282318</v>
      </c>
      <c r="L268" s="13">
        <f t="shared" si="57"/>
        <v>6.5105540897097622</v>
      </c>
      <c r="M268" s="13">
        <f t="shared" si="58"/>
        <v>27.902374670184695</v>
      </c>
      <c r="N268" t="b">
        <f t="shared" si="59"/>
        <v>1</v>
      </c>
      <c r="O268">
        <f t="shared" si="60"/>
        <v>8</v>
      </c>
      <c r="P268" s="13">
        <f t="shared" si="61"/>
        <v>0.93316065334760134</v>
      </c>
      <c r="Q268" s="13">
        <f t="shared" si="62"/>
        <v>0.93761036290719668</v>
      </c>
      <c r="R268" s="15" t="str">
        <f t="shared" si="63"/>
        <v>STRAIN</v>
      </c>
      <c r="S268" s="13">
        <f t="shared" si="64"/>
        <v>3.4630606860158314E-2</v>
      </c>
    </row>
    <row r="269" spans="1:19" x14ac:dyDescent="0.3">
      <c r="A269" s="4">
        <v>45347</v>
      </c>
      <c r="B269" s="2">
        <v>155</v>
      </c>
      <c r="C269" s="2">
        <v>212</v>
      </c>
      <c r="D269" s="2">
        <v>181</v>
      </c>
      <c r="E269">
        <v>5879</v>
      </c>
      <c r="F269">
        <v>148</v>
      </c>
      <c r="G269" s="2">
        <f t="shared" si="52"/>
        <v>6091</v>
      </c>
      <c r="H269">
        <f t="shared" si="53"/>
        <v>5731</v>
      </c>
      <c r="I269" s="13">
        <f t="shared" si="54"/>
        <v>-5.7581573896353169E-3</v>
      </c>
      <c r="J269" t="str">
        <f t="shared" si="55"/>
        <v>No Backlog</v>
      </c>
      <c r="K269" s="13">
        <f t="shared" si="56"/>
        <v>0.94089640453127565</v>
      </c>
      <c r="L269" s="13">
        <f t="shared" si="57"/>
        <v>6.5862748317189297</v>
      </c>
      <c r="M269" s="13">
        <f t="shared" si="58"/>
        <v>28.226892135938268</v>
      </c>
      <c r="N269" t="b">
        <f t="shared" si="59"/>
        <v>1</v>
      </c>
      <c r="O269">
        <f t="shared" si="60"/>
        <v>9</v>
      </c>
      <c r="P269" s="13">
        <f t="shared" si="61"/>
        <v>0.9404159961464752</v>
      </c>
      <c r="Q269" s="13">
        <f t="shared" si="62"/>
        <v>0.94163794419064994</v>
      </c>
      <c r="R269" s="15" t="b">
        <f t="shared" si="63"/>
        <v>0</v>
      </c>
      <c r="S269" s="13">
        <f t="shared" si="64"/>
        <v>2.4298144803808899E-2</v>
      </c>
    </row>
    <row r="270" spans="1:19" x14ac:dyDescent="0.3">
      <c r="A270" s="4">
        <v>45348</v>
      </c>
      <c r="B270" s="2">
        <v>119</v>
      </c>
      <c r="C270" s="2">
        <v>209</v>
      </c>
      <c r="D270" s="2">
        <v>152</v>
      </c>
      <c r="E270">
        <v>5844</v>
      </c>
      <c r="F270">
        <v>146</v>
      </c>
      <c r="G270" s="2">
        <f t="shared" si="52"/>
        <v>6053</v>
      </c>
      <c r="H270">
        <f t="shared" si="53"/>
        <v>5698</v>
      </c>
      <c r="I270" s="13">
        <f t="shared" si="54"/>
        <v>-2.9835029835029833E-3</v>
      </c>
      <c r="J270" t="str">
        <f t="shared" si="55"/>
        <v>No Backlog</v>
      </c>
      <c r="K270" s="13">
        <f t="shared" si="56"/>
        <v>0.94135139600198248</v>
      </c>
      <c r="L270" s="13">
        <f t="shared" si="57"/>
        <v>6.5894597720138774</v>
      </c>
      <c r="M270" s="13">
        <f t="shared" si="58"/>
        <v>28.240541880059475</v>
      </c>
      <c r="N270" t="b">
        <f t="shared" si="59"/>
        <v>1</v>
      </c>
      <c r="O270">
        <f t="shared" si="60"/>
        <v>9</v>
      </c>
      <c r="P270" s="13">
        <f t="shared" si="61"/>
        <v>0.94740463933170249</v>
      </c>
      <c r="Q270" s="13">
        <f t="shared" si="62"/>
        <v>0.93759781248331842</v>
      </c>
      <c r="R270" s="15" t="b">
        <f t="shared" si="63"/>
        <v>0</v>
      </c>
      <c r="S270" s="13">
        <f t="shared" si="64"/>
        <v>2.4120270940029737E-2</v>
      </c>
    </row>
    <row r="271" spans="1:19" x14ac:dyDescent="0.3">
      <c r="A271" s="4">
        <v>45349</v>
      </c>
      <c r="B271" s="2">
        <v>143</v>
      </c>
      <c r="C271" s="2">
        <v>203</v>
      </c>
      <c r="D271" s="2">
        <v>163</v>
      </c>
      <c r="E271">
        <v>5819</v>
      </c>
      <c r="F271">
        <v>138</v>
      </c>
      <c r="G271" s="2">
        <f t="shared" si="52"/>
        <v>6022</v>
      </c>
      <c r="H271">
        <f t="shared" si="53"/>
        <v>5681</v>
      </c>
      <c r="I271" s="13">
        <f t="shared" si="54"/>
        <v>-1.0561520859003696E-2</v>
      </c>
      <c r="J271" t="str">
        <f t="shared" si="55"/>
        <v>No Backlog</v>
      </c>
      <c r="K271" s="13">
        <f t="shared" si="56"/>
        <v>0.94337429425440056</v>
      </c>
      <c r="L271" s="13">
        <f t="shared" si="57"/>
        <v>6.6036200597808037</v>
      </c>
      <c r="M271" s="13">
        <f t="shared" si="58"/>
        <v>28.301228827632016</v>
      </c>
      <c r="N271" t="b">
        <f t="shared" si="59"/>
        <v>1</v>
      </c>
      <c r="O271">
        <f t="shared" si="60"/>
        <v>9</v>
      </c>
      <c r="P271" s="13">
        <f t="shared" si="61"/>
        <v>0.93930905973011347</v>
      </c>
      <c r="Q271" s="13">
        <f t="shared" si="62"/>
        <v>0.93775718603770608</v>
      </c>
      <c r="R271" s="15" t="b">
        <f t="shared" si="63"/>
        <v>0</v>
      </c>
      <c r="S271" s="13">
        <f t="shared" si="64"/>
        <v>2.2915974759216206E-2</v>
      </c>
    </row>
    <row r="272" spans="1:19" x14ac:dyDescent="0.3">
      <c r="A272" s="4">
        <v>45350</v>
      </c>
      <c r="B272" s="2">
        <v>105</v>
      </c>
      <c r="C272" s="2">
        <v>210</v>
      </c>
      <c r="D272" s="2">
        <v>149</v>
      </c>
      <c r="E272">
        <v>5816</v>
      </c>
      <c r="F272">
        <v>195</v>
      </c>
      <c r="G272" s="2">
        <f t="shared" si="52"/>
        <v>6026</v>
      </c>
      <c r="H272">
        <f t="shared" si="53"/>
        <v>5621</v>
      </c>
      <c r="I272" s="13">
        <f t="shared" si="54"/>
        <v>4.1273794698452236E-2</v>
      </c>
      <c r="J272" t="str">
        <f t="shared" si="55"/>
        <v>Backlog</v>
      </c>
      <c r="K272" s="13">
        <f t="shared" si="56"/>
        <v>0.93279123796880181</v>
      </c>
      <c r="L272" s="13">
        <f t="shared" si="57"/>
        <v>6.5295386657816126</v>
      </c>
      <c r="M272" s="13">
        <f t="shared" si="58"/>
        <v>27.983737139064054</v>
      </c>
      <c r="N272" t="b">
        <f t="shared" si="59"/>
        <v>1</v>
      </c>
      <c r="O272">
        <f t="shared" si="60"/>
        <v>9</v>
      </c>
      <c r="P272" s="13">
        <f t="shared" si="61"/>
        <v>0.9354117022388948</v>
      </c>
      <c r="Q272" s="13">
        <f t="shared" si="62"/>
        <v>0.93482739087849454</v>
      </c>
      <c r="R272" s="15" t="str">
        <f t="shared" si="63"/>
        <v>STRAIN</v>
      </c>
      <c r="S272" s="13">
        <f t="shared" si="64"/>
        <v>3.2359774311317625E-2</v>
      </c>
    </row>
    <row r="273" spans="1:19" x14ac:dyDescent="0.3">
      <c r="A273" s="4">
        <v>45351</v>
      </c>
      <c r="B273" s="2">
        <v>119</v>
      </c>
      <c r="C273" s="2">
        <v>219</v>
      </c>
      <c r="D273" s="2">
        <v>210</v>
      </c>
      <c r="E273">
        <v>6025</v>
      </c>
      <c r="F273">
        <v>172</v>
      </c>
      <c r="G273" s="2">
        <f t="shared" si="52"/>
        <v>6244</v>
      </c>
      <c r="H273">
        <f t="shared" si="53"/>
        <v>5853</v>
      </c>
      <c r="I273" s="13">
        <f t="shared" si="54"/>
        <v>-6.4923970613360669E-3</v>
      </c>
      <c r="J273" t="str">
        <f t="shared" si="55"/>
        <v>No Backlog</v>
      </c>
      <c r="K273" s="13">
        <f t="shared" si="56"/>
        <v>0.93737988468930178</v>
      </c>
      <c r="L273" s="13">
        <f t="shared" si="57"/>
        <v>6.5616591928251129</v>
      </c>
      <c r="M273" s="13">
        <f t="shared" si="58"/>
        <v>28.121396540679054</v>
      </c>
      <c r="N273" t="b">
        <f t="shared" si="59"/>
        <v>1</v>
      </c>
      <c r="O273">
        <f t="shared" si="60"/>
        <v>9</v>
      </c>
      <c r="P273" s="13">
        <f t="shared" si="61"/>
        <v>0.93919868638280668</v>
      </c>
      <c r="Q273" s="13">
        <f t="shared" si="62"/>
        <v>0.93461350922363184</v>
      </c>
      <c r="R273" s="15" t="b">
        <f t="shared" si="63"/>
        <v>0</v>
      </c>
      <c r="S273" s="13">
        <f t="shared" si="64"/>
        <v>2.7546444586803331E-2</v>
      </c>
    </row>
    <row r="274" spans="1:19" x14ac:dyDescent="0.3">
      <c r="A274" s="4">
        <v>45354</v>
      </c>
      <c r="B274" s="2">
        <v>148</v>
      </c>
      <c r="C274" s="2">
        <v>245</v>
      </c>
      <c r="D274" s="2">
        <v>175</v>
      </c>
      <c r="E274">
        <v>5966</v>
      </c>
      <c r="F274">
        <v>151</v>
      </c>
      <c r="G274" s="2">
        <f t="shared" si="52"/>
        <v>6211</v>
      </c>
      <c r="H274">
        <f t="shared" si="53"/>
        <v>5815</v>
      </c>
      <c r="I274" s="13">
        <f t="shared" si="54"/>
        <v>3.7833190025795358E-3</v>
      </c>
      <c r="J274" t="str">
        <f t="shared" si="55"/>
        <v>Backlog</v>
      </c>
      <c r="K274" s="13">
        <f t="shared" si="56"/>
        <v>0.93624215102237962</v>
      </c>
      <c r="L274" s="13">
        <f t="shared" si="57"/>
        <v>6.5536950571566575</v>
      </c>
      <c r="M274" s="13">
        <f t="shared" si="58"/>
        <v>28.087264530671387</v>
      </c>
      <c r="N274" t="b">
        <f t="shared" si="59"/>
        <v>1</v>
      </c>
      <c r="O274">
        <f t="shared" si="60"/>
        <v>10</v>
      </c>
      <c r="P274" s="13">
        <f t="shared" si="61"/>
        <v>0.94069186058197496</v>
      </c>
      <c r="Q274" s="13">
        <f t="shared" si="62"/>
        <v>0.92795883596927786</v>
      </c>
      <c r="R274" s="15" t="str">
        <f t="shared" si="63"/>
        <v>STRAIN</v>
      </c>
      <c r="S274" s="13">
        <f t="shared" si="64"/>
        <v>2.4311705039446144E-2</v>
      </c>
    </row>
    <row r="275" spans="1:19" x14ac:dyDescent="0.3">
      <c r="A275" s="4">
        <v>45355</v>
      </c>
      <c r="B275" s="2">
        <v>142</v>
      </c>
      <c r="C275" s="2">
        <v>235</v>
      </c>
      <c r="D275" s="2">
        <v>139</v>
      </c>
      <c r="E275">
        <v>5975</v>
      </c>
      <c r="F275">
        <v>138</v>
      </c>
      <c r="G275" s="2">
        <f t="shared" si="52"/>
        <v>6210</v>
      </c>
      <c r="H275">
        <f t="shared" si="53"/>
        <v>5837</v>
      </c>
      <c r="I275" s="13">
        <f t="shared" si="54"/>
        <v>-3.2550967962994689E-3</v>
      </c>
      <c r="J275" t="str">
        <f t="shared" si="55"/>
        <v>No Backlog</v>
      </c>
      <c r="K275" s="13">
        <f t="shared" si="56"/>
        <v>0.93993558776167474</v>
      </c>
      <c r="L275" s="13">
        <f t="shared" si="57"/>
        <v>6.5795491143317228</v>
      </c>
      <c r="M275" s="13">
        <f t="shared" si="58"/>
        <v>28.198067632850243</v>
      </c>
      <c r="N275" t="b">
        <f t="shared" si="59"/>
        <v>1</v>
      </c>
      <c r="O275">
        <f t="shared" si="60"/>
        <v>10</v>
      </c>
      <c r="P275" s="13">
        <f t="shared" si="61"/>
        <v>0.94115753580584949</v>
      </c>
      <c r="Q275" s="13">
        <f t="shared" si="62"/>
        <v>0.93606416807641102</v>
      </c>
      <c r="R275" s="15" t="b">
        <f t="shared" si="63"/>
        <v>0</v>
      </c>
      <c r="S275" s="13">
        <f t="shared" si="64"/>
        <v>2.2222222222222223E-2</v>
      </c>
    </row>
    <row r="276" spans="1:19" x14ac:dyDescent="0.3">
      <c r="A276" s="4">
        <v>45356</v>
      </c>
      <c r="B276" s="2">
        <v>118</v>
      </c>
      <c r="C276" s="2">
        <v>139</v>
      </c>
      <c r="D276" s="2">
        <v>168</v>
      </c>
      <c r="E276">
        <v>5963</v>
      </c>
      <c r="F276">
        <v>145</v>
      </c>
      <c r="G276" s="2">
        <f t="shared" si="52"/>
        <v>6102</v>
      </c>
      <c r="H276">
        <f t="shared" si="53"/>
        <v>5818</v>
      </c>
      <c r="I276" s="13">
        <f t="shared" si="54"/>
        <v>1.5297353042282571E-2</v>
      </c>
      <c r="J276" t="str">
        <f t="shared" si="55"/>
        <v>Backlog</v>
      </c>
      <c r="K276" s="13">
        <f t="shared" si="56"/>
        <v>0.95345788266142251</v>
      </c>
      <c r="L276" s="13">
        <f t="shared" si="57"/>
        <v>6.6742051786299577</v>
      </c>
      <c r="M276" s="13">
        <f t="shared" si="58"/>
        <v>28.603736479842674</v>
      </c>
      <c r="N276" t="b">
        <f t="shared" si="59"/>
        <v>0</v>
      </c>
      <c r="O276">
        <f t="shared" si="60"/>
        <v>10</v>
      </c>
      <c r="P276" s="13">
        <f t="shared" si="61"/>
        <v>0.94365105581303843</v>
      </c>
      <c r="Q276" s="13">
        <f t="shared" si="62"/>
        <v>0.94596822648016565</v>
      </c>
      <c r="R276" s="15" t="str">
        <f t="shared" si="63"/>
        <v>STRAIN</v>
      </c>
      <c r="S276" s="13">
        <f t="shared" si="64"/>
        <v>2.3762700753851198E-2</v>
      </c>
    </row>
    <row r="277" spans="1:19" x14ac:dyDescent="0.3">
      <c r="A277" s="4">
        <v>45357</v>
      </c>
      <c r="B277" s="2">
        <v>125</v>
      </c>
      <c r="C277" s="2">
        <v>232</v>
      </c>
      <c r="D277" s="2">
        <v>192</v>
      </c>
      <c r="E277">
        <v>6084</v>
      </c>
      <c r="F277">
        <v>177</v>
      </c>
      <c r="G277" s="2">
        <f t="shared" si="52"/>
        <v>6316</v>
      </c>
      <c r="H277">
        <f t="shared" si="53"/>
        <v>5907</v>
      </c>
      <c r="I277" s="13">
        <f t="shared" si="54"/>
        <v>7.1102082275266631E-3</v>
      </c>
      <c r="J277" t="str">
        <f t="shared" si="55"/>
        <v>Backlog</v>
      </c>
      <c r="K277" s="13">
        <f t="shared" si="56"/>
        <v>0.9352438252058265</v>
      </c>
      <c r="L277" s="13">
        <f t="shared" si="57"/>
        <v>6.5467067764407858</v>
      </c>
      <c r="M277" s="13">
        <f t="shared" si="58"/>
        <v>28.057314756174794</v>
      </c>
      <c r="N277" t="b">
        <f t="shared" si="59"/>
        <v>1</v>
      </c>
      <c r="O277">
        <f t="shared" si="60"/>
        <v>10</v>
      </c>
      <c r="P277" s="13">
        <f t="shared" si="61"/>
        <v>0.9336919515134191</v>
      </c>
      <c r="Q277" s="13">
        <f t="shared" si="62"/>
        <v>0.93739236200478837</v>
      </c>
      <c r="R277" s="15" t="str">
        <f t="shared" si="63"/>
        <v>STRAIN</v>
      </c>
      <c r="S277" s="13">
        <f t="shared" si="64"/>
        <v>2.8024065864471183E-2</v>
      </c>
    </row>
    <row r="278" spans="1:19" x14ac:dyDescent="0.3">
      <c r="A278" s="4">
        <v>45358</v>
      </c>
      <c r="B278" s="2">
        <v>156</v>
      </c>
      <c r="C278" s="2">
        <v>256</v>
      </c>
      <c r="D278" s="2">
        <v>176</v>
      </c>
      <c r="E278">
        <v>6086</v>
      </c>
      <c r="F278">
        <v>137</v>
      </c>
      <c r="G278" s="2">
        <f t="shared" si="52"/>
        <v>6342</v>
      </c>
      <c r="H278">
        <f t="shared" si="53"/>
        <v>5949</v>
      </c>
      <c r="I278" s="13">
        <f t="shared" si="54"/>
        <v>-5.0428643469490669E-3</v>
      </c>
      <c r="J278" t="str">
        <f t="shared" si="55"/>
        <v>No Backlog</v>
      </c>
      <c r="K278" s="13">
        <f t="shared" si="56"/>
        <v>0.93803216650898769</v>
      </c>
      <c r="L278" s="13">
        <f t="shared" si="57"/>
        <v>6.5662251655629138</v>
      </c>
      <c r="M278" s="13">
        <f t="shared" si="58"/>
        <v>28.140964995269631</v>
      </c>
      <c r="N278" t="b">
        <f t="shared" si="59"/>
        <v>1</v>
      </c>
      <c r="O278">
        <f t="shared" si="60"/>
        <v>10</v>
      </c>
      <c r="P278" s="13">
        <f t="shared" si="61"/>
        <v>0.93744785514858753</v>
      </c>
      <c r="Q278" s="13">
        <f t="shared" si="62"/>
        <v>0.9309954180946618</v>
      </c>
      <c r="R278" s="15" t="b">
        <f t="shared" si="63"/>
        <v>0</v>
      </c>
      <c r="S278" s="13">
        <f t="shared" si="64"/>
        <v>2.1602018290760014E-2</v>
      </c>
    </row>
    <row r="279" spans="1:19" x14ac:dyDescent="0.3">
      <c r="A279" s="4">
        <v>45361</v>
      </c>
      <c r="B279" s="2">
        <v>109</v>
      </c>
      <c r="C279" s="2">
        <v>245</v>
      </c>
      <c r="D279" s="2">
        <v>159</v>
      </c>
      <c r="E279">
        <v>6045</v>
      </c>
      <c r="F279">
        <v>126</v>
      </c>
      <c r="G279" s="2">
        <f t="shared" si="52"/>
        <v>6290</v>
      </c>
      <c r="H279">
        <f t="shared" si="53"/>
        <v>5919</v>
      </c>
      <c r="I279" s="13">
        <f t="shared" si="54"/>
        <v>-7.4336881229937488E-3</v>
      </c>
      <c r="J279" t="str">
        <f t="shared" si="55"/>
        <v>No Backlog</v>
      </c>
      <c r="K279" s="13">
        <f t="shared" si="56"/>
        <v>0.94101748807631158</v>
      </c>
      <c r="L279" s="13">
        <f t="shared" si="57"/>
        <v>6.5871224165341813</v>
      </c>
      <c r="M279" s="13">
        <f t="shared" si="58"/>
        <v>28.230524642289346</v>
      </c>
      <c r="N279" t="b">
        <f t="shared" si="59"/>
        <v>1</v>
      </c>
      <c r="O279">
        <f t="shared" si="60"/>
        <v>11</v>
      </c>
      <c r="P279" s="13">
        <f t="shared" si="61"/>
        <v>0.93643231091713663</v>
      </c>
      <c r="Q279" s="13">
        <f t="shared" si="62"/>
        <v>0.93958581349581516</v>
      </c>
      <c r="R279" s="15" t="b">
        <f t="shared" si="63"/>
        <v>0</v>
      </c>
      <c r="S279" s="13">
        <f t="shared" si="64"/>
        <v>2.0031796502384739E-2</v>
      </c>
    </row>
    <row r="280" spans="1:19" x14ac:dyDescent="0.3">
      <c r="A280" s="4">
        <v>45362</v>
      </c>
      <c r="B280" s="2">
        <v>167</v>
      </c>
      <c r="C280" s="2">
        <v>209</v>
      </c>
      <c r="D280" s="2">
        <v>157</v>
      </c>
      <c r="E280">
        <v>6007</v>
      </c>
      <c r="F280">
        <v>132</v>
      </c>
      <c r="G280" s="2">
        <f t="shared" si="52"/>
        <v>6216</v>
      </c>
      <c r="H280">
        <f t="shared" si="53"/>
        <v>5875</v>
      </c>
      <c r="I280" s="13">
        <f t="shared" si="54"/>
        <v>-1.1744680851063829E-2</v>
      </c>
      <c r="J280" t="str">
        <f t="shared" si="55"/>
        <v>No Backlog</v>
      </c>
      <c r="K280" s="13">
        <f t="shared" si="56"/>
        <v>0.94514157014157019</v>
      </c>
      <c r="L280" s="13">
        <f t="shared" si="57"/>
        <v>6.6159909909909915</v>
      </c>
      <c r="M280" s="13">
        <f t="shared" si="58"/>
        <v>28.354247104247104</v>
      </c>
      <c r="N280" t="b">
        <f t="shared" si="59"/>
        <v>1</v>
      </c>
      <c r="O280">
        <f t="shared" si="60"/>
        <v>11</v>
      </c>
      <c r="P280" s="13">
        <f t="shared" si="61"/>
        <v>0.9324085455288732</v>
      </c>
      <c r="Q280" s="13">
        <f t="shared" si="62"/>
        <v>0.93982280215668923</v>
      </c>
      <c r="R280" s="15" t="b">
        <f t="shared" si="63"/>
        <v>0</v>
      </c>
      <c r="S280" s="13">
        <f t="shared" si="64"/>
        <v>2.1235521235521235E-2</v>
      </c>
    </row>
    <row r="281" spans="1:19" x14ac:dyDescent="0.3">
      <c r="A281" s="4">
        <v>45363</v>
      </c>
      <c r="B281" s="2">
        <v>84</v>
      </c>
      <c r="C281" s="2">
        <v>171</v>
      </c>
      <c r="D281" s="2">
        <v>157</v>
      </c>
      <c r="E281">
        <v>5990</v>
      </c>
      <c r="F281">
        <v>184</v>
      </c>
      <c r="G281" s="2">
        <f t="shared" si="52"/>
        <v>6161</v>
      </c>
      <c r="H281">
        <f t="shared" si="53"/>
        <v>5806</v>
      </c>
      <c r="I281" s="13">
        <f t="shared" si="54"/>
        <v>2.8418877023768517E-2</v>
      </c>
      <c r="J281" t="str">
        <f t="shared" si="55"/>
        <v>Backlog</v>
      </c>
      <c r="K281" s="13">
        <f t="shared" si="56"/>
        <v>0.94237948385002435</v>
      </c>
      <c r="L281" s="13">
        <f t="shared" si="57"/>
        <v>6.5966563869501709</v>
      </c>
      <c r="M281" s="13">
        <f t="shared" si="58"/>
        <v>28.271384515500731</v>
      </c>
      <c r="N281" t="b">
        <f t="shared" si="59"/>
        <v>1</v>
      </c>
      <c r="O281">
        <f t="shared" si="60"/>
        <v>11</v>
      </c>
      <c r="P281" s="13">
        <f t="shared" si="61"/>
        <v>0.93728611612058588</v>
      </c>
      <c r="Q281" s="13">
        <f t="shared" si="62"/>
        <v>0.94587226884994391</v>
      </c>
      <c r="R281" s="15" t="str">
        <f t="shared" si="63"/>
        <v>STRAIN</v>
      </c>
      <c r="S281" s="13">
        <f t="shared" si="64"/>
        <v>2.9865281610128226E-2</v>
      </c>
    </row>
    <row r="282" spans="1:19" x14ac:dyDescent="0.3">
      <c r="A282" s="4">
        <v>45364</v>
      </c>
      <c r="B282" s="2">
        <v>87</v>
      </c>
      <c r="C282" s="2">
        <v>246</v>
      </c>
      <c r="D282" s="2">
        <v>173</v>
      </c>
      <c r="E282">
        <v>6148</v>
      </c>
      <c r="F282">
        <v>177</v>
      </c>
      <c r="G282" s="2">
        <f t="shared" si="52"/>
        <v>6394</v>
      </c>
      <c r="H282">
        <f t="shared" si="53"/>
        <v>5971</v>
      </c>
      <c r="I282" s="13">
        <f t="shared" si="54"/>
        <v>3.0145704237146205E-3</v>
      </c>
      <c r="J282" t="str">
        <f t="shared" si="55"/>
        <v>Backlog</v>
      </c>
      <c r="K282" s="13">
        <f t="shared" si="56"/>
        <v>0.93384422896465435</v>
      </c>
      <c r="L282" s="13">
        <f t="shared" si="57"/>
        <v>6.5369096027525808</v>
      </c>
      <c r="M282" s="13">
        <f t="shared" si="58"/>
        <v>28.015326868939631</v>
      </c>
      <c r="N282" t="b">
        <f t="shared" si="59"/>
        <v>1</v>
      </c>
      <c r="O282">
        <f t="shared" si="60"/>
        <v>11</v>
      </c>
      <c r="P282" s="13">
        <f t="shared" si="61"/>
        <v>0.93616139963178158</v>
      </c>
      <c r="Q282" s="13">
        <f t="shared" si="62"/>
        <v>0.94090162334555694</v>
      </c>
      <c r="R282" s="15" t="str">
        <f t="shared" si="63"/>
        <v>STRAIN</v>
      </c>
      <c r="S282" s="13">
        <f t="shared" si="64"/>
        <v>2.7682202064435408E-2</v>
      </c>
    </row>
    <row r="283" spans="1:19" x14ac:dyDescent="0.3">
      <c r="A283" s="4">
        <v>45365</v>
      </c>
      <c r="B283" s="2">
        <v>136</v>
      </c>
      <c r="C283" s="2">
        <v>276</v>
      </c>
      <c r="D283" s="2">
        <v>178</v>
      </c>
      <c r="E283">
        <v>6149</v>
      </c>
      <c r="F283">
        <v>160</v>
      </c>
      <c r="G283" s="2">
        <f t="shared" si="52"/>
        <v>6425</v>
      </c>
      <c r="H283">
        <f t="shared" si="53"/>
        <v>5989</v>
      </c>
      <c r="I283" s="13">
        <f t="shared" si="54"/>
        <v>-1.502755050926699E-3</v>
      </c>
      <c r="J283" t="str">
        <f t="shared" si="55"/>
        <v>No Backlog</v>
      </c>
      <c r="K283" s="13">
        <f t="shared" si="56"/>
        <v>0.93214007782101171</v>
      </c>
      <c r="L283" s="13">
        <f t="shared" si="57"/>
        <v>6.5249805447470823</v>
      </c>
      <c r="M283" s="13">
        <f t="shared" si="58"/>
        <v>27.96420233463035</v>
      </c>
      <c r="N283" t="b">
        <f t="shared" si="59"/>
        <v>1</v>
      </c>
      <c r="O283">
        <f t="shared" si="60"/>
        <v>11</v>
      </c>
      <c r="P283" s="13">
        <f t="shared" si="61"/>
        <v>0.93584048831238098</v>
      </c>
      <c r="Q283" s="13">
        <f t="shared" si="62"/>
        <v>0.93034407422770671</v>
      </c>
      <c r="R283" s="15" t="b">
        <f t="shared" si="63"/>
        <v>0</v>
      </c>
      <c r="S283" s="13">
        <f t="shared" si="64"/>
        <v>2.4902723735408562E-2</v>
      </c>
    </row>
    <row r="284" spans="1:19" x14ac:dyDescent="0.3">
      <c r="A284" s="4">
        <v>45368</v>
      </c>
      <c r="B284" s="2">
        <v>166</v>
      </c>
      <c r="C284" s="2">
        <v>277</v>
      </c>
      <c r="D284" s="2">
        <v>229</v>
      </c>
      <c r="E284">
        <v>6106</v>
      </c>
      <c r="F284">
        <v>126</v>
      </c>
      <c r="G284" s="2">
        <f t="shared" si="52"/>
        <v>6383</v>
      </c>
      <c r="H284">
        <f t="shared" si="53"/>
        <v>5980</v>
      </c>
      <c r="I284" s="13">
        <f t="shared" si="54"/>
        <v>-2.1404682274247491E-2</v>
      </c>
      <c r="J284" t="str">
        <f t="shared" si="55"/>
        <v>No Backlog</v>
      </c>
      <c r="K284" s="13">
        <f t="shared" si="56"/>
        <v>0.93686354378818737</v>
      </c>
      <c r="L284" s="13">
        <f t="shared" si="57"/>
        <v>6.5580448065173114</v>
      </c>
      <c r="M284" s="13">
        <f t="shared" si="58"/>
        <v>28.105906313645622</v>
      </c>
      <c r="N284" t="b">
        <f t="shared" si="59"/>
        <v>1</v>
      </c>
      <c r="O284">
        <f t="shared" si="60"/>
        <v>12</v>
      </c>
      <c r="P284" s="13">
        <f t="shared" si="61"/>
        <v>0.93041110673426153</v>
      </c>
      <c r="Q284" s="13">
        <f t="shared" si="62"/>
        <v>0.94300260455894214</v>
      </c>
      <c r="R284" s="15" t="b">
        <f t="shared" si="63"/>
        <v>0</v>
      </c>
      <c r="S284" s="13">
        <f t="shared" si="64"/>
        <v>1.9739934200219331E-2</v>
      </c>
    </row>
    <row r="285" spans="1:19" x14ac:dyDescent="0.3">
      <c r="A285" s="4">
        <v>45369</v>
      </c>
      <c r="B285" s="2">
        <v>110</v>
      </c>
      <c r="C285" s="2">
        <v>272</v>
      </c>
      <c r="D285" s="2">
        <v>193</v>
      </c>
      <c r="E285">
        <v>6008</v>
      </c>
      <c r="F285">
        <v>156</v>
      </c>
      <c r="G285" s="2">
        <f t="shared" si="52"/>
        <v>6280</v>
      </c>
      <c r="H285">
        <f t="shared" si="53"/>
        <v>5852</v>
      </c>
      <c r="I285" s="13">
        <f t="shared" si="54"/>
        <v>-1.1961722488038277E-2</v>
      </c>
      <c r="J285" t="str">
        <f t="shared" si="55"/>
        <v>No Backlog</v>
      </c>
      <c r="K285" s="13">
        <f t="shared" si="56"/>
        <v>0.9318471337579618</v>
      </c>
      <c r="L285" s="13">
        <f t="shared" si="57"/>
        <v>6.5229299363057329</v>
      </c>
      <c r="M285" s="13">
        <f t="shared" si="58"/>
        <v>27.955414012738853</v>
      </c>
      <c r="N285" t="b">
        <f t="shared" si="59"/>
        <v>1</v>
      </c>
      <c r="O285">
        <f t="shared" si="60"/>
        <v>12</v>
      </c>
      <c r="P285" s="13">
        <f t="shared" si="61"/>
        <v>0.93500063633664032</v>
      </c>
      <c r="Q285" s="13">
        <f t="shared" si="62"/>
        <v>0.93774218415504662</v>
      </c>
      <c r="R285" s="15" t="b">
        <f t="shared" si="63"/>
        <v>0</v>
      </c>
      <c r="S285" s="13">
        <f t="shared" si="64"/>
        <v>2.4840764331210193E-2</v>
      </c>
    </row>
    <row r="286" spans="1:19" x14ac:dyDescent="0.3">
      <c r="A286" s="4">
        <v>45370</v>
      </c>
      <c r="B286" s="2">
        <v>202</v>
      </c>
      <c r="C286" s="2">
        <v>313</v>
      </c>
      <c r="D286" s="2">
        <v>158</v>
      </c>
      <c r="E286">
        <v>5974</v>
      </c>
      <c r="F286">
        <v>192</v>
      </c>
      <c r="G286" s="2">
        <f t="shared" si="52"/>
        <v>6287</v>
      </c>
      <c r="H286">
        <f t="shared" si="53"/>
        <v>5782</v>
      </c>
      <c r="I286" s="13">
        <f t="shared" si="54"/>
        <v>2.7153234175025943E-2</v>
      </c>
      <c r="J286" t="str">
        <f t="shared" si="55"/>
        <v>Backlog</v>
      </c>
      <c r="K286" s="13">
        <f t="shared" si="56"/>
        <v>0.91967552091617621</v>
      </c>
      <c r="L286" s="13">
        <f t="shared" si="57"/>
        <v>6.4377286464132339</v>
      </c>
      <c r="M286" s="13">
        <f t="shared" si="58"/>
        <v>27.590265627485287</v>
      </c>
      <c r="N286" t="b">
        <f t="shared" si="59"/>
        <v>1</v>
      </c>
      <c r="O286">
        <f t="shared" si="60"/>
        <v>12</v>
      </c>
      <c r="P286" s="13">
        <f t="shared" si="61"/>
        <v>0.92708977754399224</v>
      </c>
      <c r="Q286" s="13">
        <f t="shared" si="62"/>
        <v>0.93088702469353279</v>
      </c>
      <c r="R286" s="15" t="str">
        <f t="shared" si="63"/>
        <v>STRAIN</v>
      </c>
      <c r="S286" s="13">
        <f t="shared" si="64"/>
        <v>3.0539207889295372E-2</v>
      </c>
    </row>
    <row r="287" spans="1:19" x14ac:dyDescent="0.3">
      <c r="A287" s="4">
        <v>45371</v>
      </c>
      <c r="B287" s="2">
        <v>134</v>
      </c>
      <c r="C287" s="2">
        <v>294</v>
      </c>
      <c r="D287" s="2">
        <v>186</v>
      </c>
      <c r="E287">
        <v>6077</v>
      </c>
      <c r="F287">
        <v>138</v>
      </c>
      <c r="G287" s="2">
        <f t="shared" si="52"/>
        <v>6371</v>
      </c>
      <c r="H287">
        <f t="shared" si="53"/>
        <v>5939</v>
      </c>
      <c r="I287" s="13">
        <f t="shared" si="54"/>
        <v>-8.418925745074928E-4</v>
      </c>
      <c r="J287" t="str">
        <f t="shared" si="55"/>
        <v>No Backlog</v>
      </c>
      <c r="K287" s="13">
        <f t="shared" si="56"/>
        <v>0.93219274839114741</v>
      </c>
      <c r="L287" s="13">
        <f t="shared" si="57"/>
        <v>6.5253492387380323</v>
      </c>
      <c r="M287" s="13">
        <f t="shared" si="58"/>
        <v>27.965782451734423</v>
      </c>
      <c r="N287" t="b">
        <f t="shared" si="59"/>
        <v>1</v>
      </c>
      <c r="O287">
        <f t="shared" si="60"/>
        <v>12</v>
      </c>
      <c r="P287" s="13">
        <f t="shared" si="61"/>
        <v>0.94077890112050544</v>
      </c>
      <c r="Q287" s="13">
        <f t="shared" si="62"/>
        <v>0.93824642291268967</v>
      </c>
      <c r="R287" s="15" t="b">
        <f t="shared" si="63"/>
        <v>0</v>
      </c>
      <c r="S287" s="13">
        <f t="shared" si="64"/>
        <v>2.1660649819494584E-2</v>
      </c>
    </row>
    <row r="288" spans="1:19" x14ac:dyDescent="0.3">
      <c r="A288" s="4">
        <v>45372</v>
      </c>
      <c r="B288" s="2">
        <v>180</v>
      </c>
      <c r="C288" s="2">
        <v>280</v>
      </c>
      <c r="D288" s="2">
        <v>146</v>
      </c>
      <c r="E288">
        <v>6043</v>
      </c>
      <c r="F288">
        <v>109</v>
      </c>
      <c r="G288" s="2">
        <f t="shared" si="52"/>
        <v>6323</v>
      </c>
      <c r="H288">
        <f t="shared" si="53"/>
        <v>5934</v>
      </c>
      <c r="I288" s="13">
        <f t="shared" si="54"/>
        <v>-2.0559487698011459E-2</v>
      </c>
      <c r="J288" t="str">
        <f t="shared" si="55"/>
        <v>No Backlog</v>
      </c>
      <c r="K288" s="13">
        <f t="shared" si="56"/>
        <v>0.9384785702989088</v>
      </c>
      <c r="L288" s="13">
        <f t="shared" si="57"/>
        <v>6.5693499920923619</v>
      </c>
      <c r="M288" s="13">
        <f t="shared" si="58"/>
        <v>28.154357108967265</v>
      </c>
      <c r="N288" t="b">
        <f t="shared" si="59"/>
        <v>1</v>
      </c>
      <c r="O288">
        <f t="shared" si="60"/>
        <v>12</v>
      </c>
      <c r="P288" s="13">
        <f t="shared" si="61"/>
        <v>0.94321879401268416</v>
      </c>
      <c r="Q288" s="13">
        <f t="shared" si="62"/>
        <v>0.94097495393926334</v>
      </c>
      <c r="R288" s="15" t="b">
        <f t="shared" si="63"/>
        <v>0</v>
      </c>
      <c r="S288" s="13">
        <f t="shared" si="64"/>
        <v>1.7238652538352047E-2</v>
      </c>
    </row>
    <row r="289" spans="1:19" x14ac:dyDescent="0.3">
      <c r="A289" s="4">
        <v>45375</v>
      </c>
      <c r="B289" s="2">
        <v>108</v>
      </c>
      <c r="C289" s="2">
        <v>220</v>
      </c>
      <c r="D289" s="2">
        <v>213</v>
      </c>
      <c r="E289">
        <v>5966</v>
      </c>
      <c r="F289">
        <v>154</v>
      </c>
      <c r="G289" s="2">
        <f t="shared" si="52"/>
        <v>6186</v>
      </c>
      <c r="H289">
        <f t="shared" si="53"/>
        <v>5812</v>
      </c>
      <c r="I289" s="13">
        <f t="shared" si="54"/>
        <v>-1.5313145216792843E-2</v>
      </c>
      <c r="J289" t="str">
        <f t="shared" si="55"/>
        <v>No Backlog</v>
      </c>
      <c r="K289" s="13">
        <f t="shared" si="56"/>
        <v>0.93954089880375036</v>
      </c>
      <c r="L289" s="13">
        <f t="shared" si="57"/>
        <v>6.5767862916262523</v>
      </c>
      <c r="M289" s="13">
        <f t="shared" si="58"/>
        <v>28.18622696411251</v>
      </c>
      <c r="N289" t="b">
        <f t="shared" si="59"/>
        <v>1</v>
      </c>
      <c r="O289">
        <f t="shared" si="60"/>
        <v>13</v>
      </c>
      <c r="P289" s="13">
        <f t="shared" si="61"/>
        <v>0.93404448471907597</v>
      </c>
      <c r="Q289" s="13">
        <f t="shared" si="62"/>
        <v>0.93900609799052093</v>
      </c>
      <c r="R289" s="15" t="b">
        <f t="shared" si="63"/>
        <v>0</v>
      </c>
      <c r="S289" s="13">
        <f t="shared" si="64"/>
        <v>2.4894924021985128E-2</v>
      </c>
    </row>
    <row r="290" spans="1:19" x14ac:dyDescent="0.3">
      <c r="A290" s="4">
        <v>45376</v>
      </c>
      <c r="B290" s="2">
        <v>147</v>
      </c>
      <c r="C290" s="2">
        <v>276</v>
      </c>
      <c r="D290" s="2">
        <v>214</v>
      </c>
      <c r="E290">
        <v>5918</v>
      </c>
      <c r="F290">
        <v>195</v>
      </c>
      <c r="G290" s="2">
        <f t="shared" si="52"/>
        <v>6194</v>
      </c>
      <c r="H290">
        <f t="shared" si="53"/>
        <v>5723</v>
      </c>
      <c r="I290" s="13">
        <f t="shared" si="54"/>
        <v>3.3723571553381092E-2</v>
      </c>
      <c r="J290" t="str">
        <f t="shared" si="55"/>
        <v>Backlog</v>
      </c>
      <c r="K290" s="13">
        <f t="shared" si="56"/>
        <v>0.9239586696803358</v>
      </c>
      <c r="L290" s="13">
        <f t="shared" si="57"/>
        <v>6.4677106877623505</v>
      </c>
      <c r="M290" s="13">
        <f t="shared" si="58"/>
        <v>27.718760090410075</v>
      </c>
      <c r="N290" t="b">
        <f t="shared" si="59"/>
        <v>1</v>
      </c>
      <c r="O290">
        <f t="shared" si="60"/>
        <v>13</v>
      </c>
      <c r="P290" s="13">
        <f t="shared" si="61"/>
        <v>0.9365501675050163</v>
      </c>
      <c r="Q290" s="13">
        <f t="shared" si="62"/>
        <v>0.92648987937904104</v>
      </c>
      <c r="R290" s="15" t="str">
        <f t="shared" si="63"/>
        <v>STRAIN</v>
      </c>
      <c r="S290" s="13">
        <f t="shared" si="64"/>
        <v>3.1482079431708103E-2</v>
      </c>
    </row>
    <row r="291" spans="1:19" x14ac:dyDescent="0.3">
      <c r="A291" s="4">
        <v>45377</v>
      </c>
      <c r="B291" s="2">
        <v>104</v>
      </c>
      <c r="C291" s="2">
        <v>230</v>
      </c>
      <c r="D291" s="2">
        <v>206</v>
      </c>
      <c r="E291">
        <v>6076</v>
      </c>
      <c r="F291">
        <v>160</v>
      </c>
      <c r="G291" s="2">
        <f t="shared" si="52"/>
        <v>6306</v>
      </c>
      <c r="H291">
        <f t="shared" si="53"/>
        <v>5916</v>
      </c>
      <c r="I291" s="13">
        <f t="shared" si="54"/>
        <v>-1.5212981744421906E-3</v>
      </c>
      <c r="J291" t="str">
        <f t="shared" si="55"/>
        <v>No Backlog</v>
      </c>
      <c r="K291" s="13">
        <f t="shared" si="56"/>
        <v>0.93815413891531874</v>
      </c>
      <c r="L291" s="13">
        <f t="shared" si="57"/>
        <v>6.5670789724072307</v>
      </c>
      <c r="M291" s="13">
        <f t="shared" si="58"/>
        <v>28.144624167459561</v>
      </c>
      <c r="N291" t="b">
        <f t="shared" si="59"/>
        <v>1</v>
      </c>
      <c r="O291">
        <f t="shared" si="60"/>
        <v>13</v>
      </c>
      <c r="P291" s="13">
        <f t="shared" si="61"/>
        <v>0.94089568673372515</v>
      </c>
      <c r="Q291" s="13">
        <f t="shared" si="62"/>
        <v>0.93524789479355186</v>
      </c>
      <c r="R291" s="15" t="b">
        <f t="shared" si="63"/>
        <v>0</v>
      </c>
      <c r="S291" s="13">
        <f t="shared" si="64"/>
        <v>2.5372660957817952E-2</v>
      </c>
    </row>
    <row r="292" spans="1:19" x14ac:dyDescent="0.3">
      <c r="A292" s="4">
        <v>45378</v>
      </c>
      <c r="B292" s="2">
        <v>174</v>
      </c>
      <c r="C292" s="2">
        <v>285</v>
      </c>
      <c r="D292" s="2">
        <v>150</v>
      </c>
      <c r="E292">
        <v>6036</v>
      </c>
      <c r="F292">
        <v>129</v>
      </c>
      <c r="G292" s="2">
        <f t="shared" si="52"/>
        <v>6321</v>
      </c>
      <c r="H292">
        <f t="shared" si="53"/>
        <v>5907</v>
      </c>
      <c r="I292" s="13">
        <f t="shared" si="54"/>
        <v>-1.6929067208396818E-4</v>
      </c>
      <c r="J292" t="str">
        <f t="shared" si="55"/>
        <v>No Backlog</v>
      </c>
      <c r="K292" s="13">
        <f t="shared" si="56"/>
        <v>0.93450403417180827</v>
      </c>
      <c r="L292" s="13">
        <f t="shared" si="57"/>
        <v>6.5415282392026581</v>
      </c>
      <c r="M292" s="13">
        <f t="shared" si="58"/>
        <v>28.035121025154247</v>
      </c>
      <c r="N292" t="b">
        <f t="shared" si="59"/>
        <v>1</v>
      </c>
      <c r="O292">
        <f t="shared" si="60"/>
        <v>13</v>
      </c>
      <c r="P292" s="13">
        <f t="shared" si="61"/>
        <v>0.93830128132134871</v>
      </c>
      <c r="Q292" s="13">
        <f t="shared" si="62"/>
        <v>0.9354827111230497</v>
      </c>
      <c r="R292" s="15" t="b">
        <f t="shared" si="63"/>
        <v>0</v>
      </c>
      <c r="S292" s="13">
        <f t="shared" si="64"/>
        <v>2.0408163265306121E-2</v>
      </c>
    </row>
    <row r="293" spans="1:19" x14ac:dyDescent="0.3">
      <c r="A293" s="4">
        <v>45379</v>
      </c>
      <c r="B293" s="2">
        <v>113</v>
      </c>
      <c r="C293" s="2">
        <v>208</v>
      </c>
      <c r="D293" s="2">
        <v>159</v>
      </c>
      <c r="E293">
        <v>6013</v>
      </c>
      <c r="F293">
        <v>107</v>
      </c>
      <c r="G293" s="2">
        <f t="shared" si="52"/>
        <v>6221</v>
      </c>
      <c r="H293">
        <f t="shared" si="53"/>
        <v>5906</v>
      </c>
      <c r="I293" s="13">
        <f t="shared" si="54"/>
        <v>-1.303758889265154E-2</v>
      </c>
      <c r="J293" t="str">
        <f t="shared" si="55"/>
        <v>No Backlog</v>
      </c>
      <c r="K293" s="13">
        <f t="shared" si="56"/>
        <v>0.94936505384986336</v>
      </c>
      <c r="L293" s="13">
        <f t="shared" si="57"/>
        <v>6.6455553769490434</v>
      </c>
      <c r="M293" s="13">
        <f t="shared" si="58"/>
        <v>28.480951615495901</v>
      </c>
      <c r="N293" t="b">
        <f t="shared" si="59"/>
        <v>1</v>
      </c>
      <c r="O293">
        <f t="shared" si="60"/>
        <v>13</v>
      </c>
      <c r="P293" s="13">
        <f t="shared" si="61"/>
        <v>0.9468325756420477</v>
      </c>
      <c r="Q293" s="13">
        <f t="shared" si="62"/>
        <v>0.94415303097963044</v>
      </c>
      <c r="R293" s="15" t="b">
        <f t="shared" si="63"/>
        <v>0</v>
      </c>
      <c r="S293" s="13">
        <f t="shared" si="64"/>
        <v>1.7199807104967046E-2</v>
      </c>
    </row>
    <row r="294" spans="1:19" x14ac:dyDescent="0.3">
      <c r="A294" s="4">
        <v>45382</v>
      </c>
      <c r="B294" s="2">
        <v>88</v>
      </c>
      <c r="C294" s="2">
        <v>214</v>
      </c>
      <c r="D294" s="2">
        <v>160</v>
      </c>
      <c r="E294">
        <v>5935</v>
      </c>
      <c r="F294">
        <v>106</v>
      </c>
      <c r="G294" s="2">
        <f t="shared" si="52"/>
        <v>6149</v>
      </c>
      <c r="H294">
        <f t="shared" si="53"/>
        <v>5829</v>
      </c>
      <c r="I294" s="13">
        <f t="shared" si="54"/>
        <v>-2.573340195573855E-2</v>
      </c>
      <c r="J294" t="str">
        <f t="shared" si="55"/>
        <v>No Backlog</v>
      </c>
      <c r="K294" s="13">
        <f t="shared" si="56"/>
        <v>0.94795901772645963</v>
      </c>
      <c r="L294" s="13">
        <f t="shared" si="57"/>
        <v>6.6357131240852176</v>
      </c>
      <c r="M294" s="13">
        <f t="shared" si="58"/>
        <v>28.438770531793789</v>
      </c>
      <c r="N294" t="b">
        <f t="shared" si="59"/>
        <v>1</v>
      </c>
      <c r="O294">
        <f t="shared" si="60"/>
        <v>14</v>
      </c>
      <c r="P294" s="13">
        <f t="shared" si="61"/>
        <v>0.94571517765303881</v>
      </c>
      <c r="Q294" s="13">
        <f t="shared" si="62"/>
        <v>0.94258508655247286</v>
      </c>
      <c r="R294" s="15" t="b">
        <f t="shared" si="63"/>
        <v>0</v>
      </c>
      <c r="S294" s="13">
        <f t="shared" si="64"/>
        <v>1.7238575378110261E-2</v>
      </c>
    </row>
    <row r="295" spans="1:19" x14ac:dyDescent="0.3">
      <c r="A295" s="4">
        <v>45383</v>
      </c>
      <c r="B295" s="2">
        <v>130</v>
      </c>
      <c r="C295" s="2">
        <v>227</v>
      </c>
      <c r="D295" s="2">
        <v>192</v>
      </c>
      <c r="E295">
        <v>5889</v>
      </c>
      <c r="F295">
        <v>210</v>
      </c>
      <c r="G295" s="2">
        <f t="shared" si="52"/>
        <v>6116</v>
      </c>
      <c r="H295">
        <f t="shared" si="53"/>
        <v>5679</v>
      </c>
      <c r="I295" s="13">
        <f t="shared" si="54"/>
        <v>4.1732699418911778E-2</v>
      </c>
      <c r="J295" t="str">
        <f t="shared" si="55"/>
        <v>Backlog</v>
      </c>
      <c r="K295" s="13">
        <f t="shared" si="56"/>
        <v>0.92854807063440159</v>
      </c>
      <c r="L295" s="13">
        <f t="shared" si="57"/>
        <v>6.4998364944408111</v>
      </c>
      <c r="M295" s="13">
        <f t="shared" si="58"/>
        <v>27.856442119032046</v>
      </c>
      <c r="N295" t="b">
        <f t="shared" si="59"/>
        <v>1</v>
      </c>
      <c r="O295">
        <f t="shared" si="60"/>
        <v>14</v>
      </c>
      <c r="P295" s="13">
        <f t="shared" si="61"/>
        <v>0.93350968390584654</v>
      </c>
      <c r="Q295" s="13">
        <f t="shared" si="62"/>
        <v>0.93227785575655131</v>
      </c>
      <c r="R295" s="15" t="str">
        <f t="shared" si="63"/>
        <v>STRAIN</v>
      </c>
      <c r="S295" s="13">
        <f t="shared" si="64"/>
        <v>3.4336167429692609E-2</v>
      </c>
    </row>
    <row r="296" spans="1:19" x14ac:dyDescent="0.3">
      <c r="A296" s="4">
        <v>45384</v>
      </c>
      <c r="B296" s="2">
        <v>84</v>
      </c>
      <c r="C296" s="2">
        <v>158</v>
      </c>
      <c r="D296" s="2">
        <v>193</v>
      </c>
      <c r="E296">
        <v>6075</v>
      </c>
      <c r="F296">
        <v>159</v>
      </c>
      <c r="G296" s="2">
        <f t="shared" si="52"/>
        <v>6233</v>
      </c>
      <c r="H296">
        <f t="shared" si="53"/>
        <v>5916</v>
      </c>
      <c r="I296" s="13">
        <f t="shared" si="54"/>
        <v>-1.0141987829614604E-3</v>
      </c>
      <c r="J296" t="str">
        <f t="shared" si="55"/>
        <v>No Backlog</v>
      </c>
      <c r="K296" s="13">
        <f t="shared" si="56"/>
        <v>0.94914166532969679</v>
      </c>
      <c r="L296" s="13">
        <f t="shared" si="57"/>
        <v>6.6439916573078772</v>
      </c>
      <c r="M296" s="13">
        <f t="shared" si="58"/>
        <v>28.474249959890905</v>
      </c>
      <c r="N296" t="b">
        <f t="shared" si="59"/>
        <v>0</v>
      </c>
      <c r="O296">
        <f t="shared" si="60"/>
        <v>14</v>
      </c>
      <c r="P296" s="13">
        <f t="shared" si="61"/>
        <v>0.93908137720372153</v>
      </c>
      <c r="Q296" s="13">
        <f t="shared" si="62"/>
        <v>0.94491732742713686</v>
      </c>
      <c r="R296" s="15" t="b">
        <f t="shared" si="63"/>
        <v>0</v>
      </c>
      <c r="S296" s="13">
        <f t="shared" si="64"/>
        <v>2.5509385528637896E-2</v>
      </c>
    </row>
    <row r="297" spans="1:19" x14ac:dyDescent="0.3">
      <c r="A297" s="4">
        <v>45385</v>
      </c>
      <c r="B297" s="2">
        <v>115</v>
      </c>
      <c r="C297" s="2">
        <v>216</v>
      </c>
      <c r="D297" s="2">
        <v>169</v>
      </c>
      <c r="E297">
        <v>6047</v>
      </c>
      <c r="F297">
        <v>137</v>
      </c>
      <c r="G297" s="2">
        <f t="shared" si="52"/>
        <v>6263</v>
      </c>
      <c r="H297">
        <f t="shared" si="53"/>
        <v>5910</v>
      </c>
      <c r="I297" s="13">
        <f t="shared" si="54"/>
        <v>-3.3840947546531302E-3</v>
      </c>
      <c r="J297" t="str">
        <f t="shared" si="55"/>
        <v>No Backlog</v>
      </c>
      <c r="K297" s="13">
        <f t="shared" si="56"/>
        <v>0.94363723455213155</v>
      </c>
      <c r="L297" s="13">
        <f t="shared" si="57"/>
        <v>6.6054606418649211</v>
      </c>
      <c r="M297" s="13">
        <f t="shared" si="58"/>
        <v>28.309117036563947</v>
      </c>
      <c r="N297" t="b">
        <f t="shared" si="59"/>
        <v>1</v>
      </c>
      <c r="O297">
        <f t="shared" si="60"/>
        <v>14</v>
      </c>
      <c r="P297" s="13">
        <f t="shared" si="61"/>
        <v>0.93798944261195827</v>
      </c>
      <c r="Q297" s="13">
        <f t="shared" si="62"/>
        <v>0.93718901740462113</v>
      </c>
      <c r="R297" s="15" t="b">
        <f t="shared" si="63"/>
        <v>0</v>
      </c>
      <c r="S297" s="13">
        <f t="shared" si="64"/>
        <v>2.187450103784129E-2</v>
      </c>
    </row>
    <row r="298" spans="1:19" x14ac:dyDescent="0.3">
      <c r="A298" s="4">
        <v>45386</v>
      </c>
      <c r="B298" s="2">
        <v>167</v>
      </c>
      <c r="C298" s="2">
        <v>239</v>
      </c>
      <c r="D298" s="2">
        <v>166</v>
      </c>
      <c r="E298">
        <v>6013</v>
      </c>
      <c r="F298">
        <v>123</v>
      </c>
      <c r="G298" s="2">
        <f t="shared" si="52"/>
        <v>6252</v>
      </c>
      <c r="H298">
        <f t="shared" si="53"/>
        <v>5890</v>
      </c>
      <c r="I298" s="13">
        <f t="shared" si="54"/>
        <v>-1.2733446519524618E-2</v>
      </c>
      <c r="J298" t="str">
        <f t="shared" si="55"/>
        <v>No Backlog</v>
      </c>
      <c r="K298" s="13">
        <f t="shared" si="56"/>
        <v>0.94209852847088926</v>
      </c>
      <c r="L298" s="13">
        <f t="shared" si="57"/>
        <v>6.5946896992962252</v>
      </c>
      <c r="M298" s="13">
        <f t="shared" si="58"/>
        <v>28.262955854126677</v>
      </c>
      <c r="N298" t="b">
        <f t="shared" si="59"/>
        <v>1</v>
      </c>
      <c r="O298">
        <f t="shared" si="60"/>
        <v>14</v>
      </c>
      <c r="P298" s="13">
        <f t="shared" si="61"/>
        <v>0.93927995827259025</v>
      </c>
      <c r="Q298" s="13">
        <f t="shared" si="62"/>
        <v>0.94135548137123182</v>
      </c>
      <c r="R298" s="15" t="b">
        <f t="shared" si="63"/>
        <v>0</v>
      </c>
      <c r="S298" s="13">
        <f t="shared" si="64"/>
        <v>1.9673704414587333E-2</v>
      </c>
    </row>
    <row r="299" spans="1:19" x14ac:dyDescent="0.3">
      <c r="A299" s="4">
        <v>45389</v>
      </c>
      <c r="B299" s="2">
        <v>99</v>
      </c>
      <c r="C299" s="2">
        <v>190</v>
      </c>
      <c r="D299" s="2">
        <v>176</v>
      </c>
      <c r="E299">
        <v>5968</v>
      </c>
      <c r="F299">
        <v>153</v>
      </c>
      <c r="G299" s="2">
        <f t="shared" si="52"/>
        <v>6158</v>
      </c>
      <c r="H299">
        <f t="shared" si="53"/>
        <v>5815</v>
      </c>
      <c r="I299" s="13">
        <f t="shared" si="54"/>
        <v>1.8916595012897677E-2</v>
      </c>
      <c r="J299" t="str">
        <f t="shared" si="55"/>
        <v>Backlog</v>
      </c>
      <c r="K299" s="13">
        <f t="shared" si="56"/>
        <v>0.94430009743423193</v>
      </c>
      <c r="L299" s="13">
        <f t="shared" si="57"/>
        <v>6.610100682039624</v>
      </c>
      <c r="M299" s="13">
        <f t="shared" si="58"/>
        <v>28.329002923026959</v>
      </c>
      <c r="N299" t="b">
        <f t="shared" si="59"/>
        <v>1</v>
      </c>
      <c r="O299">
        <f t="shared" si="60"/>
        <v>15</v>
      </c>
      <c r="P299" s="13">
        <f t="shared" si="61"/>
        <v>0.94162055277181467</v>
      </c>
      <c r="Q299" s="13">
        <f t="shared" si="62"/>
        <v>0.94412279569760527</v>
      </c>
      <c r="R299" s="15" t="str">
        <f t="shared" si="63"/>
        <v>STRAIN</v>
      </c>
      <c r="S299" s="13">
        <f t="shared" si="64"/>
        <v>2.4845729132835337E-2</v>
      </c>
    </row>
    <row r="300" spans="1:19" x14ac:dyDescent="0.3">
      <c r="A300" s="4">
        <v>45390</v>
      </c>
      <c r="B300" s="2">
        <v>101</v>
      </c>
      <c r="C300" s="2">
        <v>162</v>
      </c>
      <c r="D300" s="2">
        <v>178</v>
      </c>
      <c r="E300">
        <v>6118</v>
      </c>
      <c r="F300">
        <v>193</v>
      </c>
      <c r="G300" s="2">
        <f t="shared" si="52"/>
        <v>6280</v>
      </c>
      <c r="H300">
        <f t="shared" si="53"/>
        <v>5925</v>
      </c>
      <c r="I300" s="13">
        <f t="shared" si="54"/>
        <v>-1.181434599156118E-3</v>
      </c>
      <c r="J300" t="str">
        <f t="shared" si="55"/>
        <v>No Backlog</v>
      </c>
      <c r="K300" s="13">
        <f t="shared" si="56"/>
        <v>0.94347133757961787</v>
      </c>
      <c r="L300" s="13">
        <f t="shared" si="57"/>
        <v>6.6042993630573248</v>
      </c>
      <c r="M300" s="13">
        <f t="shared" si="58"/>
        <v>28.304140127388536</v>
      </c>
      <c r="N300" t="b">
        <f t="shared" si="59"/>
        <v>0</v>
      </c>
      <c r="O300">
        <f t="shared" si="60"/>
        <v>15</v>
      </c>
      <c r="P300" s="13">
        <f t="shared" si="61"/>
        <v>0.94034124647905193</v>
      </c>
      <c r="Q300" s="13">
        <f t="shared" si="62"/>
        <v>0.93621277796145186</v>
      </c>
      <c r="R300" s="15" t="b">
        <f t="shared" si="63"/>
        <v>0</v>
      </c>
      <c r="S300" s="13">
        <f t="shared" si="64"/>
        <v>3.0732484076433121E-2</v>
      </c>
    </row>
    <row r="301" spans="1:19" x14ac:dyDescent="0.3">
      <c r="A301" s="4">
        <v>45391</v>
      </c>
      <c r="B301" s="2">
        <v>107</v>
      </c>
      <c r="C301" s="2">
        <v>215</v>
      </c>
      <c r="D301" s="2">
        <v>230</v>
      </c>
      <c r="E301">
        <v>6091</v>
      </c>
      <c r="F301">
        <v>173</v>
      </c>
      <c r="G301" s="2">
        <f t="shared" si="52"/>
        <v>6306</v>
      </c>
      <c r="H301">
        <f t="shared" si="53"/>
        <v>5918</v>
      </c>
      <c r="I301" s="13">
        <f t="shared" si="54"/>
        <v>-2.5346400811084827E-3</v>
      </c>
      <c r="J301" t="str">
        <f t="shared" si="55"/>
        <v>No Backlog</v>
      </c>
      <c r="K301" s="13">
        <f t="shared" si="56"/>
        <v>0.9384712971772915</v>
      </c>
      <c r="L301" s="13">
        <f t="shared" si="57"/>
        <v>6.5692990802410405</v>
      </c>
      <c r="M301" s="13">
        <f t="shared" si="58"/>
        <v>28.154138915318747</v>
      </c>
      <c r="N301" t="b">
        <f t="shared" si="59"/>
        <v>0</v>
      </c>
      <c r="O301">
        <f t="shared" si="60"/>
        <v>15</v>
      </c>
      <c r="P301" s="13">
        <f t="shared" si="61"/>
        <v>0.93723946902799626</v>
      </c>
      <c r="Q301" s="13">
        <f t="shared" si="62"/>
        <v>0.94026702479243573</v>
      </c>
      <c r="R301" s="15" t="b">
        <f t="shared" si="63"/>
        <v>0</v>
      </c>
      <c r="S301" s="13">
        <f t="shared" si="64"/>
        <v>2.7434189660640661E-2</v>
      </c>
    </row>
    <row r="302" spans="1:19" x14ac:dyDescent="0.3">
      <c r="A302" s="4">
        <v>45392</v>
      </c>
      <c r="B302" s="2">
        <v>184</v>
      </c>
      <c r="C302" s="2">
        <v>314</v>
      </c>
      <c r="D302" s="2">
        <v>217</v>
      </c>
      <c r="E302">
        <v>6040</v>
      </c>
      <c r="F302">
        <v>137</v>
      </c>
      <c r="G302" s="2">
        <f t="shared" si="52"/>
        <v>6354</v>
      </c>
      <c r="H302">
        <f t="shared" si="53"/>
        <v>5903</v>
      </c>
      <c r="I302" s="13">
        <f t="shared" si="54"/>
        <v>-1.2535998644756904E-2</v>
      </c>
      <c r="J302" t="str">
        <f t="shared" si="55"/>
        <v>No Backlog</v>
      </c>
      <c r="K302" s="13">
        <f t="shared" si="56"/>
        <v>0.92902108907774628</v>
      </c>
      <c r="L302" s="13">
        <f t="shared" si="57"/>
        <v>6.5031476235442236</v>
      </c>
      <c r="M302" s="13">
        <f t="shared" si="58"/>
        <v>27.870632672332388</v>
      </c>
      <c r="N302" t="b">
        <f t="shared" si="59"/>
        <v>1</v>
      </c>
      <c r="O302">
        <f t="shared" si="60"/>
        <v>15</v>
      </c>
      <c r="P302" s="13">
        <f t="shared" si="61"/>
        <v>0.9348570393011616</v>
      </c>
      <c r="Q302" s="13">
        <f t="shared" si="62"/>
        <v>0.93119787022836809</v>
      </c>
      <c r="R302" s="15" t="b">
        <f t="shared" si="63"/>
        <v>0</v>
      </c>
      <c r="S302" s="13">
        <f t="shared" si="64"/>
        <v>2.1561221277935159E-2</v>
      </c>
    </row>
    <row r="303" spans="1:19" x14ac:dyDescent="0.3">
      <c r="A303" s="4">
        <v>45393</v>
      </c>
      <c r="B303" s="2">
        <v>209</v>
      </c>
      <c r="C303" s="2">
        <v>285</v>
      </c>
      <c r="D303" s="2">
        <v>184</v>
      </c>
      <c r="E303">
        <v>5967</v>
      </c>
      <c r="F303">
        <v>138</v>
      </c>
      <c r="G303" s="2">
        <f t="shared" si="52"/>
        <v>6252</v>
      </c>
      <c r="H303">
        <f t="shared" si="53"/>
        <v>5829</v>
      </c>
      <c r="I303" s="13">
        <f t="shared" si="54"/>
        <v>-1.3896037056098817E-2</v>
      </c>
      <c r="J303" t="str">
        <f t="shared" si="55"/>
        <v>No Backlog</v>
      </c>
      <c r="K303" s="13">
        <f t="shared" si="56"/>
        <v>0.93234165067178498</v>
      </c>
      <c r="L303" s="13">
        <f t="shared" si="57"/>
        <v>6.5263915547024949</v>
      </c>
      <c r="M303" s="13">
        <f t="shared" si="58"/>
        <v>27.970249520153551</v>
      </c>
      <c r="N303" t="b">
        <f t="shared" si="59"/>
        <v>1</v>
      </c>
      <c r="O303">
        <f t="shared" si="60"/>
        <v>15</v>
      </c>
      <c r="P303" s="13">
        <f t="shared" si="61"/>
        <v>0.93154122546444784</v>
      </c>
      <c r="Q303" s="13">
        <f t="shared" si="62"/>
        <v>0.92947146891542054</v>
      </c>
      <c r="R303" s="15" t="b">
        <f t="shared" si="63"/>
        <v>0</v>
      </c>
      <c r="S303" s="13">
        <f t="shared" si="64"/>
        <v>2.2072936660268713E-2</v>
      </c>
    </row>
    <row r="304" spans="1:19" x14ac:dyDescent="0.3">
      <c r="A304" s="4">
        <v>45396</v>
      </c>
      <c r="B304" s="2">
        <v>81</v>
      </c>
      <c r="C304" s="2">
        <v>213</v>
      </c>
      <c r="D304" s="2">
        <v>153</v>
      </c>
      <c r="E304">
        <v>5925</v>
      </c>
      <c r="F304">
        <v>177</v>
      </c>
      <c r="G304" s="2">
        <f t="shared" si="52"/>
        <v>6138</v>
      </c>
      <c r="H304">
        <f t="shared" si="53"/>
        <v>5748</v>
      </c>
      <c r="I304" s="13">
        <f t="shared" si="54"/>
        <v>2.7313848295059152E-2</v>
      </c>
      <c r="J304" t="str">
        <f t="shared" si="55"/>
        <v>Backlog</v>
      </c>
      <c r="K304" s="13">
        <f t="shared" si="56"/>
        <v>0.93646138807429125</v>
      </c>
      <c r="L304" s="13">
        <f t="shared" si="57"/>
        <v>6.5552297165200386</v>
      </c>
      <c r="M304" s="13">
        <f t="shared" si="58"/>
        <v>28.093841642228739</v>
      </c>
      <c r="N304" t="b">
        <f t="shared" si="59"/>
        <v>1</v>
      </c>
      <c r="O304">
        <f t="shared" si="60"/>
        <v>16</v>
      </c>
      <c r="P304" s="13">
        <f t="shared" si="61"/>
        <v>0.93853691117293281</v>
      </c>
      <c r="Q304" s="13">
        <f t="shared" si="62"/>
        <v>0.9305800916275071</v>
      </c>
      <c r="R304" s="15" t="str">
        <f t="shared" si="63"/>
        <v>STRAIN</v>
      </c>
      <c r="S304" s="13">
        <f t="shared" si="64"/>
        <v>2.8836754643206255E-2</v>
      </c>
    </row>
    <row r="305" spans="1:19" x14ac:dyDescent="0.3">
      <c r="A305" s="4">
        <v>45397</v>
      </c>
      <c r="B305" s="2">
        <v>91</v>
      </c>
      <c r="C305" s="2">
        <v>199</v>
      </c>
      <c r="D305" s="2">
        <v>172</v>
      </c>
      <c r="E305">
        <v>6090</v>
      </c>
      <c r="F305">
        <v>185</v>
      </c>
      <c r="G305" s="2">
        <f t="shared" si="52"/>
        <v>6289</v>
      </c>
      <c r="H305">
        <f t="shared" si="53"/>
        <v>5905</v>
      </c>
      <c r="I305" s="13">
        <f t="shared" si="54"/>
        <v>-4.0643522438611347E-3</v>
      </c>
      <c r="J305" t="str">
        <f t="shared" si="55"/>
        <v>No Backlog</v>
      </c>
      <c r="K305" s="13">
        <f t="shared" si="56"/>
        <v>0.9389410081093974</v>
      </c>
      <c r="L305" s="13">
        <f t="shared" si="57"/>
        <v>6.5725870567657818</v>
      </c>
      <c r="M305" s="13">
        <f t="shared" si="58"/>
        <v>28.168230243281922</v>
      </c>
      <c r="N305" t="b">
        <f t="shared" si="59"/>
        <v>1</v>
      </c>
      <c r="O305">
        <f t="shared" si="60"/>
        <v>16</v>
      </c>
      <c r="P305" s="13">
        <f t="shared" si="61"/>
        <v>0.941443251035188</v>
      </c>
      <c r="Q305" s="13">
        <f t="shared" si="62"/>
        <v>0.93868047701955304</v>
      </c>
      <c r="R305" s="15" t="b">
        <f t="shared" si="63"/>
        <v>0</v>
      </c>
      <c r="S305" s="13">
        <f t="shared" si="64"/>
        <v>2.9416441405628876E-2</v>
      </c>
    </row>
    <row r="306" spans="1:19" x14ac:dyDescent="0.3">
      <c r="A306" s="4">
        <v>45398</v>
      </c>
      <c r="B306" s="2">
        <v>154</v>
      </c>
      <c r="C306" s="2">
        <v>225</v>
      </c>
      <c r="D306" s="2">
        <v>220</v>
      </c>
      <c r="E306">
        <v>6050</v>
      </c>
      <c r="F306">
        <v>169</v>
      </c>
      <c r="G306" s="2">
        <f t="shared" si="52"/>
        <v>6275</v>
      </c>
      <c r="H306">
        <f t="shared" si="53"/>
        <v>5881</v>
      </c>
      <c r="I306" s="13">
        <f t="shared" si="54"/>
        <v>-1.7003910899506886E-4</v>
      </c>
      <c r="J306" t="str">
        <f t="shared" si="55"/>
        <v>No Backlog</v>
      </c>
      <c r="K306" s="13">
        <f t="shared" si="56"/>
        <v>0.93721115537848609</v>
      </c>
      <c r="L306" s="13">
        <f t="shared" si="57"/>
        <v>6.5604780876494022</v>
      </c>
      <c r="M306" s="13">
        <f t="shared" si="58"/>
        <v>28.116334661354582</v>
      </c>
      <c r="N306" t="b">
        <f t="shared" si="59"/>
        <v>1</v>
      </c>
      <c r="O306">
        <f t="shared" si="60"/>
        <v>16</v>
      </c>
      <c r="P306" s="13">
        <f t="shared" si="61"/>
        <v>0.93308268686088591</v>
      </c>
      <c r="Q306" s="13">
        <f t="shared" si="62"/>
        <v>0.93859203774641164</v>
      </c>
      <c r="R306" s="15" t="b">
        <f t="shared" si="63"/>
        <v>0</v>
      </c>
      <c r="S306" s="13">
        <f t="shared" si="64"/>
        <v>2.6932270916334662E-2</v>
      </c>
    </row>
    <row r="307" spans="1:19" x14ac:dyDescent="0.3">
      <c r="A307" s="4">
        <v>45399</v>
      </c>
      <c r="B307" s="2">
        <v>186</v>
      </c>
      <c r="C307" s="2">
        <v>259</v>
      </c>
      <c r="D307" s="2">
        <v>172</v>
      </c>
      <c r="E307">
        <v>6023</v>
      </c>
      <c r="F307">
        <v>143</v>
      </c>
      <c r="G307" s="2">
        <f t="shared" si="52"/>
        <v>6282</v>
      </c>
      <c r="H307">
        <f t="shared" si="53"/>
        <v>5880</v>
      </c>
      <c r="I307" s="13">
        <f t="shared" si="54"/>
        <v>-7.312925170068027E-3</v>
      </c>
      <c r="J307" t="str">
        <f t="shared" si="55"/>
        <v>No Backlog</v>
      </c>
      <c r="K307" s="13">
        <f t="shared" si="56"/>
        <v>0.93600764087870103</v>
      </c>
      <c r="L307" s="13">
        <f t="shared" si="57"/>
        <v>6.552053486150907</v>
      </c>
      <c r="M307" s="13">
        <f t="shared" si="58"/>
        <v>28.08022922636103</v>
      </c>
      <c r="N307" t="b">
        <f t="shared" si="59"/>
        <v>1</v>
      </c>
      <c r="O307">
        <f t="shared" si="60"/>
        <v>16</v>
      </c>
      <c r="P307" s="13">
        <f t="shared" si="61"/>
        <v>0.9390351966431405</v>
      </c>
      <c r="Q307" s="13">
        <f t="shared" si="62"/>
        <v>0.93662180474834267</v>
      </c>
      <c r="R307" s="15" t="b">
        <f t="shared" si="63"/>
        <v>0</v>
      </c>
      <c r="S307" s="13">
        <f t="shared" si="64"/>
        <v>2.2763451130213309E-2</v>
      </c>
    </row>
    <row r="308" spans="1:19" x14ac:dyDescent="0.3">
      <c r="A308" s="4">
        <v>45400</v>
      </c>
      <c r="B308" s="2">
        <v>92</v>
      </c>
      <c r="C308" s="2">
        <v>203</v>
      </c>
      <c r="D308" s="2">
        <v>173</v>
      </c>
      <c r="E308">
        <v>6002</v>
      </c>
      <c r="F308">
        <v>165</v>
      </c>
      <c r="G308" s="2">
        <f t="shared" si="52"/>
        <v>6205</v>
      </c>
      <c r="H308">
        <f t="shared" si="53"/>
        <v>5837</v>
      </c>
      <c r="I308" s="13">
        <f t="shared" si="54"/>
        <v>-7.7094397807092683E-3</v>
      </c>
      <c r="J308" t="str">
        <f t="shared" si="55"/>
        <v>No Backlog</v>
      </c>
      <c r="K308" s="13">
        <f t="shared" si="56"/>
        <v>0.94069298952457692</v>
      </c>
      <c r="L308" s="13">
        <f t="shared" si="57"/>
        <v>6.5848509266720381</v>
      </c>
      <c r="M308" s="13">
        <f t="shared" si="58"/>
        <v>28.220789685737309</v>
      </c>
      <c r="N308" t="b">
        <f t="shared" si="59"/>
        <v>1</v>
      </c>
      <c r="O308">
        <f t="shared" si="60"/>
        <v>16</v>
      </c>
      <c r="P308" s="13">
        <f t="shared" si="61"/>
        <v>0.93703382045178341</v>
      </c>
      <c r="Q308" s="13">
        <f t="shared" si="62"/>
        <v>0.93410467962600097</v>
      </c>
      <c r="R308" s="15" t="b">
        <f t="shared" si="63"/>
        <v>0</v>
      </c>
      <c r="S308" s="13">
        <f t="shared" si="64"/>
        <v>2.6591458501208701E-2</v>
      </c>
    </row>
    <row r="309" spans="1:19" x14ac:dyDescent="0.3">
      <c r="A309" s="4">
        <v>45403</v>
      </c>
      <c r="B309" s="2">
        <v>124</v>
      </c>
      <c r="C309" s="2">
        <v>234</v>
      </c>
      <c r="D309" s="2">
        <v>161</v>
      </c>
      <c r="E309">
        <v>5989</v>
      </c>
      <c r="F309">
        <v>197</v>
      </c>
      <c r="G309" s="2">
        <f t="shared" si="52"/>
        <v>6223</v>
      </c>
      <c r="H309">
        <f t="shared" si="53"/>
        <v>5792</v>
      </c>
      <c r="I309" s="13">
        <f t="shared" si="54"/>
        <v>5.006906077348066E-2</v>
      </c>
      <c r="J309" t="str">
        <f t="shared" si="55"/>
        <v>Backlog</v>
      </c>
      <c r="K309" s="13">
        <f t="shared" si="56"/>
        <v>0.9307408002571107</v>
      </c>
      <c r="L309" s="13">
        <f t="shared" si="57"/>
        <v>6.5151856017997751</v>
      </c>
      <c r="M309" s="13">
        <f t="shared" si="58"/>
        <v>27.922224007713321</v>
      </c>
      <c r="N309" t="b">
        <f t="shared" si="59"/>
        <v>1</v>
      </c>
      <c r="O309">
        <f t="shared" si="60"/>
        <v>17</v>
      </c>
      <c r="P309" s="13">
        <f t="shared" si="61"/>
        <v>0.9286710437080834</v>
      </c>
      <c r="Q309" s="13">
        <f t="shared" si="62"/>
        <v>0.93909007667842059</v>
      </c>
      <c r="R309" s="15" t="str">
        <f t="shared" si="63"/>
        <v>STRAIN</v>
      </c>
      <c r="S309" s="13">
        <f t="shared" si="64"/>
        <v>3.16567571910654E-2</v>
      </c>
    </row>
    <row r="310" spans="1:19" x14ac:dyDescent="0.3">
      <c r="A310" s="4">
        <v>45404</v>
      </c>
      <c r="B310" s="2">
        <v>93</v>
      </c>
      <c r="C310" s="2">
        <v>196</v>
      </c>
      <c r="D310" s="2">
        <v>169</v>
      </c>
      <c r="E310">
        <v>6270</v>
      </c>
      <c r="F310">
        <v>188</v>
      </c>
      <c r="G310" s="2">
        <f t="shared" si="52"/>
        <v>6466</v>
      </c>
      <c r="H310">
        <f t="shared" si="53"/>
        <v>6082</v>
      </c>
      <c r="I310" s="13">
        <f t="shared" si="54"/>
        <v>2.3018743834265043E-3</v>
      </c>
      <c r="J310" t="str">
        <f t="shared" si="55"/>
        <v>Backlog</v>
      </c>
      <c r="K310" s="13">
        <f t="shared" si="56"/>
        <v>0.94061243427157437</v>
      </c>
      <c r="L310" s="13">
        <f t="shared" si="57"/>
        <v>6.5842870399010209</v>
      </c>
      <c r="M310" s="13">
        <f t="shared" si="58"/>
        <v>28.21837302814723</v>
      </c>
      <c r="N310" t="b">
        <f t="shared" si="59"/>
        <v>1</v>
      </c>
      <c r="O310">
        <f t="shared" si="60"/>
        <v>17</v>
      </c>
      <c r="P310" s="13">
        <f t="shared" si="61"/>
        <v>0.93265561472614866</v>
      </c>
      <c r="Q310" s="13">
        <f t="shared" si="62"/>
        <v>0.94419359224932031</v>
      </c>
      <c r="R310" s="15" t="str">
        <f t="shared" si="63"/>
        <v>STRAIN</v>
      </c>
      <c r="S310" s="13">
        <f t="shared" si="64"/>
        <v>2.9075162387875039E-2</v>
      </c>
    </row>
    <row r="311" spans="1:19" x14ac:dyDescent="0.3">
      <c r="A311" s="4">
        <v>45405</v>
      </c>
      <c r="B311" s="2">
        <v>116</v>
      </c>
      <c r="C311" s="2">
        <v>213</v>
      </c>
      <c r="D311" s="2">
        <v>217</v>
      </c>
      <c r="E311">
        <v>6245</v>
      </c>
      <c r="F311">
        <v>149</v>
      </c>
      <c r="G311" s="2">
        <f t="shared" si="52"/>
        <v>6458</v>
      </c>
      <c r="H311">
        <f t="shared" si="53"/>
        <v>6096</v>
      </c>
      <c r="I311" s="13">
        <f t="shared" si="54"/>
        <v>-4.7572178477690288E-3</v>
      </c>
      <c r="J311" t="str">
        <f t="shared" si="55"/>
        <v>No Backlog</v>
      </c>
      <c r="K311" s="13">
        <f t="shared" si="56"/>
        <v>0.9439454939609786</v>
      </c>
      <c r="L311" s="13">
        <f t="shared" si="57"/>
        <v>6.6076184577268506</v>
      </c>
      <c r="M311" s="13">
        <f t="shared" si="58"/>
        <v>28.318364818829359</v>
      </c>
      <c r="N311" t="b">
        <f t="shared" si="59"/>
        <v>0</v>
      </c>
      <c r="O311">
        <f t="shared" si="60"/>
        <v>17</v>
      </c>
      <c r="P311" s="13">
        <f t="shared" si="61"/>
        <v>0.94118271994534364</v>
      </c>
      <c r="Q311" s="13">
        <f t="shared" si="62"/>
        <v>0.94328108668974719</v>
      </c>
      <c r="R311" s="15" t="b">
        <f t="shared" si="63"/>
        <v>0</v>
      </c>
      <c r="S311" s="13">
        <f t="shared" si="64"/>
        <v>2.3072158563022607E-2</v>
      </c>
    </row>
    <row r="312" spans="1:19" x14ac:dyDescent="0.3">
      <c r="A312" s="4">
        <v>45406</v>
      </c>
      <c r="B312" s="2">
        <v>159</v>
      </c>
      <c r="C312" s="2">
        <v>304</v>
      </c>
      <c r="D312" s="2">
        <v>139</v>
      </c>
      <c r="E312">
        <v>6227</v>
      </c>
      <c r="F312">
        <v>160</v>
      </c>
      <c r="G312" s="2">
        <f t="shared" si="52"/>
        <v>6531</v>
      </c>
      <c r="H312">
        <f t="shared" si="53"/>
        <v>6067</v>
      </c>
      <c r="I312" s="13">
        <f t="shared" si="54"/>
        <v>-3.2965221691115873E-4</v>
      </c>
      <c r="J312" t="str">
        <f t="shared" si="55"/>
        <v>No Backlog</v>
      </c>
      <c r="K312" s="13">
        <f t="shared" si="56"/>
        <v>0.92895421834328584</v>
      </c>
      <c r="L312" s="13">
        <f t="shared" si="57"/>
        <v>6.502679528403001</v>
      </c>
      <c r="M312" s="13">
        <f t="shared" si="58"/>
        <v>27.868626550298575</v>
      </c>
      <c r="N312" t="b">
        <f t="shared" si="59"/>
        <v>1</v>
      </c>
      <c r="O312">
        <f t="shared" si="60"/>
        <v>17</v>
      </c>
      <c r="P312" s="13">
        <f t="shared" si="61"/>
        <v>0.93446356922881157</v>
      </c>
      <c r="Q312" s="13">
        <f t="shared" si="62"/>
        <v>0.93360431437127156</v>
      </c>
      <c r="R312" s="15" t="b">
        <f t="shared" si="63"/>
        <v>0</v>
      </c>
      <c r="S312" s="13">
        <f t="shared" si="64"/>
        <v>2.4498545398866943E-2</v>
      </c>
    </row>
    <row r="313" spans="1:19" x14ac:dyDescent="0.3">
      <c r="A313" s="4">
        <v>45407</v>
      </c>
      <c r="B313" s="2">
        <v>113</v>
      </c>
      <c r="C313" s="2">
        <v>209</v>
      </c>
      <c r="D313" s="2">
        <v>160</v>
      </c>
      <c r="E313">
        <v>6229</v>
      </c>
      <c r="F313">
        <v>164</v>
      </c>
      <c r="G313" s="2">
        <f t="shared" si="52"/>
        <v>6438</v>
      </c>
      <c r="H313">
        <f t="shared" si="53"/>
        <v>6065</v>
      </c>
      <c r="I313" s="13">
        <f t="shared" si="54"/>
        <v>-6.7600989282769995E-3</v>
      </c>
      <c r="J313" t="str">
        <f t="shared" si="55"/>
        <v>No Backlog</v>
      </c>
      <c r="K313" s="13">
        <f t="shared" si="56"/>
        <v>0.94206275240757997</v>
      </c>
      <c r="L313" s="13">
        <f t="shared" si="57"/>
        <v>6.59443926685306</v>
      </c>
      <c r="M313" s="13">
        <f t="shared" si="58"/>
        <v>28.2618825722274</v>
      </c>
      <c r="N313" t="b">
        <f t="shared" si="59"/>
        <v>1</v>
      </c>
      <c r="O313">
        <f t="shared" si="60"/>
        <v>17</v>
      </c>
      <c r="P313" s="13">
        <f t="shared" si="61"/>
        <v>0.93964936051278214</v>
      </c>
      <c r="Q313" s="13">
        <f t="shared" si="62"/>
        <v>0.93558447016864865</v>
      </c>
      <c r="R313" s="15" t="b">
        <f t="shared" si="63"/>
        <v>0</v>
      </c>
      <c r="S313" s="13">
        <f t="shared" si="64"/>
        <v>2.5473749611680647E-2</v>
      </c>
    </row>
    <row r="314" spans="1:19" x14ac:dyDescent="0.3">
      <c r="A314" s="4">
        <v>45410</v>
      </c>
      <c r="B314" s="2">
        <v>98</v>
      </c>
      <c r="C314" s="2">
        <v>220</v>
      </c>
      <c r="D314" s="2">
        <v>167</v>
      </c>
      <c r="E314">
        <v>6234</v>
      </c>
      <c r="F314">
        <v>210</v>
      </c>
      <c r="G314" s="2">
        <f t="shared" si="52"/>
        <v>6454</v>
      </c>
      <c r="H314">
        <f t="shared" si="53"/>
        <v>6024</v>
      </c>
      <c r="I314" s="13">
        <f t="shared" si="54"/>
        <v>3.8180610889774237E-3</v>
      </c>
      <c r="J314" t="str">
        <f t="shared" si="55"/>
        <v>Backlog</v>
      </c>
      <c r="K314" s="13">
        <f t="shared" si="56"/>
        <v>0.93337465137898978</v>
      </c>
      <c r="L314" s="13">
        <f t="shared" si="57"/>
        <v>6.5336225596529287</v>
      </c>
      <c r="M314" s="13">
        <f t="shared" si="58"/>
        <v>28.001239541369692</v>
      </c>
      <c r="N314" t="b">
        <f t="shared" si="59"/>
        <v>1</v>
      </c>
      <c r="O314">
        <f t="shared" si="60"/>
        <v>18</v>
      </c>
      <c r="P314" s="13">
        <f t="shared" si="61"/>
        <v>0.93044551055320746</v>
      </c>
      <c r="Q314" s="13">
        <f t="shared" si="62"/>
        <v>0.93451594976811903</v>
      </c>
      <c r="R314" s="15" t="str">
        <f t="shared" si="63"/>
        <v>STRAIN</v>
      </c>
      <c r="S314" s="13">
        <f t="shared" si="64"/>
        <v>3.2537960954446853E-2</v>
      </c>
    </row>
    <row r="315" spans="1:19" x14ac:dyDescent="0.3">
      <c r="A315" s="4">
        <v>45411</v>
      </c>
      <c r="B315" s="2">
        <v>81</v>
      </c>
      <c r="C315" s="2">
        <v>200</v>
      </c>
      <c r="D315" s="2">
        <v>212</v>
      </c>
      <c r="E315">
        <v>6326</v>
      </c>
      <c r="F315">
        <v>279</v>
      </c>
      <c r="G315" s="2">
        <f t="shared" si="52"/>
        <v>6526</v>
      </c>
      <c r="H315">
        <f t="shared" si="53"/>
        <v>6047</v>
      </c>
      <c r="I315" s="13">
        <f t="shared" si="54"/>
        <v>1.5379527038200761E-2</v>
      </c>
      <c r="J315" t="str">
        <f t="shared" si="55"/>
        <v>Backlog</v>
      </c>
      <c r="K315" s="13">
        <f t="shared" si="56"/>
        <v>0.9266012871590561</v>
      </c>
      <c r="L315" s="13">
        <f t="shared" si="57"/>
        <v>6.4862090101133925</v>
      </c>
      <c r="M315" s="13">
        <f t="shared" si="58"/>
        <v>27.798038614771684</v>
      </c>
      <c r="N315" t="b">
        <f t="shared" si="59"/>
        <v>0</v>
      </c>
      <c r="O315">
        <f t="shared" si="60"/>
        <v>18</v>
      </c>
      <c r="P315" s="13">
        <f t="shared" si="61"/>
        <v>0.93702032012939329</v>
      </c>
      <c r="Q315" s="13">
        <f t="shared" si="62"/>
        <v>0.93362843602942713</v>
      </c>
      <c r="R315" s="15" t="str">
        <f t="shared" si="63"/>
        <v>STRAIN</v>
      </c>
      <c r="S315" s="13">
        <f t="shared" si="64"/>
        <v>4.2752068648482994E-2</v>
      </c>
    </row>
    <row r="316" spans="1:19" x14ac:dyDescent="0.3">
      <c r="A316" s="4">
        <v>45412</v>
      </c>
      <c r="B316" s="2">
        <v>184</v>
      </c>
      <c r="C316" s="2">
        <v>280</v>
      </c>
      <c r="D316" s="2">
        <v>210</v>
      </c>
      <c r="E316">
        <v>6360</v>
      </c>
      <c r="F316">
        <v>220</v>
      </c>
      <c r="G316" s="2">
        <f t="shared" si="52"/>
        <v>6640</v>
      </c>
      <c r="H316">
        <f t="shared" si="53"/>
        <v>6140</v>
      </c>
      <c r="I316" s="13">
        <f t="shared" si="54"/>
        <v>1.758957654723127E-2</v>
      </c>
      <c r="J316" t="str">
        <f t="shared" si="55"/>
        <v>Backlog</v>
      </c>
      <c r="K316" s="13">
        <f t="shared" si="56"/>
        <v>0.92469879518072284</v>
      </c>
      <c r="L316" s="13">
        <f t="shared" si="57"/>
        <v>6.4728915662650603</v>
      </c>
      <c r="M316" s="13">
        <f t="shared" si="58"/>
        <v>27.740963855421686</v>
      </c>
      <c r="N316" t="b">
        <f t="shared" si="59"/>
        <v>1</v>
      </c>
      <c r="O316">
        <f t="shared" si="60"/>
        <v>18</v>
      </c>
      <c r="P316" s="13">
        <f t="shared" si="61"/>
        <v>0.93623677270389449</v>
      </c>
      <c r="Q316" s="13">
        <f t="shared" si="62"/>
        <v>0.92477668889675979</v>
      </c>
      <c r="R316" s="15" t="str">
        <f t="shared" si="63"/>
        <v>STRAIN</v>
      </c>
      <c r="S316" s="13">
        <f t="shared" si="64"/>
        <v>3.313253012048193E-2</v>
      </c>
    </row>
    <row r="317" spans="1:19" x14ac:dyDescent="0.3">
      <c r="A317" s="4">
        <v>45413</v>
      </c>
      <c r="B317" s="2">
        <v>93</v>
      </c>
      <c r="C317" s="2">
        <v>248</v>
      </c>
      <c r="D317" s="2">
        <v>175</v>
      </c>
      <c r="E317">
        <v>6410</v>
      </c>
      <c r="F317">
        <v>162</v>
      </c>
      <c r="G317" s="2">
        <f t="shared" si="52"/>
        <v>6658</v>
      </c>
      <c r="H317">
        <f t="shared" si="53"/>
        <v>6248</v>
      </c>
      <c r="I317" s="13">
        <f t="shared" si="54"/>
        <v>0</v>
      </c>
      <c r="J317" t="str">
        <f t="shared" si="55"/>
        <v>No Backlog</v>
      </c>
      <c r="K317" s="13">
        <f t="shared" si="56"/>
        <v>0.93841994592970868</v>
      </c>
      <c r="L317" s="13">
        <f t="shared" si="57"/>
        <v>6.568939621507961</v>
      </c>
      <c r="M317" s="13">
        <f t="shared" si="58"/>
        <v>28.152598377891259</v>
      </c>
      <c r="N317" t="b">
        <f t="shared" si="59"/>
        <v>1</v>
      </c>
      <c r="O317">
        <f t="shared" si="60"/>
        <v>18</v>
      </c>
      <c r="P317" s="13">
        <f t="shared" si="61"/>
        <v>0.94051831267411212</v>
      </c>
      <c r="Q317" s="13">
        <f t="shared" si="62"/>
        <v>0.93724759451754047</v>
      </c>
      <c r="R317" s="15" t="b">
        <f t="shared" si="63"/>
        <v>0</v>
      </c>
      <c r="S317" s="13">
        <f t="shared" si="64"/>
        <v>2.4331631120456592E-2</v>
      </c>
    </row>
    <row r="318" spans="1:19" x14ac:dyDescent="0.3">
      <c r="A318" s="4">
        <v>45414</v>
      </c>
      <c r="B318" s="2">
        <v>131</v>
      </c>
      <c r="C318" s="2">
        <v>251</v>
      </c>
      <c r="D318" s="2">
        <v>180</v>
      </c>
      <c r="E318">
        <v>6396</v>
      </c>
      <c r="F318">
        <v>148</v>
      </c>
      <c r="G318" s="2">
        <f t="shared" si="52"/>
        <v>6647</v>
      </c>
      <c r="H318">
        <f t="shared" si="53"/>
        <v>6248</v>
      </c>
      <c r="I318" s="13">
        <f t="shared" si="54"/>
        <v>-5.7618437900128043E-3</v>
      </c>
      <c r="J318" t="str">
        <f t="shared" si="55"/>
        <v>No Backlog</v>
      </c>
      <c r="K318" s="13">
        <f t="shared" si="56"/>
        <v>0.93997292011433731</v>
      </c>
      <c r="L318" s="13">
        <f t="shared" si="57"/>
        <v>6.5798104408003608</v>
      </c>
      <c r="M318" s="13">
        <f t="shared" si="58"/>
        <v>28.199187603430119</v>
      </c>
      <c r="N318" t="b">
        <f t="shared" si="59"/>
        <v>1</v>
      </c>
      <c r="O318">
        <f t="shared" si="60"/>
        <v>18</v>
      </c>
      <c r="P318" s="13">
        <f t="shared" si="61"/>
        <v>0.93911366525679729</v>
      </c>
      <c r="Q318" s="13">
        <f t="shared" si="62"/>
        <v>0.93920005074148838</v>
      </c>
      <c r="R318" s="15" t="b">
        <f t="shared" si="63"/>
        <v>0</v>
      </c>
      <c r="S318" s="13">
        <f t="shared" si="64"/>
        <v>2.2265683767112982E-2</v>
      </c>
    </row>
    <row r="319" spans="1:19" x14ac:dyDescent="0.3">
      <c r="A319" s="4">
        <v>45417</v>
      </c>
      <c r="B319" s="2">
        <v>144</v>
      </c>
      <c r="C319" s="2">
        <v>275</v>
      </c>
      <c r="D319" s="2">
        <v>190</v>
      </c>
      <c r="E319">
        <v>6353</v>
      </c>
      <c r="F319">
        <v>141</v>
      </c>
      <c r="G319" s="2">
        <f t="shared" si="52"/>
        <v>6628</v>
      </c>
      <c r="H319">
        <f t="shared" si="53"/>
        <v>6212</v>
      </c>
      <c r="I319" s="13">
        <f t="shared" si="54"/>
        <v>-1.9478428847392145E-2</v>
      </c>
      <c r="J319" t="str">
        <f t="shared" si="55"/>
        <v>No Backlog</v>
      </c>
      <c r="K319" s="13">
        <f t="shared" si="56"/>
        <v>0.93723596861798431</v>
      </c>
      <c r="L319" s="13">
        <f t="shared" si="57"/>
        <v>6.5606517803258901</v>
      </c>
      <c r="M319" s="13">
        <f t="shared" si="58"/>
        <v>28.117079058539531</v>
      </c>
      <c r="N319" t="b">
        <f t="shared" si="59"/>
        <v>1</v>
      </c>
      <c r="O319">
        <f t="shared" si="60"/>
        <v>19</v>
      </c>
      <c r="P319" s="13">
        <f t="shared" si="61"/>
        <v>0.93317107827385082</v>
      </c>
      <c r="Q319" s="13">
        <f t="shared" si="62"/>
        <v>0.93495235266983545</v>
      </c>
      <c r="R319" s="15" t="b">
        <f t="shared" si="63"/>
        <v>0</v>
      </c>
      <c r="S319" s="13">
        <f t="shared" si="64"/>
        <v>2.1273385636692819E-2</v>
      </c>
    </row>
    <row r="320" spans="1:19" x14ac:dyDescent="0.3">
      <c r="A320" s="4">
        <v>45418</v>
      </c>
      <c r="B320" s="2">
        <v>123</v>
      </c>
      <c r="C320" s="2">
        <v>255</v>
      </c>
      <c r="D320" s="2">
        <v>164</v>
      </c>
      <c r="E320">
        <v>6312</v>
      </c>
      <c r="F320">
        <v>221</v>
      </c>
      <c r="G320" s="2">
        <f t="shared" si="52"/>
        <v>6567</v>
      </c>
      <c r="H320">
        <f t="shared" si="53"/>
        <v>6091</v>
      </c>
      <c r="I320" s="13">
        <f t="shared" si="54"/>
        <v>3.8745690362830404E-2</v>
      </c>
      <c r="J320" t="str">
        <f t="shared" si="55"/>
        <v>Backlog</v>
      </c>
      <c r="K320" s="13">
        <f t="shared" si="56"/>
        <v>0.92751636972742502</v>
      </c>
      <c r="L320" s="13">
        <f t="shared" si="57"/>
        <v>6.4926145880919748</v>
      </c>
      <c r="M320" s="13">
        <f t="shared" si="58"/>
        <v>27.825491091822752</v>
      </c>
      <c r="N320" t="b">
        <f t="shared" si="59"/>
        <v>1</v>
      </c>
      <c r="O320">
        <f t="shared" si="60"/>
        <v>19</v>
      </c>
      <c r="P320" s="13">
        <f t="shared" si="61"/>
        <v>0.93158680894233659</v>
      </c>
      <c r="Q320" s="13">
        <f t="shared" si="62"/>
        <v>0.92896840745233578</v>
      </c>
      <c r="R320" s="15" t="str">
        <f t="shared" si="63"/>
        <v>STRAIN</v>
      </c>
      <c r="S320" s="13">
        <f t="shared" si="64"/>
        <v>3.3653114055124105E-2</v>
      </c>
    </row>
    <row r="321" spans="1:19" x14ac:dyDescent="0.3">
      <c r="A321" s="4">
        <v>45419</v>
      </c>
      <c r="B321" s="2">
        <v>126</v>
      </c>
      <c r="C321" s="2">
        <v>230</v>
      </c>
      <c r="D321" s="2">
        <v>175</v>
      </c>
      <c r="E321">
        <v>6448</v>
      </c>
      <c r="F321">
        <v>121</v>
      </c>
      <c r="G321" s="2">
        <f t="shared" si="52"/>
        <v>6678</v>
      </c>
      <c r="H321">
        <f t="shared" si="53"/>
        <v>6327</v>
      </c>
      <c r="I321" s="13">
        <f t="shared" si="54"/>
        <v>-1.0431484115694643E-2</v>
      </c>
      <c r="J321" t="str">
        <f t="shared" si="55"/>
        <v>No Backlog</v>
      </c>
      <c r="K321" s="13">
        <f t="shared" si="56"/>
        <v>0.94743935309973049</v>
      </c>
      <c r="L321" s="13">
        <f t="shared" si="57"/>
        <v>6.6320754716981138</v>
      </c>
      <c r="M321" s="13">
        <f t="shared" si="58"/>
        <v>28.423180592991915</v>
      </c>
      <c r="N321" t="b">
        <f t="shared" si="59"/>
        <v>1</v>
      </c>
      <c r="O321">
        <f t="shared" si="60"/>
        <v>19</v>
      </c>
      <c r="P321" s="13">
        <f t="shared" si="61"/>
        <v>0.94404746899976422</v>
      </c>
      <c r="Q321" s="13">
        <f t="shared" si="62"/>
        <v>0.93615448750162533</v>
      </c>
      <c r="R321" s="15" t="b">
        <f t="shared" si="63"/>
        <v>0</v>
      </c>
      <c r="S321" s="13">
        <f t="shared" si="64"/>
        <v>1.8119197364480383E-2</v>
      </c>
    </row>
    <row r="322" spans="1:19" x14ac:dyDescent="0.3">
      <c r="A322" s="4">
        <v>45420</v>
      </c>
      <c r="B322" s="2">
        <v>121</v>
      </c>
      <c r="C322" s="2">
        <v>231</v>
      </c>
      <c r="D322" s="2">
        <v>219</v>
      </c>
      <c r="E322">
        <v>6375</v>
      </c>
      <c r="F322">
        <v>114</v>
      </c>
      <c r="G322" s="2">
        <f t="shared" si="52"/>
        <v>6606</v>
      </c>
      <c r="H322">
        <f t="shared" si="53"/>
        <v>6261</v>
      </c>
      <c r="I322" s="13">
        <f t="shared" si="54"/>
        <v>-1.6131608369270085E-2</v>
      </c>
      <c r="J322" t="str">
        <f t="shared" si="55"/>
        <v>No Backlog</v>
      </c>
      <c r="K322" s="13">
        <f t="shared" si="56"/>
        <v>0.94777475022706625</v>
      </c>
      <c r="L322" s="13">
        <f t="shared" si="57"/>
        <v>6.6344232515894639</v>
      </c>
      <c r="M322" s="13">
        <f t="shared" si="58"/>
        <v>28.433242506811986</v>
      </c>
      <c r="N322" t="b">
        <f t="shared" si="59"/>
        <v>1</v>
      </c>
      <c r="O322">
        <f t="shared" si="60"/>
        <v>19</v>
      </c>
      <c r="P322" s="13">
        <f t="shared" si="61"/>
        <v>0.93631466641993155</v>
      </c>
      <c r="Q322" s="13">
        <f t="shared" si="62"/>
        <v>0.94137490126836976</v>
      </c>
      <c r="R322" s="15" t="b">
        <f t="shared" si="63"/>
        <v>0</v>
      </c>
      <c r="S322" s="13">
        <f t="shared" si="64"/>
        <v>1.725703905540418E-2</v>
      </c>
    </row>
    <row r="323" spans="1:19" x14ac:dyDescent="0.3">
      <c r="A323" s="4">
        <v>45421</v>
      </c>
      <c r="B323" s="2">
        <v>131</v>
      </c>
      <c r="C323" s="2">
        <v>263</v>
      </c>
      <c r="D323" s="2">
        <v>177</v>
      </c>
      <c r="E323">
        <v>6272</v>
      </c>
      <c r="F323">
        <v>112</v>
      </c>
      <c r="G323" s="2">
        <f t="shared" ref="G323:G386" si="65">C323+E323</f>
        <v>6535</v>
      </c>
      <c r="H323">
        <f t="shared" ref="H323:H386" si="66">E323-F323</f>
        <v>6160</v>
      </c>
      <c r="I323" s="13">
        <f t="shared" ref="I323:I386" si="67">(H324-H323)/H323</f>
        <v>-1.5746753246753245E-2</v>
      </c>
      <c r="J323" t="str">
        <f t="shared" ref="J323:J386" si="68">IF(I323&gt;0,"Backlog","No Backlog")</f>
        <v>No Backlog</v>
      </c>
      <c r="K323" s="13">
        <f t="shared" ref="K323:K386" si="69">H323/G323</f>
        <v>0.94261667941851568</v>
      </c>
      <c r="L323" s="13">
        <f t="shared" ref="L323:L386" si="70">K323*7</f>
        <v>6.5983167559296101</v>
      </c>
      <c r="M323" s="13">
        <f t="shared" ref="M323:M386" si="71">K323*30</f>
        <v>28.278500382555471</v>
      </c>
      <c r="N323" t="b">
        <f t="shared" ref="N323:N386" si="72">IF(D323&lt;C323,F323&lt;E323)</f>
        <v>1</v>
      </c>
      <c r="O323">
        <f t="shared" ref="O323:O386" si="73">WEEKNUM(A323)</f>
        <v>19</v>
      </c>
      <c r="P323" s="13">
        <f t="shared" ref="P323:P386" si="74">AVERAGE(K323,K329)</f>
        <v>0.93934596126194392</v>
      </c>
      <c r="Q323" s="13">
        <f t="shared" ref="Q323:Q386" si="75">AVERAGE(K323,K335)</f>
        <v>0.94220866125266622</v>
      </c>
      <c r="R323" s="15" t="b">
        <f t="shared" ref="R323:R386" si="76">IF(I323&gt;0,"STRAIN")</f>
        <v>0</v>
      </c>
      <c r="S323" s="13">
        <f t="shared" ref="S323:S386" si="77">F323/G323</f>
        <v>1.7138485080336649E-2</v>
      </c>
    </row>
    <row r="324" spans="1:19" x14ac:dyDescent="0.3">
      <c r="A324" s="4">
        <v>45424</v>
      </c>
      <c r="B324" s="2">
        <v>133</v>
      </c>
      <c r="C324" s="2">
        <v>270</v>
      </c>
      <c r="D324" s="2">
        <v>198</v>
      </c>
      <c r="E324">
        <v>6192</v>
      </c>
      <c r="F324">
        <v>129</v>
      </c>
      <c r="G324" s="2">
        <f t="shared" si="65"/>
        <v>6462</v>
      </c>
      <c r="H324">
        <f t="shared" si="66"/>
        <v>6063</v>
      </c>
      <c r="I324" s="13">
        <f t="shared" si="67"/>
        <v>2.9688273132112814E-3</v>
      </c>
      <c r="J324" t="str">
        <f t="shared" si="68"/>
        <v>Backlog</v>
      </c>
      <c r="K324" s="13">
        <f t="shared" si="69"/>
        <v>0.93825441039925717</v>
      </c>
      <c r="L324" s="13">
        <f t="shared" si="70"/>
        <v>6.5677808727947999</v>
      </c>
      <c r="M324" s="13">
        <f t="shared" si="71"/>
        <v>28.147632311977716</v>
      </c>
      <c r="N324" t="b">
        <f t="shared" si="72"/>
        <v>1</v>
      </c>
      <c r="O324">
        <f t="shared" si="73"/>
        <v>20</v>
      </c>
      <c r="P324" s="13">
        <f t="shared" si="74"/>
        <v>0.93834079588394825</v>
      </c>
      <c r="Q324" s="13">
        <f t="shared" si="75"/>
        <v>0.9391533404495469</v>
      </c>
      <c r="R324" s="15" t="str">
        <f t="shared" si="76"/>
        <v>STRAIN</v>
      </c>
      <c r="S324" s="13">
        <f t="shared" si="77"/>
        <v>1.9962859795728878E-2</v>
      </c>
    </row>
    <row r="325" spans="1:19" x14ac:dyDescent="0.3">
      <c r="A325" s="4">
        <v>45425</v>
      </c>
      <c r="B325" s="2">
        <v>145</v>
      </c>
      <c r="C325" s="2">
        <v>295</v>
      </c>
      <c r="D325" s="2">
        <v>188</v>
      </c>
      <c r="E325">
        <v>6250</v>
      </c>
      <c r="F325">
        <v>169</v>
      </c>
      <c r="G325" s="2">
        <f t="shared" si="65"/>
        <v>6545</v>
      </c>
      <c r="H325">
        <f t="shared" si="66"/>
        <v>6081</v>
      </c>
      <c r="I325" s="13">
        <f t="shared" si="67"/>
        <v>1.9733596447952641E-3</v>
      </c>
      <c r="J325" t="str">
        <f t="shared" si="68"/>
        <v>Backlog</v>
      </c>
      <c r="K325" s="13">
        <f t="shared" si="69"/>
        <v>0.92910618792971733</v>
      </c>
      <c r="L325" s="13">
        <f t="shared" si="70"/>
        <v>6.5037433155080215</v>
      </c>
      <c r="M325" s="13">
        <f t="shared" si="71"/>
        <v>27.87318563789152</v>
      </c>
      <c r="N325" t="b">
        <f t="shared" si="72"/>
        <v>1</v>
      </c>
      <c r="O325">
        <f t="shared" si="73"/>
        <v>20</v>
      </c>
      <c r="P325" s="13">
        <f t="shared" si="74"/>
        <v>0.93088746232570196</v>
      </c>
      <c r="Q325" s="13">
        <f t="shared" si="75"/>
        <v>0.92687905629082101</v>
      </c>
      <c r="R325" s="15" t="str">
        <f t="shared" si="76"/>
        <v>STRAIN</v>
      </c>
      <c r="S325" s="13">
        <f t="shared" si="77"/>
        <v>2.5821237585943468E-2</v>
      </c>
    </row>
    <row r="326" spans="1:19" x14ac:dyDescent="0.3">
      <c r="A326" s="4">
        <v>45426</v>
      </c>
      <c r="B326" s="2">
        <v>170</v>
      </c>
      <c r="C326" s="2">
        <v>285</v>
      </c>
      <c r="D326" s="2">
        <v>178</v>
      </c>
      <c r="E326">
        <v>6227</v>
      </c>
      <c r="F326">
        <v>134</v>
      </c>
      <c r="G326" s="2">
        <f t="shared" si="65"/>
        <v>6512</v>
      </c>
      <c r="H326">
        <f t="shared" si="66"/>
        <v>6093</v>
      </c>
      <c r="I326" s="13">
        <f t="shared" si="67"/>
        <v>-6.2366650254390282E-3</v>
      </c>
      <c r="J326" t="str">
        <f t="shared" si="68"/>
        <v>No Backlog</v>
      </c>
      <c r="K326" s="13">
        <f t="shared" si="69"/>
        <v>0.93565724815724816</v>
      </c>
      <c r="L326" s="13">
        <f t="shared" si="70"/>
        <v>6.5496007371007368</v>
      </c>
      <c r="M326" s="13">
        <f t="shared" si="71"/>
        <v>28.069717444717444</v>
      </c>
      <c r="N326" t="b">
        <f t="shared" si="72"/>
        <v>1</v>
      </c>
      <c r="O326">
        <f t="shared" si="73"/>
        <v>20</v>
      </c>
      <c r="P326" s="13">
        <f t="shared" si="74"/>
        <v>0.93303884666724735</v>
      </c>
      <c r="Q326" s="13">
        <f t="shared" si="75"/>
        <v>0.93583622623256768</v>
      </c>
      <c r="R326" s="15" t="b">
        <f t="shared" si="76"/>
        <v>0</v>
      </c>
      <c r="S326" s="13">
        <f t="shared" si="77"/>
        <v>2.0577395577395578E-2</v>
      </c>
    </row>
    <row r="327" spans="1:19" x14ac:dyDescent="0.3">
      <c r="A327" s="4">
        <v>45427</v>
      </c>
      <c r="B327" s="2">
        <v>149</v>
      </c>
      <c r="C327" s="2">
        <v>285</v>
      </c>
      <c r="D327" s="2">
        <v>222</v>
      </c>
      <c r="E327">
        <v>6152</v>
      </c>
      <c r="F327">
        <v>97</v>
      </c>
      <c r="G327" s="2">
        <f t="shared" si="65"/>
        <v>6437</v>
      </c>
      <c r="H327">
        <f t="shared" si="66"/>
        <v>6055</v>
      </c>
      <c r="I327" s="13">
        <f t="shared" si="67"/>
        <v>-2.8406275805119736E-2</v>
      </c>
      <c r="J327" t="str">
        <f t="shared" si="68"/>
        <v>No Backlog</v>
      </c>
      <c r="K327" s="13">
        <f t="shared" si="69"/>
        <v>0.94065558489979806</v>
      </c>
      <c r="L327" s="13">
        <f t="shared" si="70"/>
        <v>6.5845890942985861</v>
      </c>
      <c r="M327" s="13">
        <f t="shared" si="71"/>
        <v>28.219667546993943</v>
      </c>
      <c r="N327" t="b">
        <f t="shared" si="72"/>
        <v>1</v>
      </c>
      <c r="O327">
        <f t="shared" si="73"/>
        <v>20</v>
      </c>
      <c r="P327" s="13">
        <f t="shared" si="74"/>
        <v>0.93276260340165917</v>
      </c>
      <c r="Q327" s="13">
        <f t="shared" si="75"/>
        <v>0.9349134365633518</v>
      </c>
      <c r="R327" s="15" t="b">
        <f t="shared" si="76"/>
        <v>0</v>
      </c>
      <c r="S327" s="13">
        <f t="shared" si="77"/>
        <v>1.5069131583035576E-2</v>
      </c>
    </row>
    <row r="328" spans="1:19" x14ac:dyDescent="0.3">
      <c r="A328" s="4">
        <v>45428</v>
      </c>
      <c r="B328" s="2">
        <v>182</v>
      </c>
      <c r="C328" s="2">
        <v>307</v>
      </c>
      <c r="D328" s="2">
        <v>205</v>
      </c>
      <c r="E328">
        <v>6054</v>
      </c>
      <c r="F328">
        <v>171</v>
      </c>
      <c r="G328" s="2">
        <f t="shared" si="65"/>
        <v>6361</v>
      </c>
      <c r="H328">
        <f t="shared" si="66"/>
        <v>5883</v>
      </c>
      <c r="I328" s="13">
        <f t="shared" si="67"/>
        <v>-1.8697943226245112E-3</v>
      </c>
      <c r="J328" t="str">
        <f t="shared" si="68"/>
        <v>No Backlog</v>
      </c>
      <c r="K328" s="13">
        <f t="shared" si="69"/>
        <v>0.92485458261279674</v>
      </c>
      <c r="L328" s="13">
        <f t="shared" si="70"/>
        <v>6.4739820782895769</v>
      </c>
      <c r="M328" s="13">
        <f t="shared" si="71"/>
        <v>27.745637478383902</v>
      </c>
      <c r="N328" t="b">
        <f t="shared" si="72"/>
        <v>1</v>
      </c>
      <c r="O328">
        <f t="shared" si="73"/>
        <v>20</v>
      </c>
      <c r="P328" s="13">
        <f t="shared" si="74"/>
        <v>0.92991481746123505</v>
      </c>
      <c r="Q328" s="13">
        <f t="shared" si="75"/>
        <v>0.92851549382192133</v>
      </c>
      <c r="R328" s="15" t="b">
        <f t="shared" si="76"/>
        <v>0</v>
      </c>
      <c r="S328" s="13">
        <f t="shared" si="77"/>
        <v>2.6882565634334225E-2</v>
      </c>
    </row>
    <row r="329" spans="1:19" x14ac:dyDescent="0.3">
      <c r="A329" s="4">
        <v>45431</v>
      </c>
      <c r="B329" s="2">
        <v>134</v>
      </c>
      <c r="C329" s="2">
        <v>245</v>
      </c>
      <c r="D329" s="2">
        <v>167</v>
      </c>
      <c r="E329">
        <v>6028</v>
      </c>
      <c r="F329">
        <v>156</v>
      </c>
      <c r="G329" s="2">
        <f t="shared" si="65"/>
        <v>6273</v>
      </c>
      <c r="H329">
        <f t="shared" si="66"/>
        <v>5872</v>
      </c>
      <c r="I329" s="13">
        <f t="shared" si="67"/>
        <v>1.8732970027247955E-3</v>
      </c>
      <c r="J329" t="str">
        <f t="shared" si="68"/>
        <v>Backlog</v>
      </c>
      <c r="K329" s="13">
        <f t="shared" si="69"/>
        <v>0.93607524310537227</v>
      </c>
      <c r="L329" s="13">
        <f t="shared" si="70"/>
        <v>6.5525267017376061</v>
      </c>
      <c r="M329" s="13">
        <f t="shared" si="71"/>
        <v>28.082257293161167</v>
      </c>
      <c r="N329" t="b">
        <f t="shared" si="72"/>
        <v>1</v>
      </c>
      <c r="O329">
        <f t="shared" si="73"/>
        <v>21</v>
      </c>
      <c r="P329" s="13">
        <f t="shared" si="74"/>
        <v>0.93893794309609446</v>
      </c>
      <c r="Q329" s="13">
        <f t="shared" si="75"/>
        <v>0.93510156099543051</v>
      </c>
      <c r="R329" s="15" t="str">
        <f t="shared" si="76"/>
        <v>STRAIN</v>
      </c>
      <c r="S329" s="13">
        <f t="shared" si="77"/>
        <v>2.4868483978957436E-2</v>
      </c>
    </row>
    <row r="330" spans="1:19" x14ac:dyDescent="0.3">
      <c r="A330" s="4">
        <v>45432</v>
      </c>
      <c r="B330" s="2">
        <v>136</v>
      </c>
      <c r="C330" s="2">
        <v>274</v>
      </c>
      <c r="D330" s="2">
        <v>245</v>
      </c>
      <c r="E330">
        <v>5995</v>
      </c>
      <c r="F330">
        <v>112</v>
      </c>
      <c r="G330" s="2">
        <f t="shared" si="65"/>
        <v>6269</v>
      </c>
      <c r="H330">
        <f t="shared" si="66"/>
        <v>5883</v>
      </c>
      <c r="I330" s="13">
        <f t="shared" si="67"/>
        <v>-2.991670916199218E-2</v>
      </c>
      <c r="J330" t="str">
        <f t="shared" si="68"/>
        <v>No Backlog</v>
      </c>
      <c r="K330" s="13">
        <f t="shared" si="69"/>
        <v>0.93842718136863934</v>
      </c>
      <c r="L330" s="13">
        <f t="shared" si="70"/>
        <v>6.5689902695804756</v>
      </c>
      <c r="M330" s="13">
        <f t="shared" si="71"/>
        <v>28.152815441059179</v>
      </c>
      <c r="N330" t="b">
        <f t="shared" si="72"/>
        <v>1</v>
      </c>
      <c r="O330">
        <f t="shared" si="73"/>
        <v>21</v>
      </c>
      <c r="P330" s="13">
        <f t="shared" si="74"/>
        <v>0.93923972593423799</v>
      </c>
      <c r="Q330" s="13">
        <f t="shared" si="75"/>
        <v>0.941635849276791</v>
      </c>
      <c r="R330" s="15" t="b">
        <f t="shared" si="76"/>
        <v>0</v>
      </c>
      <c r="S330" s="13">
        <f t="shared" si="77"/>
        <v>1.7865688307545063E-2</v>
      </c>
    </row>
    <row r="331" spans="1:19" x14ac:dyDescent="0.3">
      <c r="A331" s="4">
        <v>45433</v>
      </c>
      <c r="B331" s="2">
        <v>176</v>
      </c>
      <c r="C331" s="2">
        <v>254</v>
      </c>
      <c r="D331" s="2">
        <v>162</v>
      </c>
      <c r="E331">
        <v>5865</v>
      </c>
      <c r="F331">
        <v>158</v>
      </c>
      <c r="G331" s="2">
        <f t="shared" si="65"/>
        <v>6119</v>
      </c>
      <c r="H331">
        <f t="shared" si="66"/>
        <v>5707</v>
      </c>
      <c r="I331" s="13">
        <f t="shared" si="67"/>
        <v>-1.1214298230243561E-2</v>
      </c>
      <c r="J331" t="str">
        <f t="shared" si="68"/>
        <v>No Backlog</v>
      </c>
      <c r="K331" s="13">
        <f t="shared" si="69"/>
        <v>0.9326687367216866</v>
      </c>
      <c r="L331" s="13">
        <f t="shared" si="70"/>
        <v>6.528681157051806</v>
      </c>
      <c r="M331" s="13">
        <f t="shared" si="71"/>
        <v>27.980062101650599</v>
      </c>
      <c r="N331" t="b">
        <f t="shared" si="72"/>
        <v>1</v>
      </c>
      <c r="O331">
        <f t="shared" si="73"/>
        <v>21</v>
      </c>
      <c r="P331" s="13">
        <f t="shared" si="74"/>
        <v>0.92866033068680565</v>
      </c>
      <c r="Q331" s="13">
        <f t="shared" si="75"/>
        <v>0.92935305698928805</v>
      </c>
      <c r="R331" s="15" t="b">
        <f t="shared" si="76"/>
        <v>0</v>
      </c>
      <c r="S331" s="13">
        <f t="shared" si="77"/>
        <v>2.5821212616440596E-2</v>
      </c>
    </row>
    <row r="332" spans="1:19" x14ac:dyDescent="0.3">
      <c r="A332" s="4">
        <v>45434</v>
      </c>
      <c r="B332" s="2">
        <v>86</v>
      </c>
      <c r="C332" s="2">
        <v>244</v>
      </c>
      <c r="D332" s="2">
        <v>235</v>
      </c>
      <c r="E332">
        <v>5821</v>
      </c>
      <c r="F332">
        <v>178</v>
      </c>
      <c r="G332" s="2">
        <f t="shared" si="65"/>
        <v>6065</v>
      </c>
      <c r="H332">
        <f t="shared" si="66"/>
        <v>5643</v>
      </c>
      <c r="I332" s="13">
        <f t="shared" si="67"/>
        <v>5.6707425128477758E-3</v>
      </c>
      <c r="J332" t="str">
        <f t="shared" si="68"/>
        <v>Backlog</v>
      </c>
      <c r="K332" s="13">
        <f t="shared" si="69"/>
        <v>0.93042044517724654</v>
      </c>
      <c r="L332" s="13">
        <f t="shared" si="70"/>
        <v>6.5129431162407254</v>
      </c>
      <c r="M332" s="13">
        <f t="shared" si="71"/>
        <v>27.912613355317397</v>
      </c>
      <c r="N332" t="b">
        <f t="shared" si="72"/>
        <v>1</v>
      </c>
      <c r="O332">
        <f t="shared" si="73"/>
        <v>21</v>
      </c>
      <c r="P332" s="13">
        <f t="shared" si="74"/>
        <v>0.93321782474256687</v>
      </c>
      <c r="Q332" s="13">
        <f t="shared" si="75"/>
        <v>0.93187153364260777</v>
      </c>
      <c r="R332" s="15" t="str">
        <f t="shared" si="76"/>
        <v>STRAIN</v>
      </c>
      <c r="S332" s="13">
        <f t="shared" si="77"/>
        <v>2.9348722176422093E-2</v>
      </c>
    </row>
    <row r="333" spans="1:19" x14ac:dyDescent="0.3">
      <c r="A333" s="4">
        <v>45435</v>
      </c>
      <c r="B333" s="2">
        <v>124</v>
      </c>
      <c r="C333" s="2">
        <v>241</v>
      </c>
      <c r="D333" s="2">
        <v>156</v>
      </c>
      <c r="E333">
        <v>5895</v>
      </c>
      <c r="F333">
        <v>220</v>
      </c>
      <c r="G333" s="2">
        <f t="shared" si="65"/>
        <v>6136</v>
      </c>
      <c r="H333">
        <f t="shared" si="66"/>
        <v>5675</v>
      </c>
      <c r="I333" s="13">
        <f t="shared" si="67"/>
        <v>2.3612334801762114E-2</v>
      </c>
      <c r="J333" t="str">
        <f t="shared" si="68"/>
        <v>Backlog</v>
      </c>
      <c r="K333" s="13">
        <f t="shared" si="69"/>
        <v>0.92486962190352018</v>
      </c>
      <c r="L333" s="13">
        <f t="shared" si="70"/>
        <v>6.4740873533246415</v>
      </c>
      <c r="M333" s="13">
        <f t="shared" si="71"/>
        <v>27.746088657105606</v>
      </c>
      <c r="N333" t="b">
        <f t="shared" si="72"/>
        <v>1</v>
      </c>
      <c r="O333">
        <f t="shared" si="73"/>
        <v>21</v>
      </c>
      <c r="P333" s="13">
        <f t="shared" si="74"/>
        <v>0.9270204550652128</v>
      </c>
      <c r="Q333" s="13">
        <f t="shared" si="75"/>
        <v>0.93838459083110137</v>
      </c>
      <c r="R333" s="15" t="str">
        <f t="shared" si="76"/>
        <v>STRAIN</v>
      </c>
      <c r="S333" s="13">
        <f t="shared" si="77"/>
        <v>3.5853976531942632E-2</v>
      </c>
    </row>
    <row r="334" spans="1:19" x14ac:dyDescent="0.3">
      <c r="A334" s="4">
        <v>45439</v>
      </c>
      <c r="B334" s="2">
        <v>109</v>
      </c>
      <c r="C334" s="2">
        <v>226</v>
      </c>
      <c r="D334" s="2">
        <v>191</v>
      </c>
      <c r="E334">
        <v>5987</v>
      </c>
      <c r="F334">
        <v>178</v>
      </c>
      <c r="G334" s="2">
        <f t="shared" si="65"/>
        <v>6213</v>
      </c>
      <c r="H334">
        <f t="shared" si="66"/>
        <v>5809</v>
      </c>
      <c r="I334" s="13">
        <f t="shared" si="67"/>
        <v>8.4351867791358243E-3</v>
      </c>
      <c r="J334" t="str">
        <f t="shared" si="68"/>
        <v>Backlog</v>
      </c>
      <c r="K334" s="13">
        <f t="shared" si="69"/>
        <v>0.93497505230967326</v>
      </c>
      <c r="L334" s="13">
        <f t="shared" si="70"/>
        <v>6.5448253661677125</v>
      </c>
      <c r="M334" s="13">
        <f t="shared" si="71"/>
        <v>28.049251569290199</v>
      </c>
      <c r="N334" t="b">
        <f t="shared" si="72"/>
        <v>1</v>
      </c>
      <c r="O334">
        <f t="shared" si="73"/>
        <v>22</v>
      </c>
      <c r="P334" s="13">
        <f t="shared" si="74"/>
        <v>0.93357572867035965</v>
      </c>
      <c r="Q334" s="13">
        <f t="shared" si="75"/>
        <v>0.93655370628421131</v>
      </c>
      <c r="R334" s="15" t="str">
        <f t="shared" si="76"/>
        <v>STRAIN</v>
      </c>
      <c r="S334" s="13">
        <f t="shared" si="77"/>
        <v>2.8649605665539996E-2</v>
      </c>
    </row>
    <row r="335" spans="1:19" x14ac:dyDescent="0.3">
      <c r="A335" s="4">
        <v>45440</v>
      </c>
      <c r="B335" s="2">
        <v>162</v>
      </c>
      <c r="C335" s="2">
        <v>239</v>
      </c>
      <c r="D335" s="2">
        <v>189</v>
      </c>
      <c r="E335">
        <v>5981</v>
      </c>
      <c r="F335">
        <v>123</v>
      </c>
      <c r="G335" s="2">
        <f t="shared" si="65"/>
        <v>6220</v>
      </c>
      <c r="H335">
        <f t="shared" si="66"/>
        <v>5858</v>
      </c>
      <c r="I335" s="13">
        <f t="shared" si="67"/>
        <v>-1.7582792762034824E-2</v>
      </c>
      <c r="J335" t="str">
        <f t="shared" si="68"/>
        <v>No Backlog</v>
      </c>
      <c r="K335" s="13">
        <f t="shared" si="69"/>
        <v>0.94180064308681677</v>
      </c>
      <c r="L335" s="13">
        <f t="shared" si="70"/>
        <v>6.5926045016077177</v>
      </c>
      <c r="M335" s="13">
        <f t="shared" si="71"/>
        <v>28.254019292604504</v>
      </c>
      <c r="N335" t="b">
        <f t="shared" si="72"/>
        <v>1</v>
      </c>
      <c r="O335">
        <f t="shared" si="73"/>
        <v>22</v>
      </c>
      <c r="P335" s="13">
        <f t="shared" si="74"/>
        <v>0.93796426098615271</v>
      </c>
      <c r="Q335" s="13">
        <f t="shared" si="75"/>
        <v>0.92971020054224818</v>
      </c>
      <c r="R335" s="15" t="b">
        <f t="shared" si="76"/>
        <v>0</v>
      </c>
      <c r="S335" s="13">
        <f t="shared" si="77"/>
        <v>1.9774919614147912E-2</v>
      </c>
    </row>
    <row r="336" spans="1:19" x14ac:dyDescent="0.3">
      <c r="A336" s="4">
        <v>45441</v>
      </c>
      <c r="B336" s="2">
        <v>109</v>
      </c>
      <c r="C336" s="2">
        <v>219</v>
      </c>
      <c r="D336" s="2">
        <v>155</v>
      </c>
      <c r="E336">
        <v>5903</v>
      </c>
      <c r="F336">
        <v>148</v>
      </c>
      <c r="G336" s="2">
        <f t="shared" si="65"/>
        <v>6122</v>
      </c>
      <c r="H336">
        <f t="shared" si="66"/>
        <v>5755</v>
      </c>
      <c r="I336" s="13">
        <f t="shared" si="67"/>
        <v>-1.9113814074717638E-2</v>
      </c>
      <c r="J336" t="str">
        <f t="shared" si="68"/>
        <v>No Backlog</v>
      </c>
      <c r="K336" s="13">
        <f t="shared" si="69"/>
        <v>0.94005227049983664</v>
      </c>
      <c r="L336" s="13">
        <f t="shared" si="70"/>
        <v>6.5803658934988567</v>
      </c>
      <c r="M336" s="13">
        <f t="shared" si="71"/>
        <v>28.201568114995098</v>
      </c>
      <c r="N336" t="b">
        <f t="shared" si="72"/>
        <v>1</v>
      </c>
      <c r="O336">
        <f t="shared" si="73"/>
        <v>22</v>
      </c>
      <c r="P336" s="13">
        <f t="shared" si="74"/>
        <v>0.94244839384238965</v>
      </c>
      <c r="Q336" s="13">
        <f t="shared" si="75"/>
        <v>0.93816657738255804</v>
      </c>
      <c r="R336" s="15" t="b">
        <f t="shared" si="76"/>
        <v>0</v>
      </c>
      <c r="S336" s="13">
        <f t="shared" si="77"/>
        <v>2.4175106174452794E-2</v>
      </c>
    </row>
    <row r="337" spans="1:19" x14ac:dyDescent="0.3">
      <c r="A337" s="4">
        <v>45442</v>
      </c>
      <c r="B337" s="2">
        <v>95</v>
      </c>
      <c r="C337" s="2">
        <v>211</v>
      </c>
      <c r="D337" s="2">
        <v>140</v>
      </c>
      <c r="E337">
        <v>5894</v>
      </c>
      <c r="F337">
        <v>249</v>
      </c>
      <c r="G337" s="2">
        <f t="shared" si="65"/>
        <v>6105</v>
      </c>
      <c r="H337">
        <f t="shared" si="66"/>
        <v>5645</v>
      </c>
      <c r="I337" s="13">
        <f t="shared" si="67"/>
        <v>4.6944198405668734E-2</v>
      </c>
      <c r="J337" t="str">
        <f t="shared" si="68"/>
        <v>Backlog</v>
      </c>
      <c r="K337" s="13">
        <f t="shared" si="69"/>
        <v>0.92465192465192469</v>
      </c>
      <c r="L337" s="13">
        <f t="shared" si="70"/>
        <v>6.4725634725634729</v>
      </c>
      <c r="M337" s="13">
        <f t="shared" si="71"/>
        <v>27.739557739557739</v>
      </c>
      <c r="N337" t="b">
        <f t="shared" si="72"/>
        <v>1</v>
      </c>
      <c r="O337">
        <f t="shared" si="73"/>
        <v>22</v>
      </c>
      <c r="P337" s="13">
        <f t="shared" si="74"/>
        <v>0.9253446509544071</v>
      </c>
      <c r="Q337" s="13">
        <f t="shared" si="75"/>
        <v>0.92611044369392492</v>
      </c>
      <c r="R337" s="15" t="str">
        <f t="shared" si="76"/>
        <v>STRAIN</v>
      </c>
      <c r="S337" s="13">
        <f t="shared" si="77"/>
        <v>4.0786240786240789E-2</v>
      </c>
    </row>
    <row r="338" spans="1:19" x14ac:dyDescent="0.3">
      <c r="A338" s="4">
        <v>45445</v>
      </c>
      <c r="B338" s="2">
        <v>119</v>
      </c>
      <c r="C338" s="2">
        <v>230</v>
      </c>
      <c r="D338" s="2">
        <v>213</v>
      </c>
      <c r="E338">
        <v>6084</v>
      </c>
      <c r="F338">
        <v>174</v>
      </c>
      <c r="G338" s="2">
        <f t="shared" si="65"/>
        <v>6314</v>
      </c>
      <c r="H338">
        <f t="shared" si="66"/>
        <v>5910</v>
      </c>
      <c r="I338" s="13">
        <f t="shared" si="67"/>
        <v>-7.7834179357021997E-3</v>
      </c>
      <c r="J338" t="str">
        <f t="shared" si="68"/>
        <v>No Backlog</v>
      </c>
      <c r="K338" s="13">
        <f t="shared" si="69"/>
        <v>0.93601520430788721</v>
      </c>
      <c r="L338" s="13">
        <f t="shared" si="70"/>
        <v>6.5521064301552103</v>
      </c>
      <c r="M338" s="13">
        <f t="shared" si="71"/>
        <v>28.080456129236616</v>
      </c>
      <c r="N338" t="b">
        <f t="shared" si="72"/>
        <v>1</v>
      </c>
      <c r="O338">
        <f t="shared" si="73"/>
        <v>23</v>
      </c>
      <c r="P338" s="13">
        <f t="shared" si="74"/>
        <v>0.93466891320792822</v>
      </c>
      <c r="Q338" s="13">
        <f t="shared" si="75"/>
        <v>0.93369387666374748</v>
      </c>
      <c r="R338" s="15" t="b">
        <f t="shared" si="76"/>
        <v>0</v>
      </c>
      <c r="S338" s="13">
        <f t="shared" si="77"/>
        <v>2.7557808045612923E-2</v>
      </c>
    </row>
    <row r="339" spans="1:19" x14ac:dyDescent="0.3">
      <c r="A339" s="4">
        <v>45446</v>
      </c>
      <c r="B339" s="2">
        <v>135</v>
      </c>
      <c r="C339" s="2">
        <v>273</v>
      </c>
      <c r="D339" s="2">
        <v>207</v>
      </c>
      <c r="E339">
        <v>6038</v>
      </c>
      <c r="F339">
        <v>174</v>
      </c>
      <c r="G339" s="2">
        <f t="shared" si="65"/>
        <v>6311</v>
      </c>
      <c r="H339">
        <f t="shared" si="66"/>
        <v>5864</v>
      </c>
      <c r="I339" s="13">
        <f t="shared" si="67"/>
        <v>-1.5347885402455662E-3</v>
      </c>
      <c r="J339" t="str">
        <f t="shared" si="68"/>
        <v>No Backlog</v>
      </c>
      <c r="K339" s="13">
        <f t="shared" si="69"/>
        <v>0.92917128822690542</v>
      </c>
      <c r="L339" s="13">
        <f t="shared" si="70"/>
        <v>6.5041990175883377</v>
      </c>
      <c r="M339" s="13">
        <f t="shared" si="71"/>
        <v>27.875138646807162</v>
      </c>
      <c r="N339" t="b">
        <f t="shared" si="72"/>
        <v>1</v>
      </c>
      <c r="O339">
        <f t="shared" si="73"/>
        <v>23</v>
      </c>
      <c r="P339" s="13">
        <f t="shared" si="74"/>
        <v>0.940535423992794</v>
      </c>
      <c r="Q339" s="13">
        <f t="shared" si="75"/>
        <v>0.93042315017063248</v>
      </c>
      <c r="R339" s="15" t="b">
        <f t="shared" si="76"/>
        <v>0</v>
      </c>
      <c r="S339" s="13">
        <f t="shared" si="77"/>
        <v>2.7570907938520045E-2</v>
      </c>
    </row>
    <row r="340" spans="1:19" x14ac:dyDescent="0.3">
      <c r="A340" s="4">
        <v>45447</v>
      </c>
      <c r="B340" s="2">
        <v>163</v>
      </c>
      <c r="C340" s="2">
        <v>283</v>
      </c>
      <c r="D340" s="2">
        <v>200</v>
      </c>
      <c r="E340">
        <v>5998</v>
      </c>
      <c r="F340">
        <v>143</v>
      </c>
      <c r="G340" s="2">
        <f t="shared" si="65"/>
        <v>6281</v>
      </c>
      <c r="H340">
        <f t="shared" si="66"/>
        <v>5855</v>
      </c>
      <c r="I340" s="13">
        <f t="shared" si="67"/>
        <v>-9.3936806148590939E-3</v>
      </c>
      <c r="J340" t="str">
        <f t="shared" si="68"/>
        <v>No Backlog</v>
      </c>
      <c r="K340" s="13">
        <f t="shared" si="69"/>
        <v>0.93217640503104604</v>
      </c>
      <c r="L340" s="13">
        <f t="shared" si="70"/>
        <v>6.5252348352173222</v>
      </c>
      <c r="M340" s="13">
        <f t="shared" si="71"/>
        <v>27.965292150931383</v>
      </c>
      <c r="N340" t="b">
        <f t="shared" si="72"/>
        <v>1</v>
      </c>
      <c r="O340">
        <f t="shared" si="73"/>
        <v>23</v>
      </c>
      <c r="P340" s="13">
        <f t="shared" si="74"/>
        <v>0.9351543826448977</v>
      </c>
      <c r="Q340" s="13">
        <f t="shared" si="75"/>
        <v>0.9294716371173779</v>
      </c>
      <c r="R340" s="15" t="b">
        <f t="shared" si="76"/>
        <v>0</v>
      </c>
      <c r="S340" s="13">
        <f t="shared" si="77"/>
        <v>2.276707530647986E-2</v>
      </c>
    </row>
    <row r="341" spans="1:19" x14ac:dyDescent="0.3">
      <c r="A341" s="4">
        <v>45448</v>
      </c>
      <c r="B341" s="2">
        <v>172</v>
      </c>
      <c r="C341" s="2">
        <v>259</v>
      </c>
      <c r="D341" s="2">
        <v>138</v>
      </c>
      <c r="E341">
        <v>5950</v>
      </c>
      <c r="F341">
        <v>150</v>
      </c>
      <c r="G341" s="2">
        <f t="shared" si="65"/>
        <v>6209</v>
      </c>
      <c r="H341">
        <f t="shared" si="66"/>
        <v>5800</v>
      </c>
      <c r="I341" s="13">
        <f t="shared" si="67"/>
        <v>-4.655172413793103E-3</v>
      </c>
      <c r="J341" t="str">
        <f t="shared" si="68"/>
        <v>No Backlog</v>
      </c>
      <c r="K341" s="13">
        <f t="shared" si="69"/>
        <v>0.93412787888548876</v>
      </c>
      <c r="L341" s="13">
        <f t="shared" si="70"/>
        <v>6.5388951521984211</v>
      </c>
      <c r="M341" s="13">
        <f t="shared" si="71"/>
        <v>28.023836366564662</v>
      </c>
      <c r="N341" t="b">
        <f t="shared" si="72"/>
        <v>1</v>
      </c>
      <c r="O341">
        <f t="shared" si="73"/>
        <v>23</v>
      </c>
      <c r="P341" s="13">
        <f t="shared" si="74"/>
        <v>0.92587381844158412</v>
      </c>
      <c r="Q341" s="13">
        <f t="shared" si="75"/>
        <v>0.93492329508091043</v>
      </c>
      <c r="R341" s="15" t="b">
        <f t="shared" si="76"/>
        <v>0</v>
      </c>
      <c r="S341" s="13">
        <f t="shared" si="77"/>
        <v>2.4158479626348848E-2</v>
      </c>
    </row>
    <row r="342" spans="1:19" x14ac:dyDescent="0.3">
      <c r="A342" s="4">
        <v>45449</v>
      </c>
      <c r="B342" s="2">
        <v>63</v>
      </c>
      <c r="C342" s="2">
        <v>167</v>
      </c>
      <c r="D342" s="2">
        <v>143</v>
      </c>
      <c r="E342">
        <v>5943</v>
      </c>
      <c r="F342">
        <v>170</v>
      </c>
      <c r="G342" s="2">
        <f t="shared" si="65"/>
        <v>6110</v>
      </c>
      <c r="H342">
        <f t="shared" si="66"/>
        <v>5773</v>
      </c>
      <c r="I342" s="13">
        <f t="shared" si="67"/>
        <v>1.2818292049194525E-2</v>
      </c>
      <c r="J342" t="str">
        <f t="shared" si="68"/>
        <v>Backlog</v>
      </c>
      <c r="K342" s="13">
        <f t="shared" si="69"/>
        <v>0.94484451718494267</v>
      </c>
      <c r="L342" s="13">
        <f t="shared" si="70"/>
        <v>6.6139116202945987</v>
      </c>
      <c r="M342" s="13">
        <f t="shared" si="71"/>
        <v>28.345335515548278</v>
      </c>
      <c r="N342" t="b">
        <f t="shared" si="72"/>
        <v>1</v>
      </c>
      <c r="O342">
        <f t="shared" si="73"/>
        <v>23</v>
      </c>
      <c r="P342" s="13">
        <f t="shared" si="74"/>
        <v>0.94056270072511117</v>
      </c>
      <c r="Q342" s="13">
        <f t="shared" si="75"/>
        <v>0.94011693862331169</v>
      </c>
      <c r="R342" s="15" t="str">
        <f t="shared" si="76"/>
        <v>STRAIN</v>
      </c>
      <c r="S342" s="13">
        <f t="shared" si="77"/>
        <v>2.7823240589198037E-2</v>
      </c>
    </row>
    <row r="343" spans="1:19" x14ac:dyDescent="0.3">
      <c r="A343" s="4">
        <v>45452</v>
      </c>
      <c r="B343" s="2">
        <v>227</v>
      </c>
      <c r="C343" s="2">
        <v>298</v>
      </c>
      <c r="D343" s="2">
        <v>212</v>
      </c>
      <c r="E343">
        <v>6016</v>
      </c>
      <c r="F343">
        <v>169</v>
      </c>
      <c r="G343" s="2">
        <f t="shared" si="65"/>
        <v>6314</v>
      </c>
      <c r="H343">
        <f t="shared" si="66"/>
        <v>5847</v>
      </c>
      <c r="I343" s="13">
        <f t="shared" si="67"/>
        <v>-6.4990593466735073E-3</v>
      </c>
      <c r="J343" t="str">
        <f t="shared" si="68"/>
        <v>No Backlog</v>
      </c>
      <c r="K343" s="13">
        <f t="shared" si="69"/>
        <v>0.9260373772568895</v>
      </c>
      <c r="L343" s="13">
        <f t="shared" si="70"/>
        <v>6.4822616407982263</v>
      </c>
      <c r="M343" s="13">
        <f t="shared" si="71"/>
        <v>27.781121317706685</v>
      </c>
      <c r="N343" t="b">
        <f t="shared" si="72"/>
        <v>1</v>
      </c>
      <c r="O343">
        <f t="shared" si="73"/>
        <v>24</v>
      </c>
      <c r="P343" s="13">
        <f t="shared" si="74"/>
        <v>0.92680316999640733</v>
      </c>
      <c r="Q343" s="13">
        <f t="shared" si="75"/>
        <v>0.93549858967977439</v>
      </c>
      <c r="R343" s="15" t="b">
        <f t="shared" si="76"/>
        <v>0</v>
      </c>
      <c r="S343" s="13">
        <f t="shared" si="77"/>
        <v>2.6765917009819448E-2</v>
      </c>
    </row>
    <row r="344" spans="1:19" x14ac:dyDescent="0.3">
      <c r="A344" s="4">
        <v>45453</v>
      </c>
      <c r="B344" s="2">
        <v>140</v>
      </c>
      <c r="C344" s="2">
        <v>261</v>
      </c>
      <c r="D344" s="2">
        <v>163</v>
      </c>
      <c r="E344">
        <v>5963</v>
      </c>
      <c r="F344">
        <v>154</v>
      </c>
      <c r="G344" s="2">
        <f t="shared" si="65"/>
        <v>6224</v>
      </c>
      <c r="H344">
        <f t="shared" si="66"/>
        <v>5809</v>
      </c>
      <c r="I344" s="13">
        <f t="shared" si="67"/>
        <v>4.9922533998967124E-3</v>
      </c>
      <c r="J344" t="str">
        <f t="shared" si="68"/>
        <v>Backlog</v>
      </c>
      <c r="K344" s="13">
        <f t="shared" si="69"/>
        <v>0.93332262210796912</v>
      </c>
      <c r="L344" s="13">
        <f t="shared" si="70"/>
        <v>6.5332583547557839</v>
      </c>
      <c r="M344" s="13">
        <f t="shared" si="71"/>
        <v>27.999678663239074</v>
      </c>
      <c r="N344" t="b">
        <f t="shared" si="72"/>
        <v>1</v>
      </c>
      <c r="O344">
        <f t="shared" si="73"/>
        <v>24</v>
      </c>
      <c r="P344" s="13">
        <f t="shared" si="74"/>
        <v>0.93234758556378849</v>
      </c>
      <c r="Q344" s="13">
        <f t="shared" si="75"/>
        <v>0.93394887263033932</v>
      </c>
      <c r="R344" s="15" t="str">
        <f t="shared" si="76"/>
        <v>STRAIN</v>
      </c>
      <c r="S344" s="13">
        <f t="shared" si="77"/>
        <v>2.4742930591259642E-2</v>
      </c>
    </row>
    <row r="345" spans="1:19" x14ac:dyDescent="0.3">
      <c r="A345" s="4">
        <v>45454</v>
      </c>
      <c r="B345" s="2">
        <v>125</v>
      </c>
      <c r="C345" s="2">
        <v>203</v>
      </c>
      <c r="D345" s="2">
        <v>208</v>
      </c>
      <c r="E345">
        <v>5930</v>
      </c>
      <c r="F345">
        <v>92</v>
      </c>
      <c r="G345" s="2">
        <f t="shared" si="65"/>
        <v>6133</v>
      </c>
      <c r="H345">
        <f t="shared" si="66"/>
        <v>5838</v>
      </c>
      <c r="I345" s="13">
        <f t="shared" si="67"/>
        <v>-3.117505995203837E-2</v>
      </c>
      <c r="J345" t="str">
        <f t="shared" si="68"/>
        <v>No Backlog</v>
      </c>
      <c r="K345" s="13">
        <f t="shared" si="69"/>
        <v>0.95189955975868257</v>
      </c>
      <c r="L345" s="13">
        <f t="shared" si="70"/>
        <v>6.6632969183107775</v>
      </c>
      <c r="M345" s="13">
        <f t="shared" si="71"/>
        <v>28.556986792760476</v>
      </c>
      <c r="N345" t="b">
        <f t="shared" si="72"/>
        <v>0</v>
      </c>
      <c r="O345">
        <f t="shared" si="73"/>
        <v>24</v>
      </c>
      <c r="P345" s="13">
        <f t="shared" si="74"/>
        <v>0.94178728593652106</v>
      </c>
      <c r="Q345" s="13">
        <f t="shared" si="75"/>
        <v>0.94858769067746329</v>
      </c>
      <c r="R345" s="15" t="b">
        <f t="shared" si="76"/>
        <v>0</v>
      </c>
      <c r="S345" s="13">
        <f t="shared" si="77"/>
        <v>1.5000815261699005E-2</v>
      </c>
    </row>
    <row r="346" spans="1:19" x14ac:dyDescent="0.3">
      <c r="A346" s="4">
        <v>45455</v>
      </c>
      <c r="B346" s="2">
        <v>114</v>
      </c>
      <c r="C346" s="2">
        <v>210</v>
      </c>
      <c r="D346" s="2">
        <v>219</v>
      </c>
      <c r="E346">
        <v>5819</v>
      </c>
      <c r="F346">
        <v>163</v>
      </c>
      <c r="G346" s="2">
        <f t="shared" si="65"/>
        <v>6029</v>
      </c>
      <c r="H346">
        <f t="shared" si="66"/>
        <v>5656</v>
      </c>
      <c r="I346" s="13">
        <f t="shared" si="67"/>
        <v>-2.1216407355021217E-2</v>
      </c>
      <c r="J346" t="str">
        <f t="shared" si="68"/>
        <v>No Backlog</v>
      </c>
      <c r="K346" s="13">
        <f t="shared" si="69"/>
        <v>0.93813236025874935</v>
      </c>
      <c r="L346" s="13">
        <f t="shared" si="70"/>
        <v>6.5669265218112454</v>
      </c>
      <c r="M346" s="13">
        <f t="shared" si="71"/>
        <v>28.143970807762482</v>
      </c>
      <c r="N346" t="b">
        <f t="shared" si="72"/>
        <v>0</v>
      </c>
      <c r="O346">
        <f t="shared" si="73"/>
        <v>24</v>
      </c>
      <c r="P346" s="13">
        <f t="shared" si="74"/>
        <v>0.93244961473122956</v>
      </c>
      <c r="Q346" s="13">
        <f t="shared" si="75"/>
        <v>0.94452900704680043</v>
      </c>
      <c r="R346" s="15" t="b">
        <f t="shared" si="76"/>
        <v>0</v>
      </c>
      <c r="S346" s="13">
        <f t="shared" si="77"/>
        <v>2.7035992701940622E-2</v>
      </c>
    </row>
    <row r="347" spans="1:19" x14ac:dyDescent="0.3">
      <c r="A347" s="4">
        <v>45456</v>
      </c>
      <c r="B347" s="2">
        <v>152</v>
      </c>
      <c r="C347" s="2">
        <v>290</v>
      </c>
      <c r="D347" s="2">
        <v>199</v>
      </c>
      <c r="E347">
        <v>5743</v>
      </c>
      <c r="F347">
        <v>207</v>
      </c>
      <c r="G347" s="2">
        <f t="shared" si="65"/>
        <v>6033</v>
      </c>
      <c r="H347">
        <f t="shared" si="66"/>
        <v>5536</v>
      </c>
      <c r="I347" s="13">
        <f t="shared" si="67"/>
        <v>4.046242774566474E-2</v>
      </c>
      <c r="J347" t="str">
        <f t="shared" si="68"/>
        <v>Backlog</v>
      </c>
      <c r="K347" s="13">
        <f t="shared" si="69"/>
        <v>0.91761975799767947</v>
      </c>
      <c r="L347" s="13">
        <f t="shared" si="70"/>
        <v>6.4233383059837568</v>
      </c>
      <c r="M347" s="13">
        <f t="shared" si="71"/>
        <v>27.528592739930385</v>
      </c>
      <c r="N347" t="b">
        <f t="shared" si="72"/>
        <v>1</v>
      </c>
      <c r="O347">
        <f t="shared" si="73"/>
        <v>24</v>
      </c>
      <c r="P347" s="13">
        <f t="shared" si="74"/>
        <v>0.92666923463700579</v>
      </c>
      <c r="Q347" s="13">
        <f t="shared" si="75"/>
        <v>0.93604934035715348</v>
      </c>
      <c r="R347" s="15" t="str">
        <f t="shared" si="76"/>
        <v>STRAIN</v>
      </c>
      <c r="S347" s="13">
        <f t="shared" si="77"/>
        <v>3.4311287916459474E-2</v>
      </c>
    </row>
    <row r="348" spans="1:19" x14ac:dyDescent="0.3">
      <c r="A348" s="4">
        <v>45459</v>
      </c>
      <c r="B348" s="2">
        <v>93</v>
      </c>
      <c r="C348" s="2">
        <v>198</v>
      </c>
      <c r="D348" s="2">
        <v>208</v>
      </c>
      <c r="E348">
        <v>5954</v>
      </c>
      <c r="F348">
        <v>194</v>
      </c>
      <c r="G348" s="2">
        <f t="shared" si="65"/>
        <v>6152</v>
      </c>
      <c r="H348">
        <f t="shared" si="66"/>
        <v>5760</v>
      </c>
      <c r="I348" s="13">
        <f t="shared" si="67"/>
        <v>-1.736111111111111E-3</v>
      </c>
      <c r="J348" t="str">
        <f t="shared" si="68"/>
        <v>No Backlog</v>
      </c>
      <c r="K348" s="13">
        <f t="shared" si="69"/>
        <v>0.93628088426527956</v>
      </c>
      <c r="L348" s="13">
        <f t="shared" si="70"/>
        <v>6.5539661898569568</v>
      </c>
      <c r="M348" s="13">
        <f t="shared" si="71"/>
        <v>28.088426527958386</v>
      </c>
      <c r="N348" t="b">
        <f t="shared" si="72"/>
        <v>0</v>
      </c>
      <c r="O348">
        <f t="shared" si="73"/>
        <v>25</v>
      </c>
      <c r="P348" s="13">
        <f t="shared" si="74"/>
        <v>0.93583512216348019</v>
      </c>
      <c r="Q348" s="13">
        <f t="shared" si="75"/>
        <v>0.94634368219154996</v>
      </c>
      <c r="R348" s="15" t="b">
        <f t="shared" si="76"/>
        <v>0</v>
      </c>
      <c r="S348" s="13">
        <f t="shared" si="77"/>
        <v>3.1534460338101429E-2</v>
      </c>
    </row>
    <row r="349" spans="1:19" x14ac:dyDescent="0.3">
      <c r="A349" s="4">
        <v>45460</v>
      </c>
      <c r="B349" s="2">
        <v>137</v>
      </c>
      <c r="C349" s="2">
        <v>272</v>
      </c>
      <c r="D349" s="2">
        <v>166</v>
      </c>
      <c r="E349">
        <v>5927</v>
      </c>
      <c r="F349">
        <v>177</v>
      </c>
      <c r="G349" s="2">
        <f t="shared" si="65"/>
        <v>6199</v>
      </c>
      <c r="H349">
        <f t="shared" si="66"/>
        <v>5750</v>
      </c>
      <c r="I349" s="13">
        <f t="shared" si="67"/>
        <v>7.8260869565217397E-3</v>
      </c>
      <c r="J349" t="str">
        <f t="shared" si="68"/>
        <v>Backlog</v>
      </c>
      <c r="K349" s="13">
        <f t="shared" si="69"/>
        <v>0.92756896273592515</v>
      </c>
      <c r="L349" s="13">
        <f t="shared" si="70"/>
        <v>6.4929827391514756</v>
      </c>
      <c r="M349" s="13">
        <f t="shared" si="71"/>
        <v>27.827068882077754</v>
      </c>
      <c r="N349" t="b">
        <f t="shared" si="72"/>
        <v>1</v>
      </c>
      <c r="O349">
        <f t="shared" si="73"/>
        <v>25</v>
      </c>
      <c r="P349" s="13">
        <f t="shared" si="74"/>
        <v>0.93626438241929222</v>
      </c>
      <c r="Q349" s="13">
        <f t="shared" si="75"/>
        <v>0.9361916421905695</v>
      </c>
      <c r="R349" s="15" t="str">
        <f t="shared" si="76"/>
        <v>STRAIN</v>
      </c>
      <c r="S349" s="13">
        <f t="shared" si="77"/>
        <v>2.8552992418131955E-2</v>
      </c>
    </row>
    <row r="350" spans="1:19" x14ac:dyDescent="0.3">
      <c r="A350" s="4">
        <v>45461</v>
      </c>
      <c r="B350" s="2">
        <v>120</v>
      </c>
      <c r="C350" s="2">
        <v>257</v>
      </c>
      <c r="D350" s="2">
        <v>126</v>
      </c>
      <c r="E350">
        <v>5965</v>
      </c>
      <c r="F350">
        <v>170</v>
      </c>
      <c r="G350" s="2">
        <f t="shared" si="65"/>
        <v>6222</v>
      </c>
      <c r="H350">
        <f t="shared" si="66"/>
        <v>5795</v>
      </c>
      <c r="I350" s="13">
        <f t="shared" si="67"/>
        <v>-4.6591889559965492E-3</v>
      </c>
      <c r="J350" t="str">
        <f t="shared" si="68"/>
        <v>No Backlog</v>
      </c>
      <c r="K350" s="13">
        <f t="shared" si="69"/>
        <v>0.93137254901960786</v>
      </c>
      <c r="L350" s="13">
        <f t="shared" si="70"/>
        <v>6.5196078431372548</v>
      </c>
      <c r="M350" s="13">
        <f t="shared" si="71"/>
        <v>27.941176470588236</v>
      </c>
      <c r="N350" t="b">
        <f t="shared" si="72"/>
        <v>1</v>
      </c>
      <c r="O350">
        <f t="shared" si="73"/>
        <v>25</v>
      </c>
      <c r="P350" s="13">
        <f t="shared" si="74"/>
        <v>0.93297383608615858</v>
      </c>
      <c r="Q350" s="13">
        <f t="shared" si="75"/>
        <v>0.93354545352918827</v>
      </c>
      <c r="R350" s="15" t="b">
        <f t="shared" si="76"/>
        <v>0</v>
      </c>
      <c r="S350" s="13">
        <f t="shared" si="77"/>
        <v>2.7322404371584699E-2</v>
      </c>
    </row>
    <row r="351" spans="1:19" x14ac:dyDescent="0.3">
      <c r="A351" s="4">
        <v>45462</v>
      </c>
      <c r="B351" s="2">
        <v>102</v>
      </c>
      <c r="C351" s="2">
        <v>189</v>
      </c>
      <c r="D351" s="2">
        <v>155</v>
      </c>
      <c r="E351">
        <v>6002</v>
      </c>
      <c r="F351">
        <v>234</v>
      </c>
      <c r="G351" s="2">
        <f t="shared" si="65"/>
        <v>6191</v>
      </c>
      <c r="H351">
        <f t="shared" si="66"/>
        <v>5768</v>
      </c>
      <c r="I351" s="13">
        <f t="shared" si="67"/>
        <v>4.8543689320388345E-3</v>
      </c>
      <c r="J351" t="str">
        <f t="shared" si="68"/>
        <v>Backlog</v>
      </c>
      <c r="K351" s="13">
        <f t="shared" si="69"/>
        <v>0.93167501211435955</v>
      </c>
      <c r="L351" s="13">
        <f t="shared" si="70"/>
        <v>6.5217250848005168</v>
      </c>
      <c r="M351" s="13">
        <f t="shared" si="71"/>
        <v>27.950250363430786</v>
      </c>
      <c r="N351" t="b">
        <f t="shared" si="72"/>
        <v>1</v>
      </c>
      <c r="O351">
        <f t="shared" si="73"/>
        <v>25</v>
      </c>
      <c r="P351" s="13">
        <f t="shared" si="74"/>
        <v>0.93847541685530178</v>
      </c>
      <c r="Q351" s="13">
        <f t="shared" si="75"/>
        <v>0.93635486962911463</v>
      </c>
      <c r="R351" s="15" t="str">
        <f t="shared" si="76"/>
        <v>STRAIN</v>
      </c>
      <c r="S351" s="13">
        <f t="shared" si="77"/>
        <v>3.7796801809077692E-2</v>
      </c>
    </row>
    <row r="352" spans="1:19" x14ac:dyDescent="0.3">
      <c r="A352" s="4">
        <v>45463</v>
      </c>
      <c r="B352" s="2">
        <v>90</v>
      </c>
      <c r="C352" s="2">
        <v>196</v>
      </c>
      <c r="D352" s="2">
        <v>205</v>
      </c>
      <c r="E352">
        <v>6058</v>
      </c>
      <c r="F352">
        <v>262</v>
      </c>
      <c r="G352" s="2">
        <f t="shared" si="65"/>
        <v>6254</v>
      </c>
      <c r="H352">
        <f t="shared" si="66"/>
        <v>5796</v>
      </c>
      <c r="I352" s="13">
        <f t="shared" si="67"/>
        <v>4.2270531400966184E-2</v>
      </c>
      <c r="J352" t="str">
        <f t="shared" si="68"/>
        <v>Backlog</v>
      </c>
      <c r="K352" s="13">
        <f t="shared" si="69"/>
        <v>0.92676686920370965</v>
      </c>
      <c r="L352" s="13">
        <f t="shared" si="70"/>
        <v>6.4873680844259676</v>
      </c>
      <c r="M352" s="13">
        <f t="shared" si="71"/>
        <v>27.803006076111288</v>
      </c>
      <c r="N352" t="b">
        <f t="shared" si="72"/>
        <v>0</v>
      </c>
      <c r="O352">
        <f t="shared" si="73"/>
        <v>25</v>
      </c>
      <c r="P352" s="13">
        <f t="shared" si="74"/>
        <v>0.93884626151928063</v>
      </c>
      <c r="Q352" s="13">
        <f t="shared" si="75"/>
        <v>0.93065461623971257</v>
      </c>
      <c r="R352" s="15" t="str">
        <f t="shared" si="76"/>
        <v>STRAIN</v>
      </c>
      <c r="S352" s="13">
        <f t="shared" si="77"/>
        <v>4.1893188359449954E-2</v>
      </c>
    </row>
    <row r="353" spans="1:19" x14ac:dyDescent="0.3">
      <c r="A353" s="4">
        <v>45466</v>
      </c>
      <c r="B353" s="2">
        <v>128</v>
      </c>
      <c r="C353" s="2">
        <v>228</v>
      </c>
      <c r="D353" s="2">
        <v>177</v>
      </c>
      <c r="E353">
        <v>6228</v>
      </c>
      <c r="F353">
        <v>187</v>
      </c>
      <c r="G353" s="2">
        <f t="shared" si="65"/>
        <v>6456</v>
      </c>
      <c r="H353">
        <f t="shared" si="66"/>
        <v>6041</v>
      </c>
      <c r="I353" s="13">
        <f t="shared" si="67"/>
        <v>4.1383876841582521E-3</v>
      </c>
      <c r="J353" t="str">
        <f t="shared" si="68"/>
        <v>Backlog</v>
      </c>
      <c r="K353" s="13">
        <f t="shared" si="69"/>
        <v>0.9357187112763321</v>
      </c>
      <c r="L353" s="13">
        <f t="shared" si="70"/>
        <v>6.5500309789343252</v>
      </c>
      <c r="M353" s="13">
        <f t="shared" si="71"/>
        <v>28.071561338289964</v>
      </c>
      <c r="N353" t="b">
        <f t="shared" si="72"/>
        <v>1</v>
      </c>
      <c r="O353">
        <f t="shared" si="73"/>
        <v>26</v>
      </c>
      <c r="P353" s="13">
        <f t="shared" si="74"/>
        <v>0.9450988169964798</v>
      </c>
      <c r="Q353" s="13">
        <f t="shared" si="75"/>
        <v>0.93245676554807599</v>
      </c>
      <c r="R353" s="15" t="str">
        <f t="shared" si="76"/>
        <v>STRAIN</v>
      </c>
      <c r="S353" s="13">
        <f t="shared" si="77"/>
        <v>2.8965303593556382E-2</v>
      </c>
    </row>
    <row r="354" spans="1:19" x14ac:dyDescent="0.3">
      <c r="A354" s="4">
        <v>45467</v>
      </c>
      <c r="B354" s="2">
        <v>136</v>
      </c>
      <c r="C354" s="2">
        <v>246</v>
      </c>
      <c r="D354" s="2">
        <v>123</v>
      </c>
      <c r="E354">
        <v>6239</v>
      </c>
      <c r="F354">
        <v>173</v>
      </c>
      <c r="G354" s="2">
        <f t="shared" si="65"/>
        <v>6485</v>
      </c>
      <c r="H354">
        <f t="shared" si="66"/>
        <v>6066</v>
      </c>
      <c r="I354" s="13">
        <f t="shared" si="67"/>
        <v>7.5832509066930433E-3</v>
      </c>
      <c r="J354" t="str">
        <f t="shared" si="68"/>
        <v>Backlog</v>
      </c>
      <c r="K354" s="13">
        <f t="shared" si="69"/>
        <v>0.93538936006168083</v>
      </c>
      <c r="L354" s="13">
        <f t="shared" si="70"/>
        <v>6.5477255204317659</v>
      </c>
      <c r="M354" s="13">
        <f t="shared" si="71"/>
        <v>28.061680801850425</v>
      </c>
      <c r="N354" t="b">
        <f t="shared" si="72"/>
        <v>1</v>
      </c>
      <c r="O354">
        <f t="shared" si="73"/>
        <v>26</v>
      </c>
      <c r="P354" s="13">
        <f t="shared" si="74"/>
        <v>0.9458979200897506</v>
      </c>
      <c r="Q354" s="13">
        <f t="shared" si="75"/>
        <v>0.93577407917247135</v>
      </c>
      <c r="R354" s="15" t="str">
        <f t="shared" si="76"/>
        <v>STRAIN</v>
      </c>
      <c r="S354" s="13">
        <f t="shared" si="77"/>
        <v>2.6676946800308403E-2</v>
      </c>
    </row>
    <row r="355" spans="1:19" x14ac:dyDescent="0.3">
      <c r="A355" s="4">
        <v>45468</v>
      </c>
      <c r="B355" s="2">
        <v>105</v>
      </c>
      <c r="C355" s="2">
        <v>185</v>
      </c>
      <c r="D355" s="2">
        <v>158</v>
      </c>
      <c r="E355">
        <v>6283</v>
      </c>
      <c r="F355">
        <v>171</v>
      </c>
      <c r="G355" s="2">
        <f t="shared" si="65"/>
        <v>6468</v>
      </c>
      <c r="H355">
        <f t="shared" si="66"/>
        <v>6112</v>
      </c>
      <c r="I355" s="13">
        <f t="shared" si="67"/>
        <v>-6.7081151832460734E-3</v>
      </c>
      <c r="J355" t="str">
        <f t="shared" si="68"/>
        <v>No Backlog</v>
      </c>
      <c r="K355" s="13">
        <f t="shared" si="69"/>
        <v>0.94495980210265929</v>
      </c>
      <c r="L355" s="13">
        <f t="shared" si="70"/>
        <v>6.6147186147186154</v>
      </c>
      <c r="M355" s="13">
        <f t="shared" si="71"/>
        <v>28.348794063079779</v>
      </c>
      <c r="N355" t="b">
        <f t="shared" si="72"/>
        <v>1</v>
      </c>
      <c r="O355">
        <f t="shared" si="73"/>
        <v>26</v>
      </c>
      <c r="P355" s="13">
        <f t="shared" si="74"/>
        <v>0.94488706187393656</v>
      </c>
      <c r="Q355" s="13">
        <f t="shared" si="75"/>
        <v>0.94435781655179607</v>
      </c>
      <c r="R355" s="15" t="b">
        <f t="shared" si="76"/>
        <v>0</v>
      </c>
      <c r="S355" s="13">
        <f t="shared" si="77"/>
        <v>2.6437847866419294E-2</v>
      </c>
    </row>
    <row r="356" spans="1:19" x14ac:dyDescent="0.3">
      <c r="A356" s="4">
        <v>45469</v>
      </c>
      <c r="B356" s="2">
        <v>116</v>
      </c>
      <c r="C356" s="2">
        <v>188</v>
      </c>
      <c r="D356" s="2">
        <v>164</v>
      </c>
      <c r="E356">
        <v>6308</v>
      </c>
      <c r="F356">
        <v>237</v>
      </c>
      <c r="G356" s="2">
        <f t="shared" si="65"/>
        <v>6496</v>
      </c>
      <c r="H356">
        <f t="shared" si="66"/>
        <v>6071</v>
      </c>
      <c r="I356" s="13">
        <f t="shared" si="67"/>
        <v>6.127491352330753E-2</v>
      </c>
      <c r="J356" t="str">
        <f t="shared" si="68"/>
        <v>Backlog</v>
      </c>
      <c r="K356" s="13">
        <f t="shared" si="69"/>
        <v>0.93457512315270941</v>
      </c>
      <c r="L356" s="13">
        <f t="shared" si="70"/>
        <v>6.5420258620689662</v>
      </c>
      <c r="M356" s="13">
        <f t="shared" si="71"/>
        <v>28.037253694581281</v>
      </c>
      <c r="N356" t="b">
        <f t="shared" si="72"/>
        <v>1</v>
      </c>
      <c r="O356">
        <f t="shared" si="73"/>
        <v>26</v>
      </c>
      <c r="P356" s="13">
        <f t="shared" si="74"/>
        <v>0.93514674059573899</v>
      </c>
      <c r="Q356" s="13">
        <f t="shared" si="75"/>
        <v>0.93629582603916461</v>
      </c>
      <c r="R356" s="15" t="str">
        <f t="shared" si="76"/>
        <v>STRAIN</v>
      </c>
      <c r="S356" s="13">
        <f t="shared" si="77"/>
        <v>3.6483990147783252E-2</v>
      </c>
    </row>
    <row r="357" spans="1:19" x14ac:dyDescent="0.3">
      <c r="A357" s="4">
        <v>45470</v>
      </c>
      <c r="B357" s="2">
        <v>80</v>
      </c>
      <c r="C357" s="2">
        <v>176</v>
      </c>
      <c r="D357" s="2">
        <v>125</v>
      </c>
      <c r="E357">
        <v>6640</v>
      </c>
      <c r="F357">
        <v>197</v>
      </c>
      <c r="G357" s="2">
        <f t="shared" si="65"/>
        <v>6816</v>
      </c>
      <c r="H357">
        <f t="shared" si="66"/>
        <v>6443</v>
      </c>
      <c r="I357" s="13">
        <f t="shared" si="67"/>
        <v>4.5010088468104923E-3</v>
      </c>
      <c r="J357" t="str">
        <f t="shared" si="68"/>
        <v>Backlog</v>
      </c>
      <c r="K357" s="13">
        <f t="shared" si="69"/>
        <v>0.94527582159624413</v>
      </c>
      <c r="L357" s="13">
        <f t="shared" si="70"/>
        <v>6.616930751173709</v>
      </c>
      <c r="M357" s="13">
        <f t="shared" si="71"/>
        <v>28.358274647887324</v>
      </c>
      <c r="N357" t="b">
        <f t="shared" si="72"/>
        <v>1</v>
      </c>
      <c r="O357">
        <f t="shared" si="73"/>
        <v>26</v>
      </c>
      <c r="P357" s="13">
        <f t="shared" si="74"/>
        <v>0.94315527437005686</v>
      </c>
      <c r="Q357" s="13">
        <f t="shared" si="75"/>
        <v>0.94721303893408104</v>
      </c>
      <c r="R357" s="15" t="str">
        <f t="shared" si="76"/>
        <v>STRAIN</v>
      </c>
      <c r="S357" s="13">
        <f t="shared" si="77"/>
        <v>2.8902582159624414E-2</v>
      </c>
    </row>
    <row r="358" spans="1:19" x14ac:dyDescent="0.3">
      <c r="A358" s="4">
        <v>45473</v>
      </c>
      <c r="B358" s="2">
        <v>150</v>
      </c>
      <c r="C358" s="2">
        <v>157</v>
      </c>
      <c r="D358" s="2">
        <v>201</v>
      </c>
      <c r="E358">
        <v>6649</v>
      </c>
      <c r="F358">
        <v>177</v>
      </c>
      <c r="G358" s="2">
        <f t="shared" si="65"/>
        <v>6806</v>
      </c>
      <c r="H358">
        <f t="shared" si="66"/>
        <v>6472</v>
      </c>
      <c r="I358" s="13">
        <f t="shared" si="67"/>
        <v>7.5710754017305317E-3</v>
      </c>
      <c r="J358" t="str">
        <f t="shared" si="68"/>
        <v>Backlog</v>
      </c>
      <c r="K358" s="13">
        <f t="shared" si="69"/>
        <v>0.95092565383485161</v>
      </c>
      <c r="L358" s="13">
        <f t="shared" si="70"/>
        <v>6.6564795768439611</v>
      </c>
      <c r="M358" s="13">
        <f t="shared" si="71"/>
        <v>28.52776961504555</v>
      </c>
      <c r="N358" t="b">
        <f t="shared" si="72"/>
        <v>0</v>
      </c>
      <c r="O358">
        <f t="shared" si="73"/>
        <v>27</v>
      </c>
      <c r="P358" s="13">
        <f t="shared" si="74"/>
        <v>0.94273400855528355</v>
      </c>
      <c r="Q358" s="13">
        <f t="shared" si="75"/>
        <v>0.94060866582564095</v>
      </c>
      <c r="R358" s="15" t="str">
        <f t="shared" si="76"/>
        <v>STRAIN</v>
      </c>
      <c r="S358" s="13">
        <f t="shared" si="77"/>
        <v>2.6006464883925946E-2</v>
      </c>
    </row>
    <row r="359" spans="1:19" x14ac:dyDescent="0.3">
      <c r="A359" s="4">
        <v>45474</v>
      </c>
      <c r="B359" s="2">
        <v>116</v>
      </c>
      <c r="C359" s="2">
        <v>181</v>
      </c>
      <c r="D359" s="2">
        <v>182</v>
      </c>
      <c r="E359">
        <v>6651</v>
      </c>
      <c r="F359">
        <v>130</v>
      </c>
      <c r="G359" s="2">
        <f t="shared" si="65"/>
        <v>6832</v>
      </c>
      <c r="H359">
        <f t="shared" si="66"/>
        <v>6521</v>
      </c>
      <c r="I359" s="13">
        <f t="shared" si="67"/>
        <v>-4.1404692531820273E-3</v>
      </c>
      <c r="J359" t="str">
        <f t="shared" si="68"/>
        <v>No Backlog</v>
      </c>
      <c r="K359" s="13">
        <f t="shared" si="69"/>
        <v>0.9544789227166276</v>
      </c>
      <c r="L359" s="13">
        <f t="shared" si="70"/>
        <v>6.6813524590163933</v>
      </c>
      <c r="M359" s="13">
        <f t="shared" si="71"/>
        <v>28.634367681498826</v>
      </c>
      <c r="N359" t="b">
        <f t="shared" si="72"/>
        <v>0</v>
      </c>
      <c r="O359">
        <f t="shared" si="73"/>
        <v>27</v>
      </c>
      <c r="P359" s="13">
        <f t="shared" si="74"/>
        <v>0.94183687126822369</v>
      </c>
      <c r="Q359" s="13">
        <f t="shared" si="75"/>
        <v>0.94585107896706611</v>
      </c>
      <c r="R359" s="15" t="b">
        <f t="shared" si="76"/>
        <v>0</v>
      </c>
      <c r="S359" s="13">
        <f t="shared" si="77"/>
        <v>1.9028103044496487E-2</v>
      </c>
    </row>
    <row r="360" spans="1:19" x14ac:dyDescent="0.3">
      <c r="A360" s="4">
        <v>45475</v>
      </c>
      <c r="B360" s="2">
        <v>141</v>
      </c>
      <c r="C360" s="2">
        <v>173</v>
      </c>
      <c r="D360" s="2">
        <v>129</v>
      </c>
      <c r="E360">
        <v>6617</v>
      </c>
      <c r="F360">
        <v>123</v>
      </c>
      <c r="G360" s="2">
        <f t="shared" si="65"/>
        <v>6790</v>
      </c>
      <c r="H360">
        <f t="shared" si="66"/>
        <v>6494</v>
      </c>
      <c r="I360" s="13">
        <f t="shared" si="67"/>
        <v>-1.6630736064059133E-2</v>
      </c>
      <c r="J360" t="str">
        <f t="shared" si="68"/>
        <v>No Backlog</v>
      </c>
      <c r="K360" s="13">
        <f t="shared" si="69"/>
        <v>0.95640648011782037</v>
      </c>
      <c r="L360" s="13">
        <f t="shared" si="70"/>
        <v>6.6948453608247425</v>
      </c>
      <c r="M360" s="13">
        <f t="shared" si="71"/>
        <v>28.692194403534611</v>
      </c>
      <c r="N360" t="b">
        <f t="shared" si="72"/>
        <v>1</v>
      </c>
      <c r="O360">
        <f t="shared" si="73"/>
        <v>27</v>
      </c>
      <c r="P360" s="13">
        <f t="shared" si="74"/>
        <v>0.94628263920054101</v>
      </c>
      <c r="Q360" s="13">
        <f t="shared" si="75"/>
        <v>0.94473664217394759</v>
      </c>
      <c r="R360" s="15" t="b">
        <f t="shared" si="76"/>
        <v>0</v>
      </c>
      <c r="S360" s="13">
        <f t="shared" si="77"/>
        <v>1.8114874815905745E-2</v>
      </c>
    </row>
    <row r="361" spans="1:19" x14ac:dyDescent="0.3">
      <c r="A361" s="4">
        <v>45477</v>
      </c>
      <c r="B361" s="2">
        <v>96</v>
      </c>
      <c r="C361" s="2">
        <v>160</v>
      </c>
      <c r="D361" s="2">
        <v>233</v>
      </c>
      <c r="E361">
        <v>6599</v>
      </c>
      <c r="F361">
        <v>213</v>
      </c>
      <c r="G361" s="2">
        <f t="shared" si="65"/>
        <v>6759</v>
      </c>
      <c r="H361">
        <f t="shared" si="66"/>
        <v>6386</v>
      </c>
      <c r="I361" s="13">
        <f t="shared" si="67"/>
        <v>2.8030065768869402E-2</v>
      </c>
      <c r="J361" t="str">
        <f t="shared" si="68"/>
        <v>Backlog</v>
      </c>
      <c r="K361" s="13">
        <f t="shared" si="69"/>
        <v>0.94481432164521384</v>
      </c>
      <c r="L361" s="13">
        <f t="shared" si="70"/>
        <v>6.6137002515164971</v>
      </c>
      <c r="M361" s="13">
        <f t="shared" si="71"/>
        <v>28.344429649356414</v>
      </c>
      <c r="N361" t="b">
        <f t="shared" si="72"/>
        <v>0</v>
      </c>
      <c r="O361">
        <f t="shared" si="73"/>
        <v>27</v>
      </c>
      <c r="P361" s="13">
        <f t="shared" si="74"/>
        <v>0.94428507632307346</v>
      </c>
      <c r="Q361" s="13">
        <f t="shared" si="75"/>
        <v>0.93895161545138783</v>
      </c>
      <c r="R361" s="15" t="str">
        <f t="shared" si="76"/>
        <v>STRAIN</v>
      </c>
      <c r="S361" s="13">
        <f t="shared" si="77"/>
        <v>3.151353750554816E-2</v>
      </c>
    </row>
    <row r="362" spans="1:19" x14ac:dyDescent="0.3">
      <c r="A362" s="4">
        <v>45480</v>
      </c>
      <c r="B362" s="2">
        <v>158</v>
      </c>
      <c r="C362" s="2">
        <v>226</v>
      </c>
      <c r="D362" s="2">
        <v>191</v>
      </c>
      <c r="E362">
        <v>6790</v>
      </c>
      <c r="F362">
        <v>225</v>
      </c>
      <c r="G362" s="2">
        <f t="shared" si="65"/>
        <v>7016</v>
      </c>
      <c r="H362">
        <f t="shared" si="66"/>
        <v>6565</v>
      </c>
      <c r="I362" s="13">
        <f t="shared" si="67"/>
        <v>1.1271896420411272E-2</v>
      </c>
      <c r="J362" t="str">
        <f t="shared" si="68"/>
        <v>Backlog</v>
      </c>
      <c r="K362" s="13">
        <f t="shared" si="69"/>
        <v>0.93571835803876857</v>
      </c>
      <c r="L362" s="13">
        <f t="shared" si="70"/>
        <v>6.5500285062713797</v>
      </c>
      <c r="M362" s="13">
        <f t="shared" si="71"/>
        <v>28.071550741163058</v>
      </c>
      <c r="N362" t="b">
        <f t="shared" si="72"/>
        <v>1</v>
      </c>
      <c r="O362">
        <f t="shared" si="73"/>
        <v>28</v>
      </c>
      <c r="P362" s="13">
        <f t="shared" si="74"/>
        <v>0.9368674434821942</v>
      </c>
      <c r="Q362" s="13">
        <f t="shared" si="75"/>
        <v>0.93285655710013937</v>
      </c>
      <c r="R362" s="15" t="str">
        <f t="shared" si="76"/>
        <v>STRAIN</v>
      </c>
      <c r="S362" s="13">
        <f t="shared" si="77"/>
        <v>3.2069555302166479E-2</v>
      </c>
    </row>
    <row r="363" spans="1:19" x14ac:dyDescent="0.3">
      <c r="A363" s="4">
        <v>45481</v>
      </c>
      <c r="B363" s="2">
        <v>141</v>
      </c>
      <c r="C363" s="2">
        <v>232</v>
      </c>
      <c r="D363" s="2">
        <v>188</v>
      </c>
      <c r="E363">
        <v>6823</v>
      </c>
      <c r="F363">
        <v>184</v>
      </c>
      <c r="G363" s="2">
        <f t="shared" si="65"/>
        <v>7055</v>
      </c>
      <c r="H363">
        <f t="shared" si="66"/>
        <v>6639</v>
      </c>
      <c r="I363" s="13">
        <f t="shared" si="67"/>
        <v>-6.4768790480494052E-3</v>
      </c>
      <c r="J363" t="str">
        <f t="shared" si="68"/>
        <v>No Backlog</v>
      </c>
      <c r="K363" s="13">
        <f t="shared" si="69"/>
        <v>0.9410347271438696</v>
      </c>
      <c r="L363" s="13">
        <f t="shared" si="70"/>
        <v>6.5872430900070871</v>
      </c>
      <c r="M363" s="13">
        <f t="shared" si="71"/>
        <v>28.231041814316089</v>
      </c>
      <c r="N363" t="b">
        <f t="shared" si="72"/>
        <v>1</v>
      </c>
      <c r="O363">
        <f t="shared" si="73"/>
        <v>28</v>
      </c>
      <c r="P363" s="13">
        <f t="shared" si="74"/>
        <v>0.94509249170789378</v>
      </c>
      <c r="Q363" s="13">
        <f t="shared" si="75"/>
        <v>0.93056721925285846</v>
      </c>
      <c r="R363" s="15" t="b">
        <f t="shared" si="76"/>
        <v>0</v>
      </c>
      <c r="S363" s="13">
        <f t="shared" si="77"/>
        <v>2.6080793763288448E-2</v>
      </c>
    </row>
    <row r="364" spans="1:19" x14ac:dyDescent="0.3">
      <c r="A364" s="4">
        <v>45482</v>
      </c>
      <c r="B364" s="2">
        <v>123</v>
      </c>
      <c r="C364" s="2">
        <v>233</v>
      </c>
      <c r="D364" s="2">
        <v>159</v>
      </c>
      <c r="E364">
        <v>6825</v>
      </c>
      <c r="F364">
        <v>229</v>
      </c>
      <c r="G364" s="2">
        <f t="shared" si="65"/>
        <v>7058</v>
      </c>
      <c r="H364">
        <f t="shared" si="66"/>
        <v>6596</v>
      </c>
      <c r="I364" s="13">
        <f t="shared" si="67"/>
        <v>7.5803517283201942E-4</v>
      </c>
      <c r="J364" t="str">
        <f t="shared" si="68"/>
        <v>Backlog</v>
      </c>
      <c r="K364" s="13">
        <f t="shared" si="69"/>
        <v>0.93454236327571549</v>
      </c>
      <c r="L364" s="13">
        <f t="shared" si="70"/>
        <v>6.5417965429300082</v>
      </c>
      <c r="M364" s="13">
        <f t="shared" si="71"/>
        <v>28.036270898271464</v>
      </c>
      <c r="N364" t="b">
        <f t="shared" si="72"/>
        <v>1</v>
      </c>
      <c r="O364">
        <f t="shared" si="73"/>
        <v>28</v>
      </c>
      <c r="P364" s="13">
        <f t="shared" si="74"/>
        <v>0.93241702054607289</v>
      </c>
      <c r="Q364" s="13">
        <f t="shared" si="75"/>
        <v>0.93205362389892699</v>
      </c>
      <c r="R364" s="15" t="str">
        <f t="shared" si="76"/>
        <v>STRAIN</v>
      </c>
      <c r="S364" s="13">
        <f t="shared" si="77"/>
        <v>3.2445451969396431E-2</v>
      </c>
    </row>
    <row r="365" spans="1:19" x14ac:dyDescent="0.3">
      <c r="A365" s="4">
        <v>45483</v>
      </c>
      <c r="B365" s="2">
        <v>123</v>
      </c>
      <c r="C365" s="2">
        <v>230</v>
      </c>
      <c r="D365" s="2">
        <v>167</v>
      </c>
      <c r="E365">
        <v>6874</v>
      </c>
      <c r="F365">
        <v>273</v>
      </c>
      <c r="G365" s="2">
        <f t="shared" si="65"/>
        <v>7104</v>
      </c>
      <c r="H365">
        <f t="shared" si="66"/>
        <v>6601</v>
      </c>
      <c r="I365" s="13">
        <f t="shared" si="67"/>
        <v>5.7415543099530376E-2</v>
      </c>
      <c r="J365" t="str">
        <f t="shared" si="68"/>
        <v>Backlog</v>
      </c>
      <c r="K365" s="13">
        <f t="shared" si="69"/>
        <v>0.92919481981981977</v>
      </c>
      <c r="L365" s="13">
        <f t="shared" si="70"/>
        <v>6.5043637387387383</v>
      </c>
      <c r="M365" s="13">
        <f t="shared" si="71"/>
        <v>27.875844594594593</v>
      </c>
      <c r="N365" t="b">
        <f t="shared" si="72"/>
        <v>1</v>
      </c>
      <c r="O365">
        <f t="shared" si="73"/>
        <v>28</v>
      </c>
      <c r="P365" s="13">
        <f t="shared" si="74"/>
        <v>0.93320902751866219</v>
      </c>
      <c r="Q365" s="13">
        <f t="shared" si="75"/>
        <v>0.93401128244638287</v>
      </c>
      <c r="R365" s="15" t="str">
        <f t="shared" si="76"/>
        <v>STRAIN</v>
      </c>
      <c r="S365" s="13">
        <f t="shared" si="77"/>
        <v>3.8429054054054057E-2</v>
      </c>
    </row>
    <row r="366" spans="1:19" x14ac:dyDescent="0.3">
      <c r="A366" s="4">
        <v>45484</v>
      </c>
      <c r="B366" s="2">
        <v>174</v>
      </c>
      <c r="C366" s="2">
        <v>208</v>
      </c>
      <c r="D366" s="2">
        <v>256</v>
      </c>
      <c r="E366">
        <v>7248</v>
      </c>
      <c r="F366">
        <v>268</v>
      </c>
      <c r="G366" s="2">
        <f t="shared" si="65"/>
        <v>7456</v>
      </c>
      <c r="H366">
        <f t="shared" si="66"/>
        <v>6980</v>
      </c>
      <c r="I366" s="13">
        <f t="shared" si="67"/>
        <v>1.4469914040114613E-2</v>
      </c>
      <c r="J366" t="str">
        <f t="shared" si="68"/>
        <v>Backlog</v>
      </c>
      <c r="K366" s="13">
        <f t="shared" si="69"/>
        <v>0.93615879828326176</v>
      </c>
      <c r="L366" s="13">
        <f t="shared" si="70"/>
        <v>6.5531115879828326</v>
      </c>
      <c r="M366" s="13">
        <f t="shared" si="71"/>
        <v>28.084763948497852</v>
      </c>
      <c r="N366" t="b">
        <f t="shared" si="72"/>
        <v>0</v>
      </c>
      <c r="O366">
        <f t="shared" si="73"/>
        <v>28</v>
      </c>
      <c r="P366" s="13">
        <f t="shared" si="74"/>
        <v>0.93461280125666835</v>
      </c>
      <c r="Q366" s="13">
        <f t="shared" si="75"/>
        <v>0.93570208875284822</v>
      </c>
      <c r="R366" s="15" t="str">
        <f t="shared" si="76"/>
        <v>STRAIN</v>
      </c>
      <c r="S366" s="13">
        <f t="shared" si="77"/>
        <v>3.5944206008583689E-2</v>
      </c>
    </row>
    <row r="367" spans="1:19" x14ac:dyDescent="0.3">
      <c r="A367" s="4">
        <v>45487</v>
      </c>
      <c r="B367" s="2">
        <v>132</v>
      </c>
      <c r="C367" s="2">
        <v>235</v>
      </c>
      <c r="D367" s="2">
        <v>197</v>
      </c>
      <c r="E367">
        <v>7268</v>
      </c>
      <c r="F367">
        <v>187</v>
      </c>
      <c r="G367" s="2">
        <f t="shared" si="65"/>
        <v>7503</v>
      </c>
      <c r="H367">
        <f t="shared" si="66"/>
        <v>7081</v>
      </c>
      <c r="I367" s="13">
        <f t="shared" si="67"/>
        <v>-6.2138116085298685E-3</v>
      </c>
      <c r="J367" t="str">
        <f t="shared" si="68"/>
        <v>No Backlog</v>
      </c>
      <c r="K367" s="13">
        <f t="shared" si="69"/>
        <v>0.94375583100093297</v>
      </c>
      <c r="L367" s="13">
        <f t="shared" si="70"/>
        <v>6.6062908170065304</v>
      </c>
      <c r="M367" s="13">
        <f t="shared" si="71"/>
        <v>28.312674930027988</v>
      </c>
      <c r="N367" t="b">
        <f t="shared" si="72"/>
        <v>1</v>
      </c>
      <c r="O367">
        <f t="shared" si="73"/>
        <v>29</v>
      </c>
      <c r="P367" s="13">
        <f t="shared" si="74"/>
        <v>0.93842237012924734</v>
      </c>
      <c r="Q367" s="13">
        <f t="shared" si="75"/>
        <v>0.93675634081887638</v>
      </c>
      <c r="R367" s="15" t="b">
        <f t="shared" si="76"/>
        <v>0</v>
      </c>
      <c r="S367" s="13">
        <f t="shared" si="77"/>
        <v>2.4923363987738239E-2</v>
      </c>
    </row>
    <row r="368" spans="1:19" x14ac:dyDescent="0.3">
      <c r="A368" s="4">
        <v>45488</v>
      </c>
      <c r="B368" s="2">
        <v>172</v>
      </c>
      <c r="C368" s="2">
        <v>263</v>
      </c>
      <c r="D368" s="2">
        <v>191</v>
      </c>
      <c r="E368">
        <v>7239</v>
      </c>
      <c r="F368">
        <v>202</v>
      </c>
      <c r="G368" s="2">
        <f t="shared" si="65"/>
        <v>7502</v>
      </c>
      <c r="H368">
        <f t="shared" si="66"/>
        <v>7037</v>
      </c>
      <c r="I368" s="13">
        <f t="shared" si="67"/>
        <v>0</v>
      </c>
      <c r="J368" t="str">
        <f t="shared" si="68"/>
        <v>No Backlog</v>
      </c>
      <c r="K368" s="13">
        <f t="shared" si="69"/>
        <v>0.93801652892561982</v>
      </c>
      <c r="L368" s="13">
        <f t="shared" si="70"/>
        <v>6.5661157024793386</v>
      </c>
      <c r="M368" s="13">
        <f t="shared" si="71"/>
        <v>28.140495867768596</v>
      </c>
      <c r="N368" t="b">
        <f t="shared" si="72"/>
        <v>1</v>
      </c>
      <c r="O368">
        <f t="shared" si="73"/>
        <v>29</v>
      </c>
      <c r="P368" s="13">
        <f t="shared" si="74"/>
        <v>0.934005642543565</v>
      </c>
      <c r="Q368" s="13">
        <f t="shared" si="75"/>
        <v>0.93018397505712513</v>
      </c>
      <c r="R368" s="15" t="b">
        <f t="shared" si="76"/>
        <v>0</v>
      </c>
      <c r="S368" s="13">
        <f t="shared" si="77"/>
        <v>2.692615302585977E-2</v>
      </c>
    </row>
    <row r="369" spans="1:19" x14ac:dyDescent="0.3">
      <c r="A369" s="4">
        <v>45489</v>
      </c>
      <c r="B369" s="2">
        <v>116</v>
      </c>
      <c r="C369" s="2">
        <v>175</v>
      </c>
      <c r="D369" s="2">
        <v>172</v>
      </c>
      <c r="E369">
        <v>7239</v>
      </c>
      <c r="F369">
        <v>202</v>
      </c>
      <c r="G369" s="2">
        <f t="shared" si="65"/>
        <v>7414</v>
      </c>
      <c r="H369">
        <f t="shared" si="66"/>
        <v>7037</v>
      </c>
      <c r="I369" s="13">
        <f t="shared" si="67"/>
        <v>-1.1936904931078584E-2</v>
      </c>
      <c r="J369" t="str">
        <f t="shared" si="68"/>
        <v>No Backlog</v>
      </c>
      <c r="K369" s="13">
        <f t="shared" si="69"/>
        <v>0.94915025627191796</v>
      </c>
      <c r="L369" s="13">
        <f t="shared" si="70"/>
        <v>6.6440517939034258</v>
      </c>
      <c r="M369" s="13">
        <f t="shared" si="71"/>
        <v>28.474507688157537</v>
      </c>
      <c r="N369" t="b">
        <f t="shared" si="72"/>
        <v>1</v>
      </c>
      <c r="O369">
        <f t="shared" si="73"/>
        <v>29</v>
      </c>
      <c r="P369" s="13">
        <f t="shared" si="74"/>
        <v>0.93462498381688264</v>
      </c>
      <c r="Q369" s="13">
        <f t="shared" si="75"/>
        <v>0.93961789496377601</v>
      </c>
      <c r="R369" s="15" t="b">
        <f t="shared" si="76"/>
        <v>0</v>
      </c>
      <c r="S369" s="13">
        <f t="shared" si="77"/>
        <v>2.724575128135959E-2</v>
      </c>
    </row>
    <row r="370" spans="1:19" x14ac:dyDescent="0.3">
      <c r="A370" s="4">
        <v>45490</v>
      </c>
      <c r="B370" s="2">
        <v>102</v>
      </c>
      <c r="C370" s="2">
        <v>227</v>
      </c>
      <c r="D370" s="2">
        <v>201</v>
      </c>
      <c r="E370">
        <v>7247</v>
      </c>
      <c r="F370">
        <v>294</v>
      </c>
      <c r="G370" s="2">
        <f t="shared" si="65"/>
        <v>7474</v>
      </c>
      <c r="H370">
        <f t="shared" si="66"/>
        <v>6953</v>
      </c>
      <c r="I370" s="13">
        <f t="shared" si="67"/>
        <v>3.4948942902344314E-2</v>
      </c>
      <c r="J370" t="str">
        <f t="shared" si="68"/>
        <v>Backlog</v>
      </c>
      <c r="K370" s="13">
        <f t="shared" si="69"/>
        <v>0.9302916778164303</v>
      </c>
      <c r="L370" s="13">
        <f t="shared" si="70"/>
        <v>6.5120417447150123</v>
      </c>
      <c r="M370" s="13">
        <f t="shared" si="71"/>
        <v>27.908750334492908</v>
      </c>
      <c r="N370" t="b">
        <f t="shared" si="72"/>
        <v>1</v>
      </c>
      <c r="O370">
        <f t="shared" si="73"/>
        <v>29</v>
      </c>
      <c r="P370" s="13">
        <f t="shared" si="74"/>
        <v>0.92992828116928439</v>
      </c>
      <c r="Q370" s="13">
        <f t="shared" si="75"/>
        <v>0.93136037350254064</v>
      </c>
      <c r="R370" s="15" t="str">
        <f t="shared" si="76"/>
        <v>STRAIN</v>
      </c>
      <c r="S370" s="13">
        <f t="shared" si="77"/>
        <v>3.9336366069039334E-2</v>
      </c>
    </row>
    <row r="371" spans="1:19" x14ac:dyDescent="0.3">
      <c r="A371" s="4">
        <v>45494</v>
      </c>
      <c r="B371" s="2">
        <v>145</v>
      </c>
      <c r="C371" s="2">
        <v>247</v>
      </c>
      <c r="D371" s="2">
        <v>243</v>
      </c>
      <c r="E371">
        <v>7431</v>
      </c>
      <c r="F371">
        <v>235</v>
      </c>
      <c r="G371" s="2">
        <f t="shared" si="65"/>
        <v>7678</v>
      </c>
      <c r="H371">
        <f t="shared" si="66"/>
        <v>7196</v>
      </c>
      <c r="I371" s="13">
        <f t="shared" si="67"/>
        <v>5.4196775986659253E-3</v>
      </c>
      <c r="J371" t="str">
        <f t="shared" si="68"/>
        <v>Backlog</v>
      </c>
      <c r="K371" s="13">
        <f t="shared" si="69"/>
        <v>0.93722323521750461</v>
      </c>
      <c r="L371" s="13">
        <f t="shared" si="70"/>
        <v>6.5605626465225324</v>
      </c>
      <c r="M371" s="13">
        <f t="shared" si="71"/>
        <v>28.116697056525137</v>
      </c>
      <c r="N371" t="b">
        <f t="shared" si="72"/>
        <v>1</v>
      </c>
      <c r="O371">
        <f t="shared" si="73"/>
        <v>30</v>
      </c>
      <c r="P371" s="13">
        <f t="shared" si="74"/>
        <v>0.93802549014522529</v>
      </c>
      <c r="Q371" s="13">
        <f t="shared" si="75"/>
        <v>0.93332566886490675</v>
      </c>
      <c r="R371" s="15" t="str">
        <f t="shared" si="76"/>
        <v>STRAIN</v>
      </c>
      <c r="S371" s="13">
        <f t="shared" si="77"/>
        <v>3.0606928887731179E-2</v>
      </c>
    </row>
    <row r="372" spans="1:19" x14ac:dyDescent="0.3">
      <c r="A372" s="4">
        <v>45495</v>
      </c>
      <c r="B372" s="2">
        <v>204</v>
      </c>
      <c r="C372" s="2">
        <v>321</v>
      </c>
      <c r="D372" s="2">
        <v>246</v>
      </c>
      <c r="E372">
        <v>7433</v>
      </c>
      <c r="F372">
        <v>198</v>
      </c>
      <c r="G372" s="2">
        <f t="shared" si="65"/>
        <v>7754</v>
      </c>
      <c r="H372">
        <f t="shared" si="66"/>
        <v>7235</v>
      </c>
      <c r="I372" s="13">
        <f t="shared" si="67"/>
        <v>-1.5065653075328266E-2</v>
      </c>
      <c r="J372" t="str">
        <f t="shared" si="68"/>
        <v>No Backlog</v>
      </c>
      <c r="K372" s="13">
        <f t="shared" si="69"/>
        <v>0.93306680423007482</v>
      </c>
      <c r="L372" s="13">
        <f t="shared" si="70"/>
        <v>6.5314676296105239</v>
      </c>
      <c r="M372" s="13">
        <f t="shared" si="71"/>
        <v>27.992004126902245</v>
      </c>
      <c r="N372" t="b">
        <f t="shared" si="72"/>
        <v>1</v>
      </c>
      <c r="O372">
        <f t="shared" si="73"/>
        <v>30</v>
      </c>
      <c r="P372" s="13">
        <f t="shared" si="74"/>
        <v>0.9341560917262548</v>
      </c>
      <c r="Q372" s="13">
        <f t="shared" si="75"/>
        <v>0.93668646333952721</v>
      </c>
      <c r="R372" s="15" t="b">
        <f t="shared" si="76"/>
        <v>0</v>
      </c>
      <c r="S372" s="13">
        <f t="shared" si="77"/>
        <v>2.5535207634769151E-2</v>
      </c>
    </row>
    <row r="373" spans="1:19" x14ac:dyDescent="0.3">
      <c r="A373" s="4">
        <v>45496</v>
      </c>
      <c r="B373" s="2">
        <v>160</v>
      </c>
      <c r="C373" s="2">
        <v>297</v>
      </c>
      <c r="D373" s="2">
        <v>253</v>
      </c>
      <c r="E373">
        <v>7340</v>
      </c>
      <c r="F373">
        <v>214</v>
      </c>
      <c r="G373" s="2">
        <f t="shared" si="65"/>
        <v>7637</v>
      </c>
      <c r="H373">
        <f t="shared" si="66"/>
        <v>7126</v>
      </c>
      <c r="I373" s="13">
        <f t="shared" si="67"/>
        <v>-4.4905978108335676E-3</v>
      </c>
      <c r="J373" t="str">
        <f t="shared" si="68"/>
        <v>No Backlog</v>
      </c>
      <c r="K373" s="13">
        <f t="shared" si="69"/>
        <v>0.93308890925756183</v>
      </c>
      <c r="L373" s="13">
        <f t="shared" si="70"/>
        <v>6.5316223648029332</v>
      </c>
      <c r="M373" s="13">
        <f t="shared" si="71"/>
        <v>27.992667277726856</v>
      </c>
      <c r="N373" t="b">
        <f t="shared" si="72"/>
        <v>1</v>
      </c>
      <c r="O373">
        <f t="shared" si="73"/>
        <v>30</v>
      </c>
      <c r="P373" s="13">
        <f t="shared" si="74"/>
        <v>0.93142287994719086</v>
      </c>
      <c r="Q373" s="13">
        <f t="shared" si="75"/>
        <v>0.92616862933675448</v>
      </c>
      <c r="R373" s="15" t="b">
        <f t="shared" si="76"/>
        <v>0</v>
      </c>
      <c r="S373" s="13">
        <f t="shared" si="77"/>
        <v>2.802147440094278E-2</v>
      </c>
    </row>
    <row r="374" spans="1:19" x14ac:dyDescent="0.3">
      <c r="A374" s="4">
        <v>45497</v>
      </c>
      <c r="B374" s="2">
        <v>159</v>
      </c>
      <c r="C374" s="2">
        <v>310</v>
      </c>
      <c r="D374" s="2">
        <v>272</v>
      </c>
      <c r="E374">
        <v>7318</v>
      </c>
      <c r="F374">
        <v>224</v>
      </c>
      <c r="G374" s="2">
        <f t="shared" si="65"/>
        <v>7628</v>
      </c>
      <c r="H374">
        <f t="shared" si="66"/>
        <v>7094</v>
      </c>
      <c r="I374" s="13">
        <f t="shared" si="67"/>
        <v>-1.1418099802650126E-2</v>
      </c>
      <c r="J374" t="str">
        <f t="shared" si="68"/>
        <v>No Backlog</v>
      </c>
      <c r="K374" s="13">
        <f t="shared" si="69"/>
        <v>0.92999475616151017</v>
      </c>
      <c r="L374" s="13">
        <f t="shared" si="70"/>
        <v>6.5099632931305713</v>
      </c>
      <c r="M374" s="13">
        <f t="shared" si="71"/>
        <v>27.899842684845304</v>
      </c>
      <c r="N374" t="b">
        <f t="shared" si="72"/>
        <v>1</v>
      </c>
      <c r="O374">
        <f t="shared" si="73"/>
        <v>30</v>
      </c>
      <c r="P374" s="13">
        <f t="shared" si="74"/>
        <v>0.92617308867507031</v>
      </c>
      <c r="Q374" s="13">
        <f t="shared" si="75"/>
        <v>0.92760247282288089</v>
      </c>
      <c r="R374" s="15" t="b">
        <f t="shared" si="76"/>
        <v>0</v>
      </c>
      <c r="S374" s="13">
        <f t="shared" si="77"/>
        <v>2.9365495542737284E-2</v>
      </c>
    </row>
    <row r="375" spans="1:19" x14ac:dyDescent="0.3">
      <c r="A375" s="4">
        <v>45498</v>
      </c>
      <c r="B375" s="2">
        <v>204</v>
      </c>
      <c r="C375" s="2">
        <v>315</v>
      </c>
      <c r="D375" s="2">
        <v>233</v>
      </c>
      <c r="E375">
        <v>7307</v>
      </c>
      <c r="F375">
        <v>294</v>
      </c>
      <c r="G375" s="2">
        <f t="shared" si="65"/>
        <v>7622</v>
      </c>
      <c r="H375">
        <f t="shared" si="66"/>
        <v>7013</v>
      </c>
      <c r="I375" s="13">
        <f t="shared" si="67"/>
        <v>3.8785113360901187E-2</v>
      </c>
      <c r="J375" t="str">
        <f t="shared" si="68"/>
        <v>Backlog</v>
      </c>
      <c r="K375" s="13">
        <f t="shared" si="69"/>
        <v>0.92009971136184732</v>
      </c>
      <c r="L375" s="13">
        <f t="shared" si="70"/>
        <v>6.4406979795329313</v>
      </c>
      <c r="M375" s="13">
        <f t="shared" si="71"/>
        <v>27.602991340855418</v>
      </c>
      <c r="N375" t="b">
        <f t="shared" si="72"/>
        <v>1</v>
      </c>
      <c r="O375">
        <f t="shared" si="73"/>
        <v>30</v>
      </c>
      <c r="P375" s="13">
        <f t="shared" si="74"/>
        <v>0.92509262250874069</v>
      </c>
      <c r="Q375" s="13">
        <f t="shared" si="75"/>
        <v>0.92213963312339819</v>
      </c>
      <c r="R375" s="15" t="str">
        <f t="shared" si="76"/>
        <v>STRAIN</v>
      </c>
      <c r="S375" s="13">
        <f t="shared" si="77"/>
        <v>3.857255313565993E-2</v>
      </c>
    </row>
    <row r="376" spans="1:19" x14ac:dyDescent="0.3">
      <c r="A376" s="4">
        <v>45501</v>
      </c>
      <c r="B376" s="2">
        <v>167</v>
      </c>
      <c r="C376" s="2">
        <v>293</v>
      </c>
      <c r="D376" s="2">
        <v>230</v>
      </c>
      <c r="E376">
        <v>7544</v>
      </c>
      <c r="F376">
        <v>259</v>
      </c>
      <c r="G376" s="2">
        <f t="shared" si="65"/>
        <v>7837</v>
      </c>
      <c r="H376">
        <f t="shared" si="66"/>
        <v>7285</v>
      </c>
      <c r="I376" s="13">
        <f t="shared" si="67"/>
        <v>7.0006863417982155E-3</v>
      </c>
      <c r="J376" t="str">
        <f t="shared" si="68"/>
        <v>Backlog</v>
      </c>
      <c r="K376" s="13">
        <f t="shared" si="69"/>
        <v>0.92956488452213859</v>
      </c>
      <c r="L376" s="13">
        <f t="shared" si="70"/>
        <v>6.5069541916549705</v>
      </c>
      <c r="M376" s="13">
        <f t="shared" si="71"/>
        <v>27.886946535664158</v>
      </c>
      <c r="N376" t="b">
        <f t="shared" si="72"/>
        <v>1</v>
      </c>
      <c r="O376">
        <f t="shared" si="73"/>
        <v>31</v>
      </c>
      <c r="P376" s="13">
        <f t="shared" si="74"/>
        <v>0.93099697685539484</v>
      </c>
      <c r="Q376" s="13">
        <f t="shared" si="75"/>
        <v>0.93265522104036358</v>
      </c>
      <c r="R376" s="15" t="str">
        <f t="shared" si="76"/>
        <v>STRAIN</v>
      </c>
      <c r="S376" s="13">
        <f t="shared" si="77"/>
        <v>3.3048360341967592E-2</v>
      </c>
    </row>
    <row r="377" spans="1:19" x14ac:dyDescent="0.3">
      <c r="A377" s="4">
        <v>45502</v>
      </c>
      <c r="B377" s="2">
        <v>152</v>
      </c>
      <c r="C377" s="2">
        <v>266</v>
      </c>
      <c r="D377" s="2">
        <v>274</v>
      </c>
      <c r="E377">
        <v>7548</v>
      </c>
      <c r="F377">
        <v>212</v>
      </c>
      <c r="G377" s="2">
        <f t="shared" si="65"/>
        <v>7814</v>
      </c>
      <c r="H377">
        <f t="shared" si="66"/>
        <v>7336</v>
      </c>
      <c r="I377" s="13">
        <f t="shared" si="67"/>
        <v>1.3631406761177754E-4</v>
      </c>
      <c r="J377" t="str">
        <f t="shared" si="68"/>
        <v>Backlog</v>
      </c>
      <c r="K377" s="13">
        <f t="shared" si="69"/>
        <v>0.93882774507294597</v>
      </c>
      <c r="L377" s="13">
        <f t="shared" si="70"/>
        <v>6.5717942155106215</v>
      </c>
      <c r="M377" s="13">
        <f t="shared" si="71"/>
        <v>28.16483235218838</v>
      </c>
      <c r="N377" t="b">
        <f t="shared" si="72"/>
        <v>0</v>
      </c>
      <c r="O377">
        <f t="shared" si="73"/>
        <v>31</v>
      </c>
      <c r="P377" s="13">
        <f t="shared" si="74"/>
        <v>0.93412792379262743</v>
      </c>
      <c r="Q377" s="13">
        <f t="shared" si="75"/>
        <v>0.93627079301902583</v>
      </c>
      <c r="R377" s="15" t="str">
        <f t="shared" si="76"/>
        <v>STRAIN</v>
      </c>
      <c r="S377" s="13">
        <f t="shared" si="77"/>
        <v>2.7130790888149476E-2</v>
      </c>
    </row>
    <row r="378" spans="1:19" x14ac:dyDescent="0.3">
      <c r="A378" s="4">
        <v>45503</v>
      </c>
      <c r="B378" s="2">
        <v>186</v>
      </c>
      <c r="C378" s="2">
        <v>352</v>
      </c>
      <c r="D378" s="2">
        <v>224</v>
      </c>
      <c r="E378">
        <v>7493</v>
      </c>
      <c r="F378">
        <v>156</v>
      </c>
      <c r="G378" s="2">
        <f t="shared" si="65"/>
        <v>7845</v>
      </c>
      <c r="H378">
        <f t="shared" si="66"/>
        <v>7337</v>
      </c>
      <c r="I378" s="13">
        <f t="shared" si="67"/>
        <v>-1.4992503748125937E-2</v>
      </c>
      <c r="J378" t="str">
        <f t="shared" si="68"/>
        <v>No Backlog</v>
      </c>
      <c r="K378" s="13">
        <f t="shared" si="69"/>
        <v>0.93524537922243467</v>
      </c>
      <c r="L378" s="13">
        <f t="shared" si="70"/>
        <v>6.5467176545570425</v>
      </c>
      <c r="M378" s="13">
        <f t="shared" si="71"/>
        <v>28.05736137667304</v>
      </c>
      <c r="N378" t="b">
        <f t="shared" si="72"/>
        <v>1</v>
      </c>
      <c r="O378">
        <f t="shared" si="73"/>
        <v>31</v>
      </c>
      <c r="P378" s="13">
        <f t="shared" si="74"/>
        <v>0.93777575083570719</v>
      </c>
      <c r="Q378" s="13">
        <f t="shared" si="75"/>
        <v>0.93549546839051168</v>
      </c>
      <c r="R378" s="15" t="b">
        <f t="shared" si="76"/>
        <v>0</v>
      </c>
      <c r="S378" s="13">
        <f t="shared" si="77"/>
        <v>1.9885277246653919E-2</v>
      </c>
    </row>
    <row r="379" spans="1:19" x14ac:dyDescent="0.3">
      <c r="A379" s="4">
        <v>45504</v>
      </c>
      <c r="B379" s="2">
        <v>184</v>
      </c>
      <c r="C379" s="2">
        <v>334</v>
      </c>
      <c r="D379" s="2">
        <v>229</v>
      </c>
      <c r="E379">
        <v>7439</v>
      </c>
      <c r="F379">
        <v>212</v>
      </c>
      <c r="G379" s="2">
        <f t="shared" si="65"/>
        <v>7773</v>
      </c>
      <c r="H379">
        <f t="shared" si="66"/>
        <v>7227</v>
      </c>
      <c r="I379" s="13">
        <f t="shared" si="67"/>
        <v>-1.2176560121765601E-2</v>
      </c>
      <c r="J379" t="str">
        <f t="shared" si="68"/>
        <v>No Backlog</v>
      </c>
      <c r="K379" s="13">
        <f t="shared" si="69"/>
        <v>0.92975685063681979</v>
      </c>
      <c r="L379" s="13">
        <f t="shared" si="70"/>
        <v>6.5082979544577384</v>
      </c>
      <c r="M379" s="13">
        <f t="shared" si="71"/>
        <v>27.892705519104595</v>
      </c>
      <c r="N379" t="b">
        <f t="shared" si="72"/>
        <v>1</v>
      </c>
      <c r="O379">
        <f t="shared" si="73"/>
        <v>31</v>
      </c>
      <c r="P379" s="13">
        <f t="shared" si="74"/>
        <v>0.9245026000263834</v>
      </c>
      <c r="Q379" s="13">
        <f t="shared" si="75"/>
        <v>0.92927827192457113</v>
      </c>
      <c r="R379" s="15" t="b">
        <f t="shared" si="76"/>
        <v>0</v>
      </c>
      <c r="S379" s="13">
        <f t="shared" si="77"/>
        <v>2.7273896822333721E-2</v>
      </c>
    </row>
    <row r="380" spans="1:19" x14ac:dyDescent="0.3">
      <c r="A380" s="4">
        <v>45505</v>
      </c>
      <c r="B380" s="2">
        <v>116</v>
      </c>
      <c r="C380" s="2">
        <v>289</v>
      </c>
      <c r="D380" s="2">
        <v>166</v>
      </c>
      <c r="E380">
        <v>7451</v>
      </c>
      <c r="F380">
        <v>312</v>
      </c>
      <c r="G380" s="2">
        <f t="shared" si="65"/>
        <v>7740</v>
      </c>
      <c r="H380">
        <f t="shared" si="66"/>
        <v>7139</v>
      </c>
      <c r="I380" s="13">
        <f t="shared" si="67"/>
        <v>5.0987533267964701E-2</v>
      </c>
      <c r="J380" t="str">
        <f t="shared" si="68"/>
        <v>Backlog</v>
      </c>
      <c r="K380" s="13">
        <f t="shared" si="69"/>
        <v>0.92235142118863045</v>
      </c>
      <c r="L380" s="13">
        <f t="shared" si="70"/>
        <v>6.456459948320413</v>
      </c>
      <c r="M380" s="13">
        <f t="shared" si="71"/>
        <v>27.670542635658915</v>
      </c>
      <c r="N380" t="b">
        <f t="shared" si="72"/>
        <v>1</v>
      </c>
      <c r="O380">
        <f t="shared" si="73"/>
        <v>31</v>
      </c>
      <c r="P380" s="13">
        <f t="shared" si="74"/>
        <v>0.92378080533644091</v>
      </c>
      <c r="Q380" s="13">
        <f t="shared" si="75"/>
        <v>0.92937746498028018</v>
      </c>
      <c r="R380" s="15" t="str">
        <f t="shared" si="76"/>
        <v>STRAIN</v>
      </c>
      <c r="S380" s="13">
        <f t="shared" si="77"/>
        <v>4.0310077519379844E-2</v>
      </c>
    </row>
    <row r="381" spans="1:19" x14ac:dyDescent="0.3">
      <c r="A381" s="4">
        <v>45508</v>
      </c>
      <c r="B381" s="2">
        <v>179</v>
      </c>
      <c r="C381" s="2">
        <v>326</v>
      </c>
      <c r="D381" s="2">
        <v>282</v>
      </c>
      <c r="E381">
        <v>7741</v>
      </c>
      <c r="F381">
        <v>238</v>
      </c>
      <c r="G381" s="2">
        <f t="shared" si="65"/>
        <v>8067</v>
      </c>
      <c r="H381">
        <f t="shared" si="66"/>
        <v>7503</v>
      </c>
      <c r="I381" s="13">
        <f t="shared" si="67"/>
        <v>-1.3328002132480341E-3</v>
      </c>
      <c r="J381" t="str">
        <f t="shared" si="68"/>
        <v>No Backlog</v>
      </c>
      <c r="K381" s="13">
        <f t="shared" si="69"/>
        <v>0.93008553365563407</v>
      </c>
      <c r="L381" s="13">
        <f t="shared" si="70"/>
        <v>6.5105987355894381</v>
      </c>
      <c r="M381" s="13">
        <f t="shared" si="71"/>
        <v>27.902566009669023</v>
      </c>
      <c r="N381" t="b">
        <f t="shared" si="72"/>
        <v>1</v>
      </c>
      <c r="O381">
        <f t="shared" si="73"/>
        <v>32</v>
      </c>
      <c r="P381" s="13">
        <f t="shared" si="74"/>
        <v>0.92713254427029157</v>
      </c>
      <c r="Q381" s="13">
        <f t="shared" si="75"/>
        <v>0.9349222849001062</v>
      </c>
      <c r="R381" s="15" t="b">
        <f t="shared" si="76"/>
        <v>0</v>
      </c>
      <c r="S381" s="13">
        <f t="shared" si="77"/>
        <v>2.9502913102764348E-2</v>
      </c>
    </row>
    <row r="382" spans="1:19" x14ac:dyDescent="0.3">
      <c r="A382" s="4">
        <v>45509</v>
      </c>
      <c r="B382" s="2">
        <v>173</v>
      </c>
      <c r="C382" s="2">
        <v>345</v>
      </c>
      <c r="D382" s="2">
        <v>291</v>
      </c>
      <c r="E382">
        <v>7691</v>
      </c>
      <c r="F382">
        <v>198</v>
      </c>
      <c r="G382" s="2">
        <f t="shared" si="65"/>
        <v>8036</v>
      </c>
      <c r="H382">
        <f t="shared" si="66"/>
        <v>7493</v>
      </c>
      <c r="I382" s="13">
        <f t="shared" si="67"/>
        <v>-1.7482984118510611E-2</v>
      </c>
      <c r="J382" t="str">
        <f t="shared" si="68"/>
        <v>No Backlog</v>
      </c>
      <c r="K382" s="13">
        <f t="shared" si="69"/>
        <v>0.93242906918865109</v>
      </c>
      <c r="L382" s="13">
        <f t="shared" si="70"/>
        <v>6.5270034843205575</v>
      </c>
      <c r="M382" s="13">
        <f t="shared" si="71"/>
        <v>27.972872075659534</v>
      </c>
      <c r="N382" t="b">
        <f t="shared" si="72"/>
        <v>1</v>
      </c>
      <c r="O382">
        <f t="shared" si="73"/>
        <v>32</v>
      </c>
      <c r="P382" s="13">
        <f t="shared" si="74"/>
        <v>0.93408731337361983</v>
      </c>
      <c r="Q382" s="13">
        <f t="shared" si="75"/>
        <v>0.92746143042493601</v>
      </c>
      <c r="R382" s="15" t="b">
        <f t="shared" si="76"/>
        <v>0</v>
      </c>
      <c r="S382" s="13">
        <f t="shared" si="77"/>
        <v>2.4639123942259832E-2</v>
      </c>
    </row>
    <row r="383" spans="1:19" x14ac:dyDescent="0.3">
      <c r="A383" s="4">
        <v>45510</v>
      </c>
      <c r="B383" s="2">
        <v>260</v>
      </c>
      <c r="C383" s="2">
        <v>356</v>
      </c>
      <c r="D383" s="2">
        <v>176</v>
      </c>
      <c r="E383">
        <v>7565</v>
      </c>
      <c r="F383">
        <v>203</v>
      </c>
      <c r="G383" s="2">
        <f t="shared" si="65"/>
        <v>7921</v>
      </c>
      <c r="H383">
        <f t="shared" si="66"/>
        <v>7362</v>
      </c>
      <c r="I383" s="13">
        <f t="shared" si="67"/>
        <v>1.3583265417006249E-3</v>
      </c>
      <c r="J383" t="str">
        <f t="shared" si="68"/>
        <v>Backlog</v>
      </c>
      <c r="K383" s="13">
        <f t="shared" si="69"/>
        <v>0.92942810251230901</v>
      </c>
      <c r="L383" s="13">
        <f t="shared" si="70"/>
        <v>6.5059967175861626</v>
      </c>
      <c r="M383" s="13">
        <f t="shared" si="71"/>
        <v>27.882843075369269</v>
      </c>
      <c r="N383" t="b">
        <f t="shared" si="72"/>
        <v>1</v>
      </c>
      <c r="O383">
        <f t="shared" si="73"/>
        <v>32</v>
      </c>
      <c r="P383" s="13">
        <f t="shared" si="74"/>
        <v>0.93157097173870729</v>
      </c>
      <c r="Q383" s="13">
        <f t="shared" si="75"/>
        <v>0.92840791589878569</v>
      </c>
      <c r="R383" s="15" t="str">
        <f t="shared" si="76"/>
        <v>STRAIN</v>
      </c>
      <c r="S383" s="13">
        <f t="shared" si="77"/>
        <v>2.5628077262971848E-2</v>
      </c>
    </row>
    <row r="384" spans="1:19" x14ac:dyDescent="0.3">
      <c r="A384" s="4">
        <v>45511</v>
      </c>
      <c r="B384" s="2">
        <v>109</v>
      </c>
      <c r="C384" s="2">
        <v>244</v>
      </c>
      <c r="D384" s="2">
        <v>257</v>
      </c>
      <c r="E384">
        <v>7596</v>
      </c>
      <c r="F384">
        <v>224</v>
      </c>
      <c r="G384" s="2">
        <f t="shared" si="65"/>
        <v>7840</v>
      </c>
      <c r="H384">
        <f t="shared" si="66"/>
        <v>7372</v>
      </c>
      <c r="I384" s="13">
        <f t="shared" si="67"/>
        <v>-1.7905588714053174E-2</v>
      </c>
      <c r="J384" t="str">
        <f t="shared" si="68"/>
        <v>No Backlog</v>
      </c>
      <c r="K384" s="13">
        <f t="shared" si="69"/>
        <v>0.9403061224489796</v>
      </c>
      <c r="L384" s="13">
        <f t="shared" si="70"/>
        <v>6.5821428571428573</v>
      </c>
      <c r="M384" s="13">
        <f t="shared" si="71"/>
        <v>28.209183673469386</v>
      </c>
      <c r="N384" t="b">
        <f t="shared" si="72"/>
        <v>0</v>
      </c>
      <c r="O384">
        <f t="shared" si="73"/>
        <v>32</v>
      </c>
      <c r="P384" s="13">
        <f t="shared" si="74"/>
        <v>0.93802584000378419</v>
      </c>
      <c r="Q384" s="13">
        <f t="shared" si="75"/>
        <v>0.93522799137435009</v>
      </c>
      <c r="R384" s="15" t="b">
        <f t="shared" si="76"/>
        <v>0</v>
      </c>
      <c r="S384" s="13">
        <f t="shared" si="77"/>
        <v>2.8571428571428571E-2</v>
      </c>
    </row>
    <row r="385" spans="1:19" x14ac:dyDescent="0.3">
      <c r="A385" s="4">
        <v>45512</v>
      </c>
      <c r="B385" s="2">
        <v>159</v>
      </c>
      <c r="C385" s="2">
        <v>330</v>
      </c>
      <c r="D385" s="2">
        <v>322</v>
      </c>
      <c r="E385">
        <v>7546</v>
      </c>
      <c r="F385">
        <v>306</v>
      </c>
      <c r="G385" s="2">
        <f t="shared" si="65"/>
        <v>7876</v>
      </c>
      <c r="H385">
        <f t="shared" si="66"/>
        <v>7240</v>
      </c>
      <c r="I385" s="13">
        <f t="shared" si="67"/>
        <v>1.8370165745856353E-2</v>
      </c>
      <c r="J385" t="str">
        <f t="shared" si="68"/>
        <v>Backlog</v>
      </c>
      <c r="K385" s="13">
        <f t="shared" si="69"/>
        <v>0.91924834941594713</v>
      </c>
      <c r="L385" s="13">
        <f t="shared" si="70"/>
        <v>6.4347384459116297</v>
      </c>
      <c r="M385" s="13">
        <f t="shared" si="71"/>
        <v>27.577450482478415</v>
      </c>
      <c r="N385" t="b">
        <f t="shared" si="72"/>
        <v>1</v>
      </c>
      <c r="O385">
        <f t="shared" si="73"/>
        <v>32</v>
      </c>
      <c r="P385" s="13">
        <f t="shared" si="74"/>
        <v>0.92402402131413486</v>
      </c>
      <c r="Q385" s="13">
        <f t="shared" si="75"/>
        <v>0.92164551808524919</v>
      </c>
      <c r="R385" s="15" t="str">
        <f t="shared" si="76"/>
        <v>STRAIN</v>
      </c>
      <c r="S385" s="13">
        <f t="shared" si="77"/>
        <v>3.8852209243270694E-2</v>
      </c>
    </row>
    <row r="386" spans="1:19" x14ac:dyDescent="0.3">
      <c r="A386" s="4">
        <v>45515</v>
      </c>
      <c r="B386" s="2">
        <v>167</v>
      </c>
      <c r="C386" s="2">
        <v>406</v>
      </c>
      <c r="D386" s="2">
        <v>339</v>
      </c>
      <c r="E386">
        <v>7563</v>
      </c>
      <c r="F386">
        <v>190</v>
      </c>
      <c r="G386" s="2">
        <f t="shared" si="65"/>
        <v>7969</v>
      </c>
      <c r="H386">
        <f t="shared" si="66"/>
        <v>7373</v>
      </c>
      <c r="I386" s="13">
        <f t="shared" si="67"/>
        <v>-3.1194900311949003E-3</v>
      </c>
      <c r="J386" t="str">
        <f t="shared" si="68"/>
        <v>No Backlog</v>
      </c>
      <c r="K386" s="13">
        <f t="shared" si="69"/>
        <v>0.92521018948425149</v>
      </c>
      <c r="L386" s="13">
        <f t="shared" si="70"/>
        <v>6.4764713263897606</v>
      </c>
      <c r="M386" s="13">
        <f t="shared" si="71"/>
        <v>27.756305684527543</v>
      </c>
      <c r="N386" t="b">
        <f t="shared" si="72"/>
        <v>1</v>
      </c>
      <c r="O386">
        <f t="shared" si="73"/>
        <v>33</v>
      </c>
      <c r="P386" s="13">
        <f t="shared" si="74"/>
        <v>0.93080684912809064</v>
      </c>
      <c r="Q386" s="13">
        <f t="shared" si="75"/>
        <v>0.93144289806268765</v>
      </c>
      <c r="R386" s="15" t="b">
        <f t="shared" si="76"/>
        <v>0</v>
      </c>
      <c r="S386" s="13">
        <f t="shared" si="77"/>
        <v>2.3842389258376208E-2</v>
      </c>
    </row>
    <row r="387" spans="1:19" x14ac:dyDescent="0.3">
      <c r="A387" s="4">
        <v>45516</v>
      </c>
      <c r="B387" s="2">
        <v>182</v>
      </c>
      <c r="C387" s="2">
        <v>462</v>
      </c>
      <c r="D387" s="2">
        <v>158</v>
      </c>
      <c r="E387">
        <v>7491</v>
      </c>
      <c r="F387">
        <v>141</v>
      </c>
      <c r="G387" s="2">
        <f t="shared" ref="G387:G450" si="78">C387+E387</f>
        <v>7953</v>
      </c>
      <c r="H387">
        <f t="shared" ref="H387:H450" si="79">E387-F387</f>
        <v>7350</v>
      </c>
      <c r="I387" s="13">
        <f t="shared" ref="I387:I450" si="80">(H388-H387)/H387</f>
        <v>-1.1292517006802722E-2</v>
      </c>
      <c r="J387" t="str">
        <f t="shared" ref="J387:J450" si="81">IF(I387&gt;0,"Backlog","No Backlog")</f>
        <v>No Backlog</v>
      </c>
      <c r="K387" s="13">
        <f t="shared" ref="K387:K450" si="82">H387/G387</f>
        <v>0.92417955488494907</v>
      </c>
      <c r="L387" s="13">
        <f t="shared" ref="L387:L450" si="83">K387*7</f>
        <v>6.4692568841946434</v>
      </c>
      <c r="M387" s="13">
        <f t="shared" ref="M387:M450" si="84">K387*30</f>
        <v>27.725386646548472</v>
      </c>
      <c r="N387" t="b">
        <f t="shared" ref="N387:N450" si="85">IF(D387&lt;C387,F387&lt;E387)</f>
        <v>1</v>
      </c>
      <c r="O387">
        <f t="shared" ref="O387:O450" si="86">WEEKNUM(A387)</f>
        <v>33</v>
      </c>
      <c r="P387" s="13">
        <f t="shared" ref="P387:P450" si="87">AVERAGE(K387,K393)</f>
        <v>0.93196929551476371</v>
      </c>
      <c r="Q387" s="13">
        <f t="shared" ref="Q387:Q450" si="88">AVERAGE(K387,K399)</f>
        <v>0.92693201826668581</v>
      </c>
      <c r="R387" s="15" t="b">
        <f t="shared" ref="R387:R450" si="89">IF(I387&gt;0,"STRAIN")</f>
        <v>0</v>
      </c>
      <c r="S387" s="13">
        <f t="shared" ref="S387:S450" si="90">F387/G387</f>
        <v>1.7729158807996984E-2</v>
      </c>
    </row>
    <row r="388" spans="1:19" x14ac:dyDescent="0.3">
      <c r="A388" s="4">
        <v>45517</v>
      </c>
      <c r="B388" s="2">
        <v>153</v>
      </c>
      <c r="C388" s="2">
        <v>348</v>
      </c>
      <c r="D388" s="2">
        <v>239</v>
      </c>
      <c r="E388">
        <v>7418</v>
      </c>
      <c r="F388">
        <v>151</v>
      </c>
      <c r="G388" s="2">
        <f t="shared" si="78"/>
        <v>7766</v>
      </c>
      <c r="H388">
        <f t="shared" si="79"/>
        <v>7267</v>
      </c>
      <c r="I388" s="13">
        <f t="shared" si="80"/>
        <v>-9.4949772946195127E-3</v>
      </c>
      <c r="J388" t="str">
        <f t="shared" si="81"/>
        <v>No Backlog</v>
      </c>
      <c r="K388" s="13">
        <f t="shared" si="82"/>
        <v>0.93574555755858868</v>
      </c>
      <c r="L388" s="13">
        <f t="shared" si="83"/>
        <v>6.550218902910121</v>
      </c>
      <c r="M388" s="13">
        <f t="shared" si="84"/>
        <v>28.072366726757661</v>
      </c>
      <c r="N388" t="b">
        <f t="shared" si="85"/>
        <v>1</v>
      </c>
      <c r="O388">
        <f t="shared" si="86"/>
        <v>33</v>
      </c>
      <c r="P388" s="13">
        <f t="shared" si="87"/>
        <v>0.92911967460990474</v>
      </c>
      <c r="Q388" s="13">
        <f t="shared" si="88"/>
        <v>0.93419995891933261</v>
      </c>
      <c r="R388" s="15" t="b">
        <f t="shared" si="89"/>
        <v>0</v>
      </c>
      <c r="S388" s="13">
        <f t="shared" si="90"/>
        <v>1.944372907545712E-2</v>
      </c>
    </row>
    <row r="389" spans="1:19" x14ac:dyDescent="0.3">
      <c r="A389" s="4">
        <v>45518</v>
      </c>
      <c r="B389" s="2">
        <v>156</v>
      </c>
      <c r="C389" s="2">
        <v>344</v>
      </c>
      <c r="D389" s="2">
        <v>252</v>
      </c>
      <c r="E389">
        <v>7365</v>
      </c>
      <c r="F389">
        <v>167</v>
      </c>
      <c r="G389" s="2">
        <f t="shared" si="78"/>
        <v>7709</v>
      </c>
      <c r="H389">
        <f t="shared" si="79"/>
        <v>7198</v>
      </c>
      <c r="I389" s="13">
        <f t="shared" si="80"/>
        <v>9.5859961100305639E-3</v>
      </c>
      <c r="J389" t="str">
        <f t="shared" si="81"/>
        <v>Backlog</v>
      </c>
      <c r="K389" s="13">
        <f t="shared" si="82"/>
        <v>0.93371384096510568</v>
      </c>
      <c r="L389" s="13">
        <f t="shared" si="83"/>
        <v>6.5359968867557399</v>
      </c>
      <c r="M389" s="13">
        <f t="shared" si="84"/>
        <v>28.011415228953169</v>
      </c>
      <c r="N389" t="b">
        <f t="shared" si="85"/>
        <v>1</v>
      </c>
      <c r="O389">
        <f t="shared" si="86"/>
        <v>33</v>
      </c>
      <c r="P389" s="13">
        <f t="shared" si="87"/>
        <v>0.93055078512518408</v>
      </c>
      <c r="Q389" s="13">
        <f t="shared" si="88"/>
        <v>0.93066237479950642</v>
      </c>
      <c r="R389" s="15" t="str">
        <f t="shared" si="89"/>
        <v>STRAIN</v>
      </c>
      <c r="S389" s="13">
        <f t="shared" si="90"/>
        <v>2.1662991308859774E-2</v>
      </c>
    </row>
    <row r="390" spans="1:19" x14ac:dyDescent="0.3">
      <c r="A390" s="4">
        <v>45519</v>
      </c>
      <c r="B390" s="2">
        <v>193</v>
      </c>
      <c r="C390" s="2">
        <v>272</v>
      </c>
      <c r="D390" s="2">
        <v>314</v>
      </c>
      <c r="E390">
        <v>7494</v>
      </c>
      <c r="F390">
        <v>227</v>
      </c>
      <c r="G390" s="2">
        <f t="shared" si="78"/>
        <v>7766</v>
      </c>
      <c r="H390">
        <f t="shared" si="79"/>
        <v>7267</v>
      </c>
      <c r="I390" s="13">
        <f t="shared" si="80"/>
        <v>-1.3760836658868861E-4</v>
      </c>
      <c r="J390" t="str">
        <f t="shared" si="81"/>
        <v>No Backlog</v>
      </c>
      <c r="K390" s="13">
        <f t="shared" si="82"/>
        <v>0.93574555755858868</v>
      </c>
      <c r="L390" s="13">
        <f t="shared" si="83"/>
        <v>6.550218902910121</v>
      </c>
      <c r="M390" s="13">
        <f t="shared" si="84"/>
        <v>28.072366726757661</v>
      </c>
      <c r="N390" t="b">
        <f t="shared" si="85"/>
        <v>0</v>
      </c>
      <c r="O390">
        <f t="shared" si="86"/>
        <v>33</v>
      </c>
      <c r="P390" s="13">
        <f t="shared" si="87"/>
        <v>0.93294770892915468</v>
      </c>
      <c r="Q390" s="13">
        <f t="shared" si="88"/>
        <v>0.9364170825767627</v>
      </c>
      <c r="R390" s="15" t="b">
        <f t="shared" si="89"/>
        <v>0</v>
      </c>
      <c r="S390" s="13">
        <f t="shared" si="90"/>
        <v>2.9229976822044812E-2</v>
      </c>
    </row>
    <row r="391" spans="1:19" x14ac:dyDescent="0.3">
      <c r="A391" s="4">
        <v>45522</v>
      </c>
      <c r="B391" s="2">
        <v>168</v>
      </c>
      <c r="C391" s="2">
        <v>349</v>
      </c>
      <c r="D391" s="2">
        <v>272</v>
      </c>
      <c r="E391">
        <v>7474</v>
      </c>
      <c r="F391">
        <v>208</v>
      </c>
      <c r="G391" s="2">
        <f t="shared" si="78"/>
        <v>7823</v>
      </c>
      <c r="H391">
        <f t="shared" si="79"/>
        <v>7266</v>
      </c>
      <c r="I391" s="13">
        <f t="shared" si="80"/>
        <v>-9.6339113680154141E-4</v>
      </c>
      <c r="J391" t="str">
        <f t="shared" si="81"/>
        <v>No Backlog</v>
      </c>
      <c r="K391" s="13">
        <f t="shared" si="82"/>
        <v>0.92879969321232259</v>
      </c>
      <c r="L391" s="13">
        <f t="shared" si="83"/>
        <v>6.5015978524862579</v>
      </c>
      <c r="M391" s="13">
        <f t="shared" si="84"/>
        <v>27.863990796369677</v>
      </c>
      <c r="N391" t="b">
        <f t="shared" si="85"/>
        <v>1</v>
      </c>
      <c r="O391">
        <f t="shared" si="86"/>
        <v>34</v>
      </c>
      <c r="P391" s="13">
        <f t="shared" si="87"/>
        <v>0.92642118998343692</v>
      </c>
      <c r="Q391" s="13">
        <f t="shared" si="88"/>
        <v>0.92959378444330487</v>
      </c>
      <c r="R391" s="15" t="b">
        <f t="shared" si="89"/>
        <v>0</v>
      </c>
      <c r="S391" s="13">
        <f t="shared" si="90"/>
        <v>2.6588265371340916E-2</v>
      </c>
    </row>
    <row r="392" spans="1:19" x14ac:dyDescent="0.3">
      <c r="A392" s="4">
        <v>45523</v>
      </c>
      <c r="B392" s="2">
        <v>196</v>
      </c>
      <c r="C392" s="2">
        <v>348</v>
      </c>
      <c r="D392" s="2">
        <v>176</v>
      </c>
      <c r="E392">
        <v>7404</v>
      </c>
      <c r="F392">
        <v>145</v>
      </c>
      <c r="G392" s="2">
        <f t="shared" si="78"/>
        <v>7752</v>
      </c>
      <c r="H392">
        <f t="shared" si="79"/>
        <v>7259</v>
      </c>
      <c r="I392" s="13">
        <f t="shared" si="80"/>
        <v>-1.1434081829453093E-2</v>
      </c>
      <c r="J392" t="str">
        <f t="shared" si="81"/>
        <v>No Backlog</v>
      </c>
      <c r="K392" s="13">
        <f t="shared" si="82"/>
        <v>0.93640350877192979</v>
      </c>
      <c r="L392" s="13">
        <f t="shared" si="83"/>
        <v>6.5548245614035086</v>
      </c>
      <c r="M392" s="13">
        <f t="shared" si="84"/>
        <v>28.092105263157894</v>
      </c>
      <c r="N392" t="b">
        <f t="shared" si="85"/>
        <v>1</v>
      </c>
      <c r="O392">
        <f t="shared" si="86"/>
        <v>34</v>
      </c>
      <c r="P392" s="13">
        <f t="shared" si="87"/>
        <v>0.93703955770652692</v>
      </c>
      <c r="Q392" s="13">
        <f t="shared" si="88"/>
        <v>0.92652435165471014</v>
      </c>
      <c r="R392" s="15" t="b">
        <f t="shared" si="89"/>
        <v>0</v>
      </c>
      <c r="S392" s="13">
        <f t="shared" si="90"/>
        <v>1.8704850361197109E-2</v>
      </c>
    </row>
    <row r="393" spans="1:19" x14ac:dyDescent="0.3">
      <c r="A393" s="4">
        <v>45524</v>
      </c>
      <c r="B393" s="2">
        <v>111</v>
      </c>
      <c r="C393" s="2">
        <v>268</v>
      </c>
      <c r="D393" s="2">
        <v>217</v>
      </c>
      <c r="E393">
        <v>7368</v>
      </c>
      <c r="F393">
        <v>192</v>
      </c>
      <c r="G393" s="2">
        <f t="shared" si="78"/>
        <v>7636</v>
      </c>
      <c r="H393">
        <f t="shared" si="79"/>
        <v>7176</v>
      </c>
      <c r="I393" s="13">
        <f t="shared" si="80"/>
        <v>-1.644370122630992E-2</v>
      </c>
      <c r="J393" t="str">
        <f t="shared" si="81"/>
        <v>No Backlog</v>
      </c>
      <c r="K393" s="13">
        <f t="shared" si="82"/>
        <v>0.93975903614457834</v>
      </c>
      <c r="L393" s="13">
        <f t="shared" si="83"/>
        <v>6.5783132530120483</v>
      </c>
      <c r="M393" s="13">
        <f t="shared" si="84"/>
        <v>28.192771084337352</v>
      </c>
      <c r="N393" t="b">
        <f t="shared" si="85"/>
        <v>1</v>
      </c>
      <c r="O393">
        <f t="shared" si="86"/>
        <v>34</v>
      </c>
      <c r="P393" s="13">
        <f t="shared" si="87"/>
        <v>0.93472175889650044</v>
      </c>
      <c r="Q393" s="13">
        <f t="shared" si="88"/>
        <v>0.93201021411635532</v>
      </c>
      <c r="R393" s="15" t="b">
        <f t="shared" si="89"/>
        <v>0</v>
      </c>
      <c r="S393" s="13">
        <f t="shared" si="90"/>
        <v>2.5144054478784705E-2</v>
      </c>
    </row>
    <row r="394" spans="1:19" x14ac:dyDescent="0.3">
      <c r="A394" s="4">
        <v>45525</v>
      </c>
      <c r="B394" s="2">
        <v>143</v>
      </c>
      <c r="C394" s="2">
        <v>295</v>
      </c>
      <c r="D394" s="2">
        <v>278</v>
      </c>
      <c r="E394">
        <v>7356</v>
      </c>
      <c r="F394">
        <v>298</v>
      </c>
      <c r="G394" s="2">
        <f t="shared" si="78"/>
        <v>7651</v>
      </c>
      <c r="H394">
        <f t="shared" si="79"/>
        <v>7058</v>
      </c>
      <c r="I394" s="13">
        <f t="shared" si="80"/>
        <v>3.8679512609804477E-2</v>
      </c>
      <c r="J394" t="str">
        <f t="shared" si="81"/>
        <v>Backlog</v>
      </c>
      <c r="K394" s="13">
        <f t="shared" si="82"/>
        <v>0.92249379166122081</v>
      </c>
      <c r="L394" s="13">
        <f t="shared" si="83"/>
        <v>6.4574565416285452</v>
      </c>
      <c r="M394" s="13">
        <f t="shared" si="84"/>
        <v>27.674813749836623</v>
      </c>
      <c r="N394" t="b">
        <f t="shared" si="85"/>
        <v>1</v>
      </c>
      <c r="O394">
        <f t="shared" si="86"/>
        <v>34</v>
      </c>
      <c r="P394" s="13">
        <f t="shared" si="87"/>
        <v>0.92757407597064856</v>
      </c>
      <c r="Q394" s="13">
        <f t="shared" si="88"/>
        <v>0.9217881167242542</v>
      </c>
      <c r="R394" s="15" t="str">
        <f t="shared" si="89"/>
        <v>STRAIN</v>
      </c>
      <c r="S394" s="13">
        <f t="shared" si="90"/>
        <v>3.8949156972944717E-2</v>
      </c>
    </row>
    <row r="395" spans="1:19" x14ac:dyDescent="0.3">
      <c r="A395" s="4">
        <v>45526</v>
      </c>
      <c r="B395" s="2">
        <v>206</v>
      </c>
      <c r="C395" s="2">
        <v>340</v>
      </c>
      <c r="D395" s="2">
        <v>214</v>
      </c>
      <c r="E395">
        <v>7565</v>
      </c>
      <c r="F395">
        <v>234</v>
      </c>
      <c r="G395" s="2">
        <f t="shared" si="78"/>
        <v>7905</v>
      </c>
      <c r="H395">
        <f t="shared" si="79"/>
        <v>7331</v>
      </c>
      <c r="I395" s="13">
        <f t="shared" si="80"/>
        <v>-9.5484927022234344E-4</v>
      </c>
      <c r="J395" t="str">
        <f t="shared" si="81"/>
        <v>No Backlog</v>
      </c>
      <c r="K395" s="13">
        <f t="shared" si="82"/>
        <v>0.92738772928526247</v>
      </c>
      <c r="L395" s="13">
        <f t="shared" si="83"/>
        <v>6.491714104996837</v>
      </c>
      <c r="M395" s="13">
        <f t="shared" si="84"/>
        <v>27.821631878557874</v>
      </c>
      <c r="N395" t="b">
        <f t="shared" si="85"/>
        <v>1</v>
      </c>
      <c r="O395">
        <f t="shared" si="86"/>
        <v>34</v>
      </c>
      <c r="P395" s="13">
        <f t="shared" si="87"/>
        <v>0.92749931895958482</v>
      </c>
      <c r="Q395" s="13">
        <f t="shared" si="88"/>
        <v>0.92699079123648442</v>
      </c>
      <c r="R395" s="15" t="b">
        <f t="shared" si="89"/>
        <v>0</v>
      </c>
      <c r="S395" s="13">
        <f t="shared" si="90"/>
        <v>2.9601518026565465E-2</v>
      </c>
    </row>
    <row r="396" spans="1:19" x14ac:dyDescent="0.3">
      <c r="A396" s="4">
        <v>45531</v>
      </c>
      <c r="B396" s="2">
        <v>115</v>
      </c>
      <c r="C396" s="2">
        <v>285</v>
      </c>
      <c r="D396" s="2">
        <v>341</v>
      </c>
      <c r="E396">
        <v>7589</v>
      </c>
      <c r="F396">
        <v>265</v>
      </c>
      <c r="G396" s="2">
        <f t="shared" si="78"/>
        <v>7874</v>
      </c>
      <c r="H396">
        <f t="shared" si="79"/>
        <v>7324</v>
      </c>
      <c r="I396" s="13">
        <f t="shared" si="80"/>
        <v>4.9153468050245766E-3</v>
      </c>
      <c r="J396" t="str">
        <f t="shared" si="81"/>
        <v>Backlog</v>
      </c>
      <c r="K396" s="13">
        <f t="shared" si="82"/>
        <v>0.93014986029972058</v>
      </c>
      <c r="L396" s="13">
        <f t="shared" si="83"/>
        <v>6.5110490220980441</v>
      </c>
      <c r="M396" s="13">
        <f t="shared" si="84"/>
        <v>27.904495808991616</v>
      </c>
      <c r="N396" t="b">
        <f t="shared" si="85"/>
        <v>0</v>
      </c>
      <c r="O396">
        <f t="shared" si="86"/>
        <v>35</v>
      </c>
      <c r="P396" s="13">
        <f t="shared" si="87"/>
        <v>0.9336192339473286</v>
      </c>
      <c r="Q396" s="13">
        <f t="shared" si="88"/>
        <v>0.93382900712311534</v>
      </c>
      <c r="R396" s="15" t="str">
        <f t="shared" si="89"/>
        <v>STRAIN</v>
      </c>
      <c r="S396" s="13">
        <f t="shared" si="90"/>
        <v>3.3655067310134623E-2</v>
      </c>
    </row>
    <row r="397" spans="1:19" x14ac:dyDescent="0.3">
      <c r="A397" s="4">
        <v>45532</v>
      </c>
      <c r="B397" s="2">
        <v>246</v>
      </c>
      <c r="C397" s="2">
        <v>419</v>
      </c>
      <c r="D397" s="2">
        <v>218</v>
      </c>
      <c r="E397">
        <v>7546</v>
      </c>
      <c r="F397">
        <v>186</v>
      </c>
      <c r="G397" s="2">
        <f t="shared" si="78"/>
        <v>7965</v>
      </c>
      <c r="H397">
        <f t="shared" si="79"/>
        <v>7360</v>
      </c>
      <c r="I397" s="13">
        <f t="shared" si="80"/>
        <v>-2.4456521739130437E-3</v>
      </c>
      <c r="J397" t="str">
        <f t="shared" si="81"/>
        <v>No Backlog</v>
      </c>
      <c r="K397" s="13">
        <f t="shared" si="82"/>
        <v>0.92404268675455115</v>
      </c>
      <c r="L397" s="13">
        <f t="shared" si="83"/>
        <v>6.4682988072818581</v>
      </c>
      <c r="M397" s="13">
        <f t="shared" si="84"/>
        <v>27.721280602636533</v>
      </c>
      <c r="N397" t="b">
        <f t="shared" si="85"/>
        <v>1</v>
      </c>
      <c r="O397">
        <f t="shared" si="86"/>
        <v>35</v>
      </c>
      <c r="P397" s="13">
        <f t="shared" si="87"/>
        <v>0.92721528121441921</v>
      </c>
      <c r="Q397" s="13">
        <f t="shared" si="88"/>
        <v>0.92285565748738407</v>
      </c>
      <c r="R397" s="15" t="b">
        <f t="shared" si="89"/>
        <v>0</v>
      </c>
      <c r="S397" s="13">
        <f t="shared" si="90"/>
        <v>2.3352165725047083E-2</v>
      </c>
    </row>
    <row r="398" spans="1:19" x14ac:dyDescent="0.3">
      <c r="A398" s="4">
        <v>45533</v>
      </c>
      <c r="B398" s="2">
        <v>112</v>
      </c>
      <c r="C398" s="2">
        <v>331</v>
      </c>
      <c r="D398" s="2">
        <v>167</v>
      </c>
      <c r="E398">
        <v>7499</v>
      </c>
      <c r="F398">
        <v>157</v>
      </c>
      <c r="G398" s="2">
        <f t="shared" si="78"/>
        <v>7830</v>
      </c>
      <c r="H398">
        <f t="shared" si="79"/>
        <v>7342</v>
      </c>
      <c r="I398" s="13">
        <f t="shared" si="80"/>
        <v>-1.6752928357395804E-2</v>
      </c>
      <c r="J398" t="str">
        <f t="shared" si="81"/>
        <v>No Backlog</v>
      </c>
      <c r="K398" s="13">
        <f t="shared" si="82"/>
        <v>0.93767560664112393</v>
      </c>
      <c r="L398" s="13">
        <f t="shared" si="83"/>
        <v>6.5637292464878678</v>
      </c>
      <c r="M398" s="13">
        <f t="shared" si="84"/>
        <v>28.130268199233718</v>
      </c>
      <c r="N398" t="b">
        <f t="shared" si="85"/>
        <v>1</v>
      </c>
      <c r="O398">
        <f t="shared" si="86"/>
        <v>35</v>
      </c>
      <c r="P398" s="13">
        <f t="shared" si="87"/>
        <v>0.92716040058930715</v>
      </c>
      <c r="Q398" s="13">
        <f t="shared" si="88"/>
        <v>0.93090494580007555</v>
      </c>
      <c r="R398" s="15" t="b">
        <f t="shared" si="89"/>
        <v>0</v>
      </c>
      <c r="S398" s="13">
        <f t="shared" si="90"/>
        <v>2.0051085568326948E-2</v>
      </c>
    </row>
    <row r="399" spans="1:19" x14ac:dyDescent="0.3">
      <c r="A399" s="4">
        <v>45537</v>
      </c>
      <c r="B399" s="2">
        <v>138</v>
      </c>
      <c r="C399" s="2">
        <v>301</v>
      </c>
      <c r="D399" s="2">
        <v>263</v>
      </c>
      <c r="E399">
        <v>7464</v>
      </c>
      <c r="F399">
        <v>245</v>
      </c>
      <c r="G399" s="2">
        <f t="shared" si="78"/>
        <v>7765</v>
      </c>
      <c r="H399">
        <f t="shared" si="79"/>
        <v>7219</v>
      </c>
      <c r="I399" s="13">
        <f t="shared" si="80"/>
        <v>1.4821997506579858E-2</v>
      </c>
      <c r="J399" t="str">
        <f t="shared" si="81"/>
        <v>Backlog</v>
      </c>
      <c r="K399" s="13">
        <f t="shared" si="82"/>
        <v>0.92968448164842243</v>
      </c>
      <c r="L399" s="13">
        <f t="shared" si="83"/>
        <v>6.507791371538957</v>
      </c>
      <c r="M399" s="13">
        <f t="shared" si="84"/>
        <v>27.890534449452673</v>
      </c>
      <c r="N399" t="b">
        <f t="shared" si="85"/>
        <v>1</v>
      </c>
      <c r="O399">
        <f t="shared" si="86"/>
        <v>36</v>
      </c>
      <c r="P399" s="13">
        <f t="shared" si="87"/>
        <v>0.92697293686827731</v>
      </c>
      <c r="Q399" s="13">
        <f t="shared" si="88"/>
        <v>0.92737042758638122</v>
      </c>
      <c r="R399" s="15" t="str">
        <f t="shared" si="89"/>
        <v>STRAIN</v>
      </c>
      <c r="S399" s="13">
        <f t="shared" si="90"/>
        <v>3.1551835157759174E-2</v>
      </c>
    </row>
    <row r="400" spans="1:19" x14ac:dyDescent="0.3">
      <c r="A400" s="4">
        <v>45538</v>
      </c>
      <c r="B400" s="2">
        <v>138</v>
      </c>
      <c r="C400" s="2">
        <v>285</v>
      </c>
      <c r="D400" s="2">
        <v>268</v>
      </c>
      <c r="E400">
        <v>7570</v>
      </c>
      <c r="F400">
        <v>244</v>
      </c>
      <c r="G400" s="2">
        <f t="shared" si="78"/>
        <v>7855</v>
      </c>
      <c r="H400">
        <f t="shared" si="79"/>
        <v>7326</v>
      </c>
      <c r="I400" s="13">
        <f t="shared" si="80"/>
        <v>7.5075075075075074E-3</v>
      </c>
      <c r="J400" t="str">
        <f t="shared" si="81"/>
        <v>Backlog</v>
      </c>
      <c r="K400" s="13">
        <f t="shared" si="82"/>
        <v>0.93265436028007642</v>
      </c>
      <c r="L400" s="13">
        <f t="shared" si="83"/>
        <v>6.5285805219605351</v>
      </c>
      <c r="M400" s="13">
        <f t="shared" si="84"/>
        <v>27.979630808402291</v>
      </c>
      <c r="N400" t="b">
        <f t="shared" si="85"/>
        <v>1</v>
      </c>
      <c r="O400">
        <f t="shared" si="86"/>
        <v>36</v>
      </c>
      <c r="P400" s="13">
        <f t="shared" si="87"/>
        <v>0.92686840103368207</v>
      </c>
      <c r="Q400" s="13">
        <f t="shared" si="88"/>
        <v>0.92839101568236981</v>
      </c>
      <c r="R400" s="15" t="str">
        <f t="shared" si="89"/>
        <v>STRAIN</v>
      </c>
      <c r="S400" s="13">
        <f t="shared" si="90"/>
        <v>3.106301718650541E-2</v>
      </c>
    </row>
    <row r="401" spans="1:19" x14ac:dyDescent="0.3">
      <c r="A401" s="4">
        <v>45539</v>
      </c>
      <c r="B401" s="2">
        <v>167</v>
      </c>
      <c r="C401" s="2">
        <v>374</v>
      </c>
      <c r="D401" s="2">
        <v>205</v>
      </c>
      <c r="E401">
        <v>7583</v>
      </c>
      <c r="F401">
        <v>202</v>
      </c>
      <c r="G401" s="2">
        <f t="shared" si="78"/>
        <v>7957</v>
      </c>
      <c r="H401">
        <f t="shared" si="79"/>
        <v>7381</v>
      </c>
      <c r="I401" s="13">
        <f t="shared" si="80"/>
        <v>2.9806259314456036E-3</v>
      </c>
      <c r="J401" t="str">
        <f t="shared" si="81"/>
        <v>Backlog</v>
      </c>
      <c r="K401" s="13">
        <f t="shared" si="82"/>
        <v>0.92761090863390727</v>
      </c>
      <c r="L401" s="13">
        <f t="shared" si="83"/>
        <v>6.4932763604373509</v>
      </c>
      <c r="M401" s="13">
        <f t="shared" si="84"/>
        <v>27.828327259017218</v>
      </c>
      <c r="N401" t="b">
        <f t="shared" si="85"/>
        <v>1</v>
      </c>
      <c r="O401">
        <f t="shared" si="86"/>
        <v>36</v>
      </c>
      <c r="P401" s="13">
        <f t="shared" si="87"/>
        <v>0.92710238091080677</v>
      </c>
      <c r="Q401" s="13">
        <f t="shared" si="88"/>
        <v>0.91964097972191006</v>
      </c>
      <c r="R401" s="15" t="str">
        <f t="shared" si="89"/>
        <v>STRAIN</v>
      </c>
      <c r="S401" s="13">
        <f t="shared" si="90"/>
        <v>2.5386452180470025E-2</v>
      </c>
    </row>
    <row r="402" spans="1:19" x14ac:dyDescent="0.3">
      <c r="A402" s="4">
        <v>45540</v>
      </c>
      <c r="B402" s="2">
        <v>176</v>
      </c>
      <c r="C402" s="2">
        <v>334</v>
      </c>
      <c r="D402" s="2">
        <v>246</v>
      </c>
      <c r="E402">
        <v>7566</v>
      </c>
      <c r="F402">
        <v>163</v>
      </c>
      <c r="G402" s="2">
        <f t="shared" si="78"/>
        <v>7900</v>
      </c>
      <c r="H402">
        <f t="shared" si="79"/>
        <v>7403</v>
      </c>
      <c r="I402" s="13">
        <f t="shared" si="80"/>
        <v>-2.1477779278670808E-2</v>
      </c>
      <c r="J402" t="str">
        <f t="shared" si="81"/>
        <v>No Backlog</v>
      </c>
      <c r="K402" s="13">
        <f t="shared" si="82"/>
        <v>0.93708860759493673</v>
      </c>
      <c r="L402" s="13">
        <f t="shared" si="83"/>
        <v>6.5596202531645567</v>
      </c>
      <c r="M402" s="13">
        <f t="shared" si="84"/>
        <v>28.112658227848101</v>
      </c>
      <c r="N402" t="b">
        <f t="shared" si="85"/>
        <v>1</v>
      </c>
      <c r="O402">
        <f t="shared" si="86"/>
        <v>36</v>
      </c>
      <c r="P402" s="13">
        <f t="shared" si="87"/>
        <v>0.93729838077072336</v>
      </c>
      <c r="Q402" s="13">
        <f t="shared" si="88"/>
        <v>0.92503553186764376</v>
      </c>
      <c r="R402" s="15" t="b">
        <f t="shared" si="89"/>
        <v>0</v>
      </c>
      <c r="S402" s="13">
        <f t="shared" si="90"/>
        <v>2.0632911392405064E-2</v>
      </c>
    </row>
    <row r="403" spans="1:19" x14ac:dyDescent="0.3">
      <c r="A403" s="4">
        <v>45543</v>
      </c>
      <c r="B403" s="2">
        <v>173</v>
      </c>
      <c r="C403" s="2">
        <v>337</v>
      </c>
      <c r="D403" s="2">
        <v>211</v>
      </c>
      <c r="E403">
        <v>7449</v>
      </c>
      <c r="F403">
        <v>205</v>
      </c>
      <c r="G403" s="2">
        <f t="shared" si="78"/>
        <v>7786</v>
      </c>
      <c r="H403">
        <f t="shared" si="79"/>
        <v>7244</v>
      </c>
      <c r="I403" s="13">
        <f t="shared" si="80"/>
        <v>-1.7807840971838764E-2</v>
      </c>
      <c r="J403" t="str">
        <f t="shared" si="81"/>
        <v>No Backlog</v>
      </c>
      <c r="K403" s="13">
        <f t="shared" si="82"/>
        <v>0.93038787567428716</v>
      </c>
      <c r="L403" s="13">
        <f t="shared" si="83"/>
        <v>6.5127151297200099</v>
      </c>
      <c r="M403" s="13">
        <f t="shared" si="84"/>
        <v>27.911636270228616</v>
      </c>
      <c r="N403" t="b">
        <f t="shared" si="85"/>
        <v>1</v>
      </c>
      <c r="O403">
        <f t="shared" si="86"/>
        <v>37</v>
      </c>
      <c r="P403" s="13">
        <f t="shared" si="87"/>
        <v>0.92602825194725213</v>
      </c>
      <c r="Q403" s="13">
        <f t="shared" si="88"/>
        <v>0.92391734209246268</v>
      </c>
      <c r="R403" s="15" t="b">
        <f t="shared" si="89"/>
        <v>0</v>
      </c>
      <c r="S403" s="13">
        <f t="shared" si="90"/>
        <v>2.6329309016182894E-2</v>
      </c>
    </row>
    <row r="404" spans="1:19" x14ac:dyDescent="0.3">
      <c r="A404" s="4">
        <v>45544</v>
      </c>
      <c r="B404" s="2">
        <v>150</v>
      </c>
      <c r="C404" s="2">
        <v>315</v>
      </c>
      <c r="D404" s="2">
        <v>228</v>
      </c>
      <c r="E404">
        <v>7447</v>
      </c>
      <c r="F404">
        <v>332</v>
      </c>
      <c r="G404" s="2">
        <f t="shared" si="78"/>
        <v>7762</v>
      </c>
      <c r="H404">
        <f t="shared" si="79"/>
        <v>7115</v>
      </c>
      <c r="I404" s="13">
        <f t="shared" si="80"/>
        <v>3.7666900913562895E-2</v>
      </c>
      <c r="J404" t="str">
        <f t="shared" si="81"/>
        <v>Backlog</v>
      </c>
      <c r="K404" s="13">
        <f t="shared" si="82"/>
        <v>0.91664519453749038</v>
      </c>
      <c r="L404" s="13">
        <f t="shared" si="83"/>
        <v>6.416516361762433</v>
      </c>
      <c r="M404" s="13">
        <f t="shared" si="84"/>
        <v>27.49935583612471</v>
      </c>
      <c r="N404" t="b">
        <f t="shared" si="85"/>
        <v>1</v>
      </c>
      <c r="O404">
        <f t="shared" si="86"/>
        <v>37</v>
      </c>
      <c r="P404" s="13">
        <f t="shared" si="87"/>
        <v>0.92038973974825877</v>
      </c>
      <c r="Q404" s="13">
        <f t="shared" si="88"/>
        <v>0.91618618238712179</v>
      </c>
      <c r="R404" s="15" t="str">
        <f t="shared" si="89"/>
        <v>STRAIN</v>
      </c>
      <c r="S404" s="13">
        <f t="shared" si="90"/>
        <v>4.2772481319247616E-2</v>
      </c>
    </row>
    <row r="405" spans="1:19" x14ac:dyDescent="0.3">
      <c r="A405" s="4">
        <v>45545</v>
      </c>
      <c r="B405" s="2">
        <v>206</v>
      </c>
      <c r="C405" s="2">
        <v>411</v>
      </c>
      <c r="D405" s="2">
        <v>293</v>
      </c>
      <c r="E405">
        <v>7577</v>
      </c>
      <c r="F405">
        <v>194</v>
      </c>
      <c r="G405" s="2">
        <f t="shared" si="78"/>
        <v>7988</v>
      </c>
      <c r="H405">
        <f t="shared" si="79"/>
        <v>7383</v>
      </c>
      <c r="I405" s="13">
        <f t="shared" si="80"/>
        <v>-8.8040092103480964E-3</v>
      </c>
      <c r="J405" t="str">
        <f t="shared" si="81"/>
        <v>No Backlog</v>
      </c>
      <c r="K405" s="13">
        <f t="shared" si="82"/>
        <v>0.92426139208813218</v>
      </c>
      <c r="L405" s="13">
        <f t="shared" si="83"/>
        <v>6.4698297446169253</v>
      </c>
      <c r="M405" s="13">
        <f t="shared" si="84"/>
        <v>27.727841762643965</v>
      </c>
      <c r="N405" t="b">
        <f t="shared" si="85"/>
        <v>1</v>
      </c>
      <c r="O405">
        <f t="shared" si="86"/>
        <v>37</v>
      </c>
      <c r="P405" s="13">
        <f t="shared" si="87"/>
        <v>0.92465888280623609</v>
      </c>
      <c r="Q405" s="13">
        <f t="shared" si="88"/>
        <v>0.92291916573461297</v>
      </c>
      <c r="R405" s="15" t="b">
        <f t="shared" si="89"/>
        <v>0</v>
      </c>
      <c r="S405" s="13">
        <f t="shared" si="90"/>
        <v>2.42864296444667E-2</v>
      </c>
    </row>
    <row r="406" spans="1:19" x14ac:dyDescent="0.3">
      <c r="A406" s="4">
        <v>45546</v>
      </c>
      <c r="B406" s="2">
        <v>197</v>
      </c>
      <c r="C406" s="2">
        <v>437</v>
      </c>
      <c r="D406" s="2">
        <v>295</v>
      </c>
      <c r="E406">
        <v>7508</v>
      </c>
      <c r="F406">
        <v>190</v>
      </c>
      <c r="G406" s="2">
        <f t="shared" si="78"/>
        <v>7945</v>
      </c>
      <c r="H406">
        <f t="shared" si="79"/>
        <v>7318</v>
      </c>
      <c r="I406" s="13">
        <f t="shared" si="80"/>
        <v>-3.0062858704564088E-3</v>
      </c>
      <c r="J406" t="str">
        <f t="shared" si="81"/>
        <v>No Backlog</v>
      </c>
      <c r="K406" s="13">
        <f t="shared" si="82"/>
        <v>0.9210824417872876</v>
      </c>
      <c r="L406" s="13">
        <f t="shared" si="83"/>
        <v>6.447577092511013</v>
      </c>
      <c r="M406" s="13">
        <f t="shared" si="84"/>
        <v>27.632473253618627</v>
      </c>
      <c r="N406" t="b">
        <f t="shared" si="85"/>
        <v>1</v>
      </c>
      <c r="O406">
        <f t="shared" si="86"/>
        <v>37</v>
      </c>
      <c r="P406" s="13">
        <f t="shared" si="87"/>
        <v>0.92260505643597535</v>
      </c>
      <c r="Q406" s="13">
        <f t="shared" si="88"/>
        <v>0.92517466877451437</v>
      </c>
      <c r="R406" s="15" t="b">
        <f t="shared" si="89"/>
        <v>0</v>
      </c>
      <c r="S406" s="13">
        <f t="shared" si="90"/>
        <v>2.3914411579609818E-2</v>
      </c>
    </row>
    <row r="407" spans="1:19" x14ac:dyDescent="0.3">
      <c r="A407" s="4">
        <v>45547</v>
      </c>
      <c r="B407" s="2">
        <v>220</v>
      </c>
      <c r="C407" s="2">
        <v>443</v>
      </c>
      <c r="D407" s="2">
        <v>194</v>
      </c>
      <c r="E407">
        <v>7431</v>
      </c>
      <c r="F407">
        <v>135</v>
      </c>
      <c r="G407" s="2">
        <f t="shared" si="78"/>
        <v>7874</v>
      </c>
      <c r="H407">
        <f t="shared" si="79"/>
        <v>7296</v>
      </c>
      <c r="I407" s="13">
        <f t="shared" si="80"/>
        <v>-1.5076754385964912E-2</v>
      </c>
      <c r="J407" t="str">
        <f t="shared" si="81"/>
        <v>No Backlog</v>
      </c>
      <c r="K407" s="13">
        <f t="shared" si="82"/>
        <v>0.92659385318770637</v>
      </c>
      <c r="L407" s="13">
        <f t="shared" si="83"/>
        <v>6.4861569723139443</v>
      </c>
      <c r="M407" s="13">
        <f t="shared" si="84"/>
        <v>27.797815595631192</v>
      </c>
      <c r="N407" t="b">
        <f t="shared" si="85"/>
        <v>1</v>
      </c>
      <c r="O407">
        <f t="shared" si="86"/>
        <v>37</v>
      </c>
      <c r="P407" s="13">
        <f t="shared" si="87"/>
        <v>0.91913245199880955</v>
      </c>
      <c r="Q407" s="13">
        <f t="shared" si="88"/>
        <v>0.92438783568476235</v>
      </c>
      <c r="R407" s="15" t="b">
        <f t="shared" si="89"/>
        <v>0</v>
      </c>
      <c r="S407" s="13">
        <f t="shared" si="90"/>
        <v>1.714503429006858E-2</v>
      </c>
    </row>
    <row r="408" spans="1:19" x14ac:dyDescent="0.3">
      <c r="A408" s="4">
        <v>45548</v>
      </c>
      <c r="B408" s="2">
        <v>140</v>
      </c>
      <c r="C408" s="2">
        <v>292</v>
      </c>
      <c r="D408" s="2">
        <v>255</v>
      </c>
      <c r="E408">
        <v>7373</v>
      </c>
      <c r="F408">
        <v>187</v>
      </c>
      <c r="G408" s="2">
        <f t="shared" si="78"/>
        <v>7665</v>
      </c>
      <c r="H408">
        <f t="shared" si="79"/>
        <v>7186</v>
      </c>
      <c r="I408" s="13">
        <f t="shared" si="80"/>
        <v>-1.9204007792930699E-2</v>
      </c>
      <c r="J408" t="str">
        <f t="shared" si="81"/>
        <v>No Backlog</v>
      </c>
      <c r="K408" s="13">
        <f t="shared" si="82"/>
        <v>0.9375081539465101</v>
      </c>
      <c r="L408" s="13">
        <f t="shared" si="83"/>
        <v>6.5625570776255708</v>
      </c>
      <c r="M408" s="13">
        <f t="shared" si="84"/>
        <v>28.125244618395303</v>
      </c>
      <c r="N408" t="b">
        <f t="shared" si="85"/>
        <v>1</v>
      </c>
      <c r="O408">
        <f t="shared" si="86"/>
        <v>37</v>
      </c>
      <c r="P408" s="13">
        <f t="shared" si="87"/>
        <v>0.9252453050434305</v>
      </c>
      <c r="Q408" s="13">
        <f t="shared" si="88"/>
        <v>0.93328512982619216</v>
      </c>
      <c r="R408" s="15" t="b">
        <f t="shared" si="89"/>
        <v>0</v>
      </c>
      <c r="S408" s="13">
        <f t="shared" si="90"/>
        <v>2.4396607958251795E-2</v>
      </c>
    </row>
    <row r="409" spans="1:19" x14ac:dyDescent="0.3">
      <c r="A409" s="4">
        <v>45550</v>
      </c>
      <c r="B409" s="2">
        <v>158</v>
      </c>
      <c r="C409" s="2">
        <v>349</v>
      </c>
      <c r="D409" s="2">
        <v>365</v>
      </c>
      <c r="E409">
        <v>7298</v>
      </c>
      <c r="F409">
        <v>250</v>
      </c>
      <c r="G409" s="2">
        <f t="shared" si="78"/>
        <v>7647</v>
      </c>
      <c r="H409">
        <f t="shared" si="79"/>
        <v>7048</v>
      </c>
      <c r="I409" s="13">
        <f t="shared" si="80"/>
        <v>-7.9455164585698068E-3</v>
      </c>
      <c r="J409" t="str">
        <f t="shared" si="81"/>
        <v>No Backlog</v>
      </c>
      <c r="K409" s="13">
        <f t="shared" si="82"/>
        <v>0.92166862822021711</v>
      </c>
      <c r="L409" s="13">
        <f t="shared" si="83"/>
        <v>6.4516803975415193</v>
      </c>
      <c r="M409" s="13">
        <f t="shared" si="84"/>
        <v>27.650058846606512</v>
      </c>
      <c r="N409" t="b">
        <f t="shared" si="85"/>
        <v>0</v>
      </c>
      <c r="O409">
        <f t="shared" si="86"/>
        <v>38</v>
      </c>
      <c r="P409" s="13">
        <f t="shared" si="87"/>
        <v>0.91955771836542777</v>
      </c>
      <c r="Q409" s="13">
        <f t="shared" si="88"/>
        <v>0.92832016251546545</v>
      </c>
      <c r="R409" s="15" t="b">
        <f t="shared" si="89"/>
        <v>0</v>
      </c>
      <c r="S409" s="13">
        <f t="shared" si="90"/>
        <v>3.2692559173532101E-2</v>
      </c>
    </row>
    <row r="410" spans="1:19" x14ac:dyDescent="0.3">
      <c r="A410" s="4">
        <v>45551</v>
      </c>
      <c r="B410" s="2">
        <v>145</v>
      </c>
      <c r="C410" s="2">
        <v>357</v>
      </c>
      <c r="D410" s="2">
        <v>333</v>
      </c>
      <c r="E410">
        <v>7209</v>
      </c>
      <c r="F410">
        <v>217</v>
      </c>
      <c r="G410" s="2">
        <f t="shared" si="78"/>
        <v>7566</v>
      </c>
      <c r="H410">
        <f t="shared" si="79"/>
        <v>6992</v>
      </c>
      <c r="I410" s="13">
        <f t="shared" si="80"/>
        <v>-2.574370709382151E-3</v>
      </c>
      <c r="J410" t="str">
        <f t="shared" si="81"/>
        <v>No Backlog</v>
      </c>
      <c r="K410" s="13">
        <f t="shared" si="82"/>
        <v>0.92413428495902727</v>
      </c>
      <c r="L410" s="13">
        <f t="shared" si="83"/>
        <v>6.4689399947131907</v>
      </c>
      <c r="M410" s="13">
        <f t="shared" si="84"/>
        <v>27.724028548770818</v>
      </c>
      <c r="N410" t="b">
        <f t="shared" si="85"/>
        <v>1</v>
      </c>
      <c r="O410">
        <f t="shared" si="86"/>
        <v>38</v>
      </c>
      <c r="P410" s="13">
        <f t="shared" si="87"/>
        <v>0.91993072759789019</v>
      </c>
      <c r="Q410" s="13">
        <f t="shared" si="88"/>
        <v>0.9372527350008224</v>
      </c>
      <c r="R410" s="15" t="b">
        <f t="shared" si="89"/>
        <v>0</v>
      </c>
      <c r="S410" s="13">
        <f t="shared" si="90"/>
        <v>2.8680941052075071E-2</v>
      </c>
    </row>
    <row r="411" spans="1:19" x14ac:dyDescent="0.3">
      <c r="A411" s="4">
        <v>45552</v>
      </c>
      <c r="B411" s="2">
        <v>253</v>
      </c>
      <c r="C411" s="2">
        <v>411</v>
      </c>
      <c r="D411" s="2">
        <v>307</v>
      </c>
      <c r="E411">
        <v>7128</v>
      </c>
      <c r="F411">
        <v>154</v>
      </c>
      <c r="G411" s="2">
        <f t="shared" si="78"/>
        <v>7539</v>
      </c>
      <c r="H411">
        <f t="shared" si="79"/>
        <v>6974</v>
      </c>
      <c r="I411" s="13">
        <f t="shared" si="80"/>
        <v>-2.0217952394608545E-2</v>
      </c>
      <c r="J411" t="str">
        <f t="shared" si="81"/>
        <v>No Backlog</v>
      </c>
      <c r="K411" s="13">
        <f t="shared" si="82"/>
        <v>0.92505637352434011</v>
      </c>
      <c r="L411" s="13">
        <f t="shared" si="83"/>
        <v>6.4753946146703809</v>
      </c>
      <c r="M411" s="13">
        <f t="shared" si="84"/>
        <v>27.751691205730204</v>
      </c>
      <c r="N411" t="b">
        <f t="shared" si="85"/>
        <v>1</v>
      </c>
      <c r="O411">
        <f t="shared" si="86"/>
        <v>38</v>
      </c>
      <c r="P411" s="13">
        <f t="shared" si="87"/>
        <v>0.92331665645271688</v>
      </c>
      <c r="Q411" s="13">
        <f t="shared" si="88"/>
        <v>0.9328108135285873</v>
      </c>
      <c r="R411" s="15" t="b">
        <f t="shared" si="89"/>
        <v>0</v>
      </c>
      <c r="S411" s="13">
        <f t="shared" si="90"/>
        <v>2.0427112349117919E-2</v>
      </c>
    </row>
    <row r="412" spans="1:19" x14ac:dyDescent="0.3">
      <c r="A412" s="4">
        <v>45553</v>
      </c>
      <c r="B412" s="2">
        <v>252</v>
      </c>
      <c r="C412" s="2">
        <v>427</v>
      </c>
      <c r="D412" s="2">
        <v>307</v>
      </c>
      <c r="E412">
        <v>6967</v>
      </c>
      <c r="F412">
        <v>134</v>
      </c>
      <c r="G412" s="2">
        <f t="shared" si="78"/>
        <v>7394</v>
      </c>
      <c r="H412">
        <f t="shared" si="79"/>
        <v>6833</v>
      </c>
      <c r="I412" s="13">
        <f t="shared" si="80"/>
        <v>-3.6294453387970146E-2</v>
      </c>
      <c r="J412" t="str">
        <f t="shared" si="81"/>
        <v>No Backlog</v>
      </c>
      <c r="K412" s="13">
        <f t="shared" si="82"/>
        <v>0.9241276710846632</v>
      </c>
      <c r="L412" s="13">
        <f t="shared" si="83"/>
        <v>6.4688936975926428</v>
      </c>
      <c r="M412" s="13">
        <f t="shared" si="84"/>
        <v>27.723830132539895</v>
      </c>
      <c r="N412" t="b">
        <f t="shared" si="85"/>
        <v>1</v>
      </c>
      <c r="O412">
        <f t="shared" si="86"/>
        <v>38</v>
      </c>
      <c r="P412" s="13">
        <f t="shared" si="87"/>
        <v>0.92669728342320212</v>
      </c>
      <c r="Q412" s="13">
        <f t="shared" si="88"/>
        <v>0.92619622717783923</v>
      </c>
      <c r="R412" s="15" t="b">
        <f t="shared" si="89"/>
        <v>0</v>
      </c>
      <c r="S412" s="13">
        <f t="shared" si="90"/>
        <v>1.8122802272112524E-2</v>
      </c>
    </row>
    <row r="413" spans="1:19" x14ac:dyDescent="0.3">
      <c r="A413" s="4">
        <v>45554</v>
      </c>
      <c r="B413" s="2">
        <v>176</v>
      </c>
      <c r="C413" s="2">
        <v>424</v>
      </c>
      <c r="D413" s="2">
        <v>251</v>
      </c>
      <c r="E413">
        <v>6799</v>
      </c>
      <c r="F413">
        <v>214</v>
      </c>
      <c r="G413" s="2">
        <f t="shared" si="78"/>
        <v>7223</v>
      </c>
      <c r="H413">
        <f t="shared" si="79"/>
        <v>6585</v>
      </c>
      <c r="I413" s="13">
        <f t="shared" si="80"/>
        <v>-1.2148823082763858E-2</v>
      </c>
      <c r="J413" t="str">
        <f t="shared" si="81"/>
        <v>No Backlog</v>
      </c>
      <c r="K413" s="13">
        <f t="shared" si="82"/>
        <v>0.91167105080991273</v>
      </c>
      <c r="L413" s="13">
        <f t="shared" si="83"/>
        <v>6.381697355669389</v>
      </c>
      <c r="M413" s="13">
        <f t="shared" si="84"/>
        <v>27.350131524297382</v>
      </c>
      <c r="N413" t="b">
        <f t="shared" si="85"/>
        <v>1</v>
      </c>
      <c r="O413">
        <f t="shared" si="86"/>
        <v>38</v>
      </c>
      <c r="P413" s="13">
        <f t="shared" si="87"/>
        <v>0.91692643449586542</v>
      </c>
      <c r="Q413" s="13">
        <f t="shared" si="88"/>
        <v>0.92594025826986415</v>
      </c>
      <c r="R413" s="15" t="b">
        <f t="shared" si="89"/>
        <v>0</v>
      </c>
      <c r="S413" s="13">
        <f t="shared" si="90"/>
        <v>2.9627578568461859E-2</v>
      </c>
    </row>
    <row r="414" spans="1:19" x14ac:dyDescent="0.3">
      <c r="A414" s="4">
        <v>45557</v>
      </c>
      <c r="B414" s="2">
        <v>208</v>
      </c>
      <c r="C414" s="2">
        <v>380</v>
      </c>
      <c r="D414" s="2">
        <v>343</v>
      </c>
      <c r="E414">
        <v>6745</v>
      </c>
      <c r="F414">
        <v>240</v>
      </c>
      <c r="G414" s="2">
        <f t="shared" si="78"/>
        <v>7125</v>
      </c>
      <c r="H414">
        <f t="shared" si="79"/>
        <v>6505</v>
      </c>
      <c r="I414" s="13">
        <f t="shared" si="80"/>
        <v>-5.6879323597232899E-3</v>
      </c>
      <c r="J414" t="str">
        <f t="shared" si="81"/>
        <v>No Backlog</v>
      </c>
      <c r="K414" s="13">
        <f t="shared" si="82"/>
        <v>0.9129824561403509</v>
      </c>
      <c r="L414" s="13">
        <f t="shared" si="83"/>
        <v>6.3908771929824564</v>
      </c>
      <c r="M414" s="13">
        <f t="shared" si="84"/>
        <v>27.389473684210525</v>
      </c>
      <c r="N414" t="b">
        <f t="shared" si="85"/>
        <v>1</v>
      </c>
      <c r="O414">
        <f t="shared" si="86"/>
        <v>39</v>
      </c>
      <c r="P414" s="13">
        <f t="shared" si="87"/>
        <v>0.92102228092311256</v>
      </c>
      <c r="Q414" s="13">
        <f t="shared" si="88"/>
        <v>0.93055405805961577</v>
      </c>
      <c r="R414" s="15" t="b">
        <f t="shared" si="89"/>
        <v>0</v>
      </c>
      <c r="S414" s="13">
        <f t="shared" si="90"/>
        <v>3.3684210526315789E-2</v>
      </c>
    </row>
    <row r="415" spans="1:19" x14ac:dyDescent="0.3">
      <c r="A415" s="4">
        <v>45558</v>
      </c>
      <c r="B415" s="2">
        <v>144</v>
      </c>
      <c r="C415" s="2">
        <v>322</v>
      </c>
      <c r="D415" s="2">
        <v>258</v>
      </c>
      <c r="E415">
        <v>6728</v>
      </c>
      <c r="F415">
        <v>260</v>
      </c>
      <c r="G415" s="2">
        <f t="shared" si="78"/>
        <v>7050</v>
      </c>
      <c r="H415">
        <f t="shared" si="79"/>
        <v>6468</v>
      </c>
      <c r="I415" s="13">
        <f t="shared" si="80"/>
        <v>4.6382189239332098E-3</v>
      </c>
      <c r="J415" t="str">
        <f t="shared" si="81"/>
        <v>Backlog</v>
      </c>
      <c r="K415" s="13">
        <f t="shared" si="82"/>
        <v>0.91744680851063831</v>
      </c>
      <c r="L415" s="13">
        <f t="shared" si="83"/>
        <v>6.4221276595744685</v>
      </c>
      <c r="M415" s="13">
        <f t="shared" si="84"/>
        <v>27.52340425531915</v>
      </c>
      <c r="N415" t="b">
        <f t="shared" si="85"/>
        <v>1</v>
      </c>
      <c r="O415">
        <f t="shared" si="86"/>
        <v>39</v>
      </c>
      <c r="P415" s="13">
        <f t="shared" si="87"/>
        <v>0.926209252660676</v>
      </c>
      <c r="Q415" s="13">
        <f t="shared" si="88"/>
        <v>0.93481323252480397</v>
      </c>
      <c r="R415" s="15" t="str">
        <f t="shared" si="89"/>
        <v>STRAIN</v>
      </c>
      <c r="S415" s="13">
        <f t="shared" si="90"/>
        <v>3.6879432624113473E-2</v>
      </c>
    </row>
    <row r="416" spans="1:19" x14ac:dyDescent="0.3">
      <c r="A416" s="4">
        <v>45559</v>
      </c>
      <c r="B416" s="2">
        <v>182</v>
      </c>
      <c r="C416" s="2">
        <v>371</v>
      </c>
      <c r="D416" s="2">
        <v>274</v>
      </c>
      <c r="E416">
        <v>6725</v>
      </c>
      <c r="F416">
        <v>227</v>
      </c>
      <c r="G416" s="2">
        <f t="shared" si="78"/>
        <v>7096</v>
      </c>
      <c r="H416">
        <f t="shared" si="79"/>
        <v>6498</v>
      </c>
      <c r="I416" s="13">
        <f t="shared" si="80"/>
        <v>3.6934441366574329E-3</v>
      </c>
      <c r="J416" t="str">
        <f t="shared" si="81"/>
        <v>Backlog</v>
      </c>
      <c r="K416" s="13">
        <f t="shared" si="82"/>
        <v>0.9157271702367531</v>
      </c>
      <c r="L416" s="13">
        <f t="shared" si="83"/>
        <v>6.4100901916572717</v>
      </c>
      <c r="M416" s="13">
        <f t="shared" si="84"/>
        <v>27.471815107102593</v>
      </c>
      <c r="N416" t="b">
        <f t="shared" si="85"/>
        <v>1</v>
      </c>
      <c r="O416">
        <f t="shared" si="86"/>
        <v>39</v>
      </c>
      <c r="P416" s="13">
        <f t="shared" si="87"/>
        <v>0.93304917763968531</v>
      </c>
      <c r="Q416" s="13">
        <f t="shared" si="88"/>
        <v>0.93075194110025772</v>
      </c>
      <c r="R416" s="15" t="str">
        <f t="shared" si="89"/>
        <v>STRAIN</v>
      </c>
      <c r="S416" s="13">
        <f t="shared" si="90"/>
        <v>3.1989853438556932E-2</v>
      </c>
    </row>
    <row r="417" spans="1:19" x14ac:dyDescent="0.3">
      <c r="A417" s="4">
        <v>45560</v>
      </c>
      <c r="B417" s="2">
        <v>219</v>
      </c>
      <c r="C417" s="2">
        <v>392</v>
      </c>
      <c r="D417" s="2">
        <v>205</v>
      </c>
      <c r="E417">
        <v>6685</v>
      </c>
      <c r="F417">
        <v>163</v>
      </c>
      <c r="G417" s="2">
        <f t="shared" si="78"/>
        <v>7077</v>
      </c>
      <c r="H417">
        <f t="shared" si="79"/>
        <v>6522</v>
      </c>
      <c r="I417" s="13">
        <f t="shared" si="80"/>
        <v>-4.9064704078503529E-3</v>
      </c>
      <c r="J417" t="str">
        <f t="shared" si="81"/>
        <v>No Backlog</v>
      </c>
      <c r="K417" s="13">
        <f t="shared" si="82"/>
        <v>0.92157693938109364</v>
      </c>
      <c r="L417" s="13">
        <f t="shared" si="83"/>
        <v>6.4510385756676554</v>
      </c>
      <c r="M417" s="13">
        <f t="shared" si="84"/>
        <v>27.647308181432809</v>
      </c>
      <c r="N417" t="b">
        <f t="shared" si="85"/>
        <v>1</v>
      </c>
      <c r="O417">
        <f t="shared" si="86"/>
        <v>39</v>
      </c>
      <c r="P417" s="13">
        <f t="shared" si="87"/>
        <v>0.93107109645696418</v>
      </c>
      <c r="Q417" s="13">
        <f t="shared" si="88"/>
        <v>0.92477462333187288</v>
      </c>
      <c r="R417" s="15" t="b">
        <f t="shared" si="89"/>
        <v>0</v>
      </c>
      <c r="S417" s="13">
        <f t="shared" si="90"/>
        <v>2.3032358343931043E-2</v>
      </c>
    </row>
    <row r="418" spans="1:19" x14ac:dyDescent="0.3">
      <c r="A418" s="4">
        <v>45561</v>
      </c>
      <c r="B418" s="2">
        <v>144</v>
      </c>
      <c r="C418" s="2">
        <v>303</v>
      </c>
      <c r="D418" s="2">
        <v>176</v>
      </c>
      <c r="E418">
        <v>6681</v>
      </c>
      <c r="F418">
        <v>191</v>
      </c>
      <c r="G418" s="2">
        <f t="shared" si="78"/>
        <v>6984</v>
      </c>
      <c r="H418">
        <f t="shared" si="79"/>
        <v>6490</v>
      </c>
      <c r="I418" s="13">
        <f t="shared" si="80"/>
        <v>-2.3112480739599383E-2</v>
      </c>
      <c r="J418" t="str">
        <f t="shared" si="81"/>
        <v>No Backlog</v>
      </c>
      <c r="K418" s="13">
        <f t="shared" si="82"/>
        <v>0.92926689576174115</v>
      </c>
      <c r="L418" s="13">
        <f t="shared" si="83"/>
        <v>6.5048682703321878</v>
      </c>
      <c r="M418" s="13">
        <f t="shared" si="84"/>
        <v>27.878006872852236</v>
      </c>
      <c r="N418" t="b">
        <f t="shared" si="85"/>
        <v>1</v>
      </c>
      <c r="O418">
        <f t="shared" si="86"/>
        <v>39</v>
      </c>
      <c r="P418" s="13">
        <f t="shared" si="87"/>
        <v>0.92876583951637814</v>
      </c>
      <c r="Q418" s="13">
        <f t="shared" si="88"/>
        <v>0.92438500067590157</v>
      </c>
      <c r="R418" s="15" t="b">
        <f t="shared" si="89"/>
        <v>0</v>
      </c>
      <c r="S418" s="13">
        <f t="shared" si="90"/>
        <v>2.7348224513172967E-2</v>
      </c>
    </row>
    <row r="419" spans="1:19" x14ac:dyDescent="0.3">
      <c r="A419" s="4">
        <v>45564</v>
      </c>
      <c r="B419" s="2">
        <v>128</v>
      </c>
      <c r="C419" s="2">
        <v>245</v>
      </c>
      <c r="D419" s="2">
        <v>243</v>
      </c>
      <c r="E419">
        <v>6630</v>
      </c>
      <c r="F419">
        <v>290</v>
      </c>
      <c r="G419" s="2">
        <f t="shared" si="78"/>
        <v>6875</v>
      </c>
      <c r="H419">
        <f t="shared" si="79"/>
        <v>6340</v>
      </c>
      <c r="I419" s="13">
        <f t="shared" si="80"/>
        <v>4.5268138801261827E-2</v>
      </c>
      <c r="J419" t="str">
        <f t="shared" si="81"/>
        <v>Backlog</v>
      </c>
      <c r="K419" s="13">
        <f t="shared" si="82"/>
        <v>0.92218181818181821</v>
      </c>
      <c r="L419" s="13">
        <f t="shared" si="83"/>
        <v>6.4552727272727273</v>
      </c>
      <c r="M419" s="13">
        <f t="shared" si="84"/>
        <v>27.665454545454548</v>
      </c>
      <c r="N419" t="b">
        <f t="shared" si="85"/>
        <v>1</v>
      </c>
      <c r="O419">
        <f t="shared" si="86"/>
        <v>40</v>
      </c>
      <c r="P419" s="13">
        <f t="shared" si="87"/>
        <v>0.93119564195581694</v>
      </c>
      <c r="Q419" s="13">
        <f t="shared" si="88"/>
        <v>0.93040631251389194</v>
      </c>
      <c r="R419" s="15" t="str">
        <f t="shared" si="89"/>
        <v>STRAIN</v>
      </c>
      <c r="S419" s="13">
        <f t="shared" si="90"/>
        <v>4.2181818181818181E-2</v>
      </c>
    </row>
    <row r="420" spans="1:19" x14ac:dyDescent="0.3">
      <c r="A420" s="4">
        <v>45565</v>
      </c>
      <c r="B420" s="2">
        <v>183</v>
      </c>
      <c r="C420" s="2">
        <v>221</v>
      </c>
      <c r="D420" s="2">
        <v>220</v>
      </c>
      <c r="E420">
        <v>6912</v>
      </c>
      <c r="F420">
        <v>285</v>
      </c>
      <c r="G420" s="2">
        <f t="shared" si="78"/>
        <v>7133</v>
      </c>
      <c r="H420">
        <f t="shared" si="79"/>
        <v>6627</v>
      </c>
      <c r="I420" s="13">
        <f t="shared" si="80"/>
        <v>2.1880187113324279E-2</v>
      </c>
      <c r="J420" t="str">
        <f t="shared" si="81"/>
        <v>Backlog</v>
      </c>
      <c r="K420" s="13">
        <f t="shared" si="82"/>
        <v>0.92906210570587411</v>
      </c>
      <c r="L420" s="13">
        <f t="shared" si="83"/>
        <v>6.5034347399411185</v>
      </c>
      <c r="M420" s="13">
        <f t="shared" si="84"/>
        <v>27.871863171176223</v>
      </c>
      <c r="N420" t="b">
        <f t="shared" si="85"/>
        <v>1</v>
      </c>
      <c r="O420">
        <f t="shared" si="86"/>
        <v>40</v>
      </c>
      <c r="P420" s="13">
        <f t="shared" si="87"/>
        <v>0.93859388284237744</v>
      </c>
      <c r="Q420" s="13">
        <f t="shared" si="88"/>
        <v>0.93500085151065515</v>
      </c>
      <c r="R420" s="15" t="str">
        <f t="shared" si="89"/>
        <v>STRAIN</v>
      </c>
      <c r="S420" s="13">
        <f t="shared" si="90"/>
        <v>3.995513809056498E-2</v>
      </c>
    </row>
    <row r="421" spans="1:19" x14ac:dyDescent="0.3">
      <c r="A421" s="4">
        <v>45566</v>
      </c>
      <c r="B421" s="2">
        <v>117</v>
      </c>
      <c r="C421" s="2">
        <v>244</v>
      </c>
      <c r="D421" s="2">
        <v>142</v>
      </c>
      <c r="E421">
        <v>6999</v>
      </c>
      <c r="F421">
        <v>227</v>
      </c>
      <c r="G421" s="2">
        <f t="shared" si="78"/>
        <v>7243</v>
      </c>
      <c r="H421">
        <f t="shared" si="79"/>
        <v>6772</v>
      </c>
      <c r="I421" s="13">
        <f t="shared" si="80"/>
        <v>2.0821027761370348E-2</v>
      </c>
      <c r="J421" t="str">
        <f t="shared" si="81"/>
        <v>Backlog</v>
      </c>
      <c r="K421" s="13">
        <f t="shared" si="82"/>
        <v>0.93497169681071379</v>
      </c>
      <c r="L421" s="13">
        <f t="shared" si="83"/>
        <v>6.5448018776749963</v>
      </c>
      <c r="M421" s="13">
        <f t="shared" si="84"/>
        <v>28.049150904321415</v>
      </c>
      <c r="N421" t="b">
        <f t="shared" si="85"/>
        <v>1</v>
      </c>
      <c r="O421">
        <f t="shared" si="86"/>
        <v>40</v>
      </c>
      <c r="P421" s="13">
        <f t="shared" si="87"/>
        <v>0.94357567667484177</v>
      </c>
      <c r="Q421" s="13">
        <f t="shared" si="88"/>
        <v>0.93855819823952968</v>
      </c>
      <c r="R421" s="15" t="str">
        <f t="shared" si="89"/>
        <v>STRAIN</v>
      </c>
      <c r="S421" s="13">
        <f t="shared" si="90"/>
        <v>3.1340604721800357E-2</v>
      </c>
    </row>
    <row r="422" spans="1:19" x14ac:dyDescent="0.3">
      <c r="A422" s="4">
        <v>45567</v>
      </c>
      <c r="B422" s="2">
        <v>118</v>
      </c>
      <c r="C422" s="2">
        <v>231</v>
      </c>
      <c r="D422" s="2">
        <v>217</v>
      </c>
      <c r="E422">
        <v>7043</v>
      </c>
      <c r="F422">
        <v>130</v>
      </c>
      <c r="G422" s="2">
        <f t="shared" si="78"/>
        <v>7274</v>
      </c>
      <c r="H422">
        <f t="shared" si="79"/>
        <v>6913</v>
      </c>
      <c r="I422" s="13">
        <f t="shared" si="80"/>
        <v>-1.7937219730941704E-2</v>
      </c>
      <c r="J422" t="str">
        <f t="shared" si="81"/>
        <v>No Backlog</v>
      </c>
      <c r="K422" s="13">
        <f t="shared" si="82"/>
        <v>0.95037118504261753</v>
      </c>
      <c r="L422" s="13">
        <f t="shared" si="83"/>
        <v>6.6525982952983229</v>
      </c>
      <c r="M422" s="13">
        <f t="shared" si="84"/>
        <v>28.511135551278525</v>
      </c>
      <c r="N422" t="b">
        <f t="shared" si="85"/>
        <v>1</v>
      </c>
      <c r="O422">
        <f t="shared" si="86"/>
        <v>40</v>
      </c>
      <c r="P422" s="13">
        <f t="shared" si="87"/>
        <v>0.94807394850318993</v>
      </c>
      <c r="Q422" s="13">
        <f t="shared" si="88"/>
        <v>0.93616807445197159</v>
      </c>
      <c r="R422" s="15" t="b">
        <f t="shared" si="89"/>
        <v>0</v>
      </c>
      <c r="S422" s="13">
        <f t="shared" si="90"/>
        <v>1.7871872422326091E-2</v>
      </c>
    </row>
    <row r="423" spans="1:19" x14ac:dyDescent="0.3">
      <c r="A423" s="4">
        <v>45568</v>
      </c>
      <c r="B423" s="2">
        <v>102</v>
      </c>
      <c r="C423" s="2">
        <v>230</v>
      </c>
      <c r="D423" s="2">
        <v>167</v>
      </c>
      <c r="E423">
        <v>6988</v>
      </c>
      <c r="F423">
        <v>199</v>
      </c>
      <c r="G423" s="2">
        <f t="shared" si="78"/>
        <v>7218</v>
      </c>
      <c r="H423">
        <f t="shared" si="79"/>
        <v>6789</v>
      </c>
      <c r="I423" s="13">
        <f t="shared" si="80"/>
        <v>-1.2667550449256149E-2</v>
      </c>
      <c r="J423" t="str">
        <f t="shared" si="81"/>
        <v>No Backlog</v>
      </c>
      <c r="K423" s="13">
        <f t="shared" si="82"/>
        <v>0.9405652535328346</v>
      </c>
      <c r="L423" s="13">
        <f t="shared" si="83"/>
        <v>6.5839567747298418</v>
      </c>
      <c r="M423" s="13">
        <f t="shared" si="84"/>
        <v>28.216957605985037</v>
      </c>
      <c r="N423" t="b">
        <f t="shared" si="85"/>
        <v>1</v>
      </c>
      <c r="O423">
        <f t="shared" si="86"/>
        <v>40</v>
      </c>
      <c r="P423" s="13">
        <f t="shared" si="87"/>
        <v>0.93426878040774342</v>
      </c>
      <c r="Q423" s="13">
        <f t="shared" si="88"/>
        <v>0.94128695273391405</v>
      </c>
      <c r="R423" s="15" t="b">
        <f t="shared" si="89"/>
        <v>0</v>
      </c>
      <c r="S423" s="13">
        <f t="shared" si="90"/>
        <v>2.7569963978941535E-2</v>
      </c>
    </row>
    <row r="424" spans="1:19" x14ac:dyDescent="0.3">
      <c r="A424" s="4">
        <v>45572</v>
      </c>
      <c r="B424" s="2">
        <v>106</v>
      </c>
      <c r="C424" s="2">
        <v>239</v>
      </c>
      <c r="D424" s="2">
        <v>233</v>
      </c>
      <c r="E424">
        <v>6982</v>
      </c>
      <c r="F424">
        <v>279</v>
      </c>
      <c r="G424" s="2">
        <f t="shared" si="78"/>
        <v>7221</v>
      </c>
      <c r="H424">
        <f t="shared" si="79"/>
        <v>6703</v>
      </c>
      <c r="I424" s="13">
        <f t="shared" si="80"/>
        <v>5.8033716246456812E-2</v>
      </c>
      <c r="J424" t="str">
        <f t="shared" si="81"/>
        <v>Backlog</v>
      </c>
      <c r="K424" s="13">
        <f t="shared" si="82"/>
        <v>0.92826478327101514</v>
      </c>
      <c r="L424" s="13">
        <f t="shared" si="83"/>
        <v>6.4978534828971064</v>
      </c>
      <c r="M424" s="13">
        <f t="shared" si="84"/>
        <v>27.847943498130455</v>
      </c>
      <c r="N424" t="b">
        <f t="shared" si="85"/>
        <v>1</v>
      </c>
      <c r="O424">
        <f t="shared" si="86"/>
        <v>41</v>
      </c>
      <c r="P424" s="13">
        <f t="shared" si="87"/>
        <v>0.92388394443053867</v>
      </c>
      <c r="Q424" s="13">
        <f t="shared" si="88"/>
        <v>0.94026157487913031</v>
      </c>
      <c r="R424" s="15" t="str">
        <f t="shared" si="89"/>
        <v>STRAIN</v>
      </c>
      <c r="S424" s="13">
        <f t="shared" si="90"/>
        <v>3.8637307852098048E-2</v>
      </c>
    </row>
    <row r="425" spans="1:19" x14ac:dyDescent="0.3">
      <c r="A425" s="4">
        <v>45573</v>
      </c>
      <c r="B425" s="2">
        <v>95</v>
      </c>
      <c r="C425" s="2">
        <v>226</v>
      </c>
      <c r="D425" s="2">
        <v>152</v>
      </c>
      <c r="E425">
        <v>7317</v>
      </c>
      <c r="F425">
        <v>225</v>
      </c>
      <c r="G425" s="2">
        <f t="shared" si="78"/>
        <v>7543</v>
      </c>
      <c r="H425">
        <f t="shared" si="79"/>
        <v>7092</v>
      </c>
      <c r="I425" s="13">
        <f t="shared" si="80"/>
        <v>1.2831359278059786E-2</v>
      </c>
      <c r="J425" t="str">
        <f t="shared" si="81"/>
        <v>Backlog</v>
      </c>
      <c r="K425" s="13">
        <f t="shared" si="82"/>
        <v>0.94020946572981567</v>
      </c>
      <c r="L425" s="13">
        <f t="shared" si="83"/>
        <v>6.5814662601087095</v>
      </c>
      <c r="M425" s="13">
        <f t="shared" si="84"/>
        <v>28.206283971894472</v>
      </c>
      <c r="N425" t="b">
        <f t="shared" si="85"/>
        <v>1</v>
      </c>
      <c r="O425">
        <f t="shared" si="86"/>
        <v>41</v>
      </c>
      <c r="P425" s="13">
        <f t="shared" si="87"/>
        <v>0.93942013628789067</v>
      </c>
      <c r="Q425" s="13">
        <f t="shared" si="88"/>
        <v>0.94688545912189115</v>
      </c>
      <c r="R425" s="15" t="str">
        <f t="shared" si="89"/>
        <v>STRAIN</v>
      </c>
      <c r="S425" s="13">
        <f t="shared" si="90"/>
        <v>2.9828980511732734E-2</v>
      </c>
    </row>
    <row r="426" spans="1:19" x14ac:dyDescent="0.3">
      <c r="A426" s="4">
        <v>45574</v>
      </c>
      <c r="B426" s="2">
        <v>124</v>
      </c>
      <c r="C426" s="2">
        <v>230</v>
      </c>
      <c r="D426" s="2">
        <v>190</v>
      </c>
      <c r="E426">
        <v>7346</v>
      </c>
      <c r="F426">
        <v>163</v>
      </c>
      <c r="G426" s="2">
        <f t="shared" si="78"/>
        <v>7576</v>
      </c>
      <c r="H426">
        <f t="shared" si="79"/>
        <v>7183</v>
      </c>
      <c r="I426" s="13">
        <f t="shared" si="80"/>
        <v>3.4804399276068495E-3</v>
      </c>
      <c r="J426" t="str">
        <f t="shared" si="81"/>
        <v>Backlog</v>
      </c>
      <c r="K426" s="13">
        <f t="shared" si="82"/>
        <v>0.94812565997888065</v>
      </c>
      <c r="L426" s="13">
        <f t="shared" si="83"/>
        <v>6.6368796198521647</v>
      </c>
      <c r="M426" s="13">
        <f t="shared" si="84"/>
        <v>28.443769799366418</v>
      </c>
      <c r="N426" t="b">
        <f t="shared" si="85"/>
        <v>1</v>
      </c>
      <c r="O426">
        <f t="shared" si="86"/>
        <v>41</v>
      </c>
      <c r="P426" s="13">
        <f t="shared" si="87"/>
        <v>0.94453262864715848</v>
      </c>
      <c r="Q426" s="13">
        <f t="shared" si="88"/>
        <v>0.94339585237750001</v>
      </c>
      <c r="R426" s="15" t="str">
        <f t="shared" si="89"/>
        <v>STRAIN</v>
      </c>
      <c r="S426" s="13">
        <f t="shared" si="90"/>
        <v>2.1515311510031679E-2</v>
      </c>
    </row>
    <row r="427" spans="1:19" x14ac:dyDescent="0.3">
      <c r="A427" s="4">
        <v>45575</v>
      </c>
      <c r="B427" s="2">
        <v>101</v>
      </c>
      <c r="C427" s="2">
        <v>230</v>
      </c>
      <c r="D427" s="2">
        <v>175</v>
      </c>
      <c r="E427">
        <v>7340</v>
      </c>
      <c r="F427">
        <v>132</v>
      </c>
      <c r="G427" s="2">
        <f t="shared" si="78"/>
        <v>7570</v>
      </c>
      <c r="H427">
        <f t="shared" si="79"/>
        <v>7208</v>
      </c>
      <c r="I427" s="13">
        <f t="shared" si="80"/>
        <v>-1.5122086570477247E-2</v>
      </c>
      <c r="J427" t="str">
        <f t="shared" si="81"/>
        <v>No Backlog</v>
      </c>
      <c r="K427" s="13">
        <f t="shared" si="82"/>
        <v>0.95217965653896963</v>
      </c>
      <c r="L427" s="13">
        <f t="shared" si="83"/>
        <v>6.6652575957727871</v>
      </c>
      <c r="M427" s="13">
        <f t="shared" si="84"/>
        <v>28.565389696169088</v>
      </c>
      <c r="N427" t="b">
        <f t="shared" si="85"/>
        <v>1</v>
      </c>
      <c r="O427">
        <f t="shared" si="86"/>
        <v>41</v>
      </c>
      <c r="P427" s="13">
        <f t="shared" si="87"/>
        <v>0.94716217810365755</v>
      </c>
      <c r="Q427" s="13">
        <f t="shared" si="88"/>
        <v>0.94122361721886505</v>
      </c>
      <c r="R427" s="15" t="b">
        <f t="shared" si="89"/>
        <v>0</v>
      </c>
      <c r="S427" s="13">
        <f t="shared" si="90"/>
        <v>1.7437252311756937E-2</v>
      </c>
    </row>
    <row r="428" spans="1:19" x14ac:dyDescent="0.3">
      <c r="A428" s="4">
        <v>45578</v>
      </c>
      <c r="B428" s="2">
        <v>109</v>
      </c>
      <c r="C428" s="2">
        <v>235</v>
      </c>
      <c r="D428" s="2">
        <v>171</v>
      </c>
      <c r="E428">
        <v>7271</v>
      </c>
      <c r="F428">
        <v>172</v>
      </c>
      <c r="G428" s="2">
        <f t="shared" si="78"/>
        <v>7506</v>
      </c>
      <c r="H428">
        <f t="shared" si="79"/>
        <v>7099</v>
      </c>
      <c r="I428" s="13">
        <f t="shared" si="80"/>
        <v>-1.8171573461050854E-2</v>
      </c>
      <c r="J428" t="str">
        <f t="shared" si="81"/>
        <v>No Backlog</v>
      </c>
      <c r="K428" s="13">
        <f t="shared" si="82"/>
        <v>0.94577671196376234</v>
      </c>
      <c r="L428" s="13">
        <f t="shared" si="83"/>
        <v>6.6204369837463366</v>
      </c>
      <c r="M428" s="13">
        <f t="shared" si="84"/>
        <v>28.373301358912869</v>
      </c>
      <c r="N428" t="b">
        <f t="shared" si="85"/>
        <v>1</v>
      </c>
      <c r="O428">
        <f t="shared" si="86"/>
        <v>42</v>
      </c>
      <c r="P428" s="13">
        <f t="shared" si="87"/>
        <v>0.93387083791254399</v>
      </c>
      <c r="Q428" s="13">
        <f t="shared" si="88"/>
        <v>0.93892881840962683</v>
      </c>
      <c r="R428" s="15" t="b">
        <f t="shared" si="89"/>
        <v>0</v>
      </c>
      <c r="S428" s="13">
        <f t="shared" si="90"/>
        <v>2.291500133226752E-2</v>
      </c>
    </row>
    <row r="429" spans="1:19" x14ac:dyDescent="0.3">
      <c r="A429" s="4">
        <v>45579</v>
      </c>
      <c r="B429" s="2">
        <v>105</v>
      </c>
      <c r="C429" s="2">
        <v>254</v>
      </c>
      <c r="D429" s="2">
        <v>151</v>
      </c>
      <c r="E429">
        <v>7257</v>
      </c>
      <c r="F429">
        <v>287</v>
      </c>
      <c r="G429" s="2">
        <f t="shared" si="78"/>
        <v>7511</v>
      </c>
      <c r="H429">
        <f t="shared" si="79"/>
        <v>6970</v>
      </c>
      <c r="I429" s="13">
        <f t="shared" si="80"/>
        <v>6.1979913916786228E-2</v>
      </c>
      <c r="J429" t="str">
        <f t="shared" si="81"/>
        <v>Backlog</v>
      </c>
      <c r="K429" s="13">
        <f t="shared" si="82"/>
        <v>0.92797230728265212</v>
      </c>
      <c r="L429" s="13">
        <f t="shared" si="83"/>
        <v>6.4958061509785647</v>
      </c>
      <c r="M429" s="13">
        <f t="shared" si="84"/>
        <v>27.839169218479565</v>
      </c>
      <c r="N429" t="b">
        <f t="shared" si="85"/>
        <v>1</v>
      </c>
      <c r="O429">
        <f t="shared" si="86"/>
        <v>42</v>
      </c>
      <c r="P429" s="13">
        <f t="shared" si="87"/>
        <v>0.93499047960882287</v>
      </c>
      <c r="Q429" s="13">
        <f t="shared" si="88"/>
        <v>0.93145918404341832</v>
      </c>
      <c r="R429" s="15" t="str">
        <f t="shared" si="89"/>
        <v>STRAIN</v>
      </c>
      <c r="S429" s="13">
        <f t="shared" si="90"/>
        <v>3.8210624417520968E-2</v>
      </c>
    </row>
    <row r="430" spans="1:19" x14ac:dyDescent="0.3">
      <c r="A430" s="4">
        <v>45580</v>
      </c>
      <c r="B430" s="2">
        <v>161</v>
      </c>
      <c r="C430" s="2">
        <v>288</v>
      </c>
      <c r="D430" s="2">
        <v>248</v>
      </c>
      <c r="E430">
        <v>7762</v>
      </c>
      <c r="F430">
        <v>360</v>
      </c>
      <c r="G430" s="2">
        <f t="shared" si="78"/>
        <v>8050</v>
      </c>
      <c r="H430">
        <f t="shared" si="79"/>
        <v>7402</v>
      </c>
      <c r="I430" s="13">
        <f t="shared" si="80"/>
        <v>3.7287219670359362E-2</v>
      </c>
      <c r="J430" t="str">
        <f t="shared" si="81"/>
        <v>Backlog</v>
      </c>
      <c r="K430" s="13">
        <f t="shared" si="82"/>
        <v>0.9195031055900621</v>
      </c>
      <c r="L430" s="13">
        <f t="shared" si="83"/>
        <v>6.436521739130435</v>
      </c>
      <c r="M430" s="13">
        <f t="shared" si="84"/>
        <v>27.585093167701864</v>
      </c>
      <c r="N430" t="b">
        <f t="shared" si="85"/>
        <v>1</v>
      </c>
      <c r="O430">
        <f t="shared" si="86"/>
        <v>42</v>
      </c>
      <c r="P430" s="13">
        <f t="shared" si="87"/>
        <v>0.93588073603865385</v>
      </c>
      <c r="Q430" s="13">
        <f t="shared" si="88"/>
        <v>0.93200721657964314</v>
      </c>
      <c r="R430" s="15" t="str">
        <f t="shared" si="89"/>
        <v>STRAIN</v>
      </c>
      <c r="S430" s="13">
        <f t="shared" si="90"/>
        <v>4.472049689440994E-2</v>
      </c>
    </row>
    <row r="431" spans="1:19" x14ac:dyDescent="0.3">
      <c r="A431" s="4">
        <v>45581</v>
      </c>
      <c r="B431" s="2">
        <v>129</v>
      </c>
      <c r="C431" s="2">
        <v>287</v>
      </c>
      <c r="D431" s="2">
        <v>185</v>
      </c>
      <c r="E431">
        <v>7893</v>
      </c>
      <c r="F431">
        <v>215</v>
      </c>
      <c r="G431" s="2">
        <f t="shared" si="78"/>
        <v>8180</v>
      </c>
      <c r="H431">
        <f t="shared" si="79"/>
        <v>7678</v>
      </c>
      <c r="I431" s="13">
        <f t="shared" si="80"/>
        <v>4.2979942693409743E-3</v>
      </c>
      <c r="J431" t="str">
        <f t="shared" si="81"/>
        <v>Backlog</v>
      </c>
      <c r="K431" s="13">
        <f t="shared" si="82"/>
        <v>0.93863080684596578</v>
      </c>
      <c r="L431" s="13">
        <f t="shared" si="83"/>
        <v>6.5704156479217604</v>
      </c>
      <c r="M431" s="13">
        <f t="shared" si="84"/>
        <v>28.158924205378973</v>
      </c>
      <c r="N431" t="b">
        <f t="shared" si="85"/>
        <v>1</v>
      </c>
      <c r="O431">
        <f t="shared" si="86"/>
        <v>42</v>
      </c>
      <c r="P431" s="13">
        <f t="shared" si="87"/>
        <v>0.94609612967996615</v>
      </c>
      <c r="Q431" s="13">
        <f t="shared" si="88"/>
        <v>0.93692785255968147</v>
      </c>
      <c r="R431" s="15" t="str">
        <f t="shared" si="89"/>
        <v>STRAIN</v>
      </c>
      <c r="S431" s="13">
        <f t="shared" si="90"/>
        <v>2.628361858190709E-2</v>
      </c>
    </row>
    <row r="432" spans="1:19" x14ac:dyDescent="0.3">
      <c r="A432" s="4">
        <v>45582</v>
      </c>
      <c r="B432" s="2">
        <v>187</v>
      </c>
      <c r="C432" s="2">
        <v>276</v>
      </c>
      <c r="D432" s="2">
        <v>200</v>
      </c>
      <c r="E432">
        <v>7919</v>
      </c>
      <c r="F432">
        <v>208</v>
      </c>
      <c r="G432" s="2">
        <f t="shared" si="78"/>
        <v>8195</v>
      </c>
      <c r="H432">
        <f t="shared" si="79"/>
        <v>7711</v>
      </c>
      <c r="I432" s="13">
        <f t="shared" si="80"/>
        <v>-5.3170794968227207E-3</v>
      </c>
      <c r="J432" t="str">
        <f t="shared" si="81"/>
        <v>No Backlog</v>
      </c>
      <c r="K432" s="13">
        <f t="shared" si="82"/>
        <v>0.94093959731543619</v>
      </c>
      <c r="L432" s="13">
        <f t="shared" si="83"/>
        <v>6.5865771812080531</v>
      </c>
      <c r="M432" s="13">
        <f t="shared" si="84"/>
        <v>28.228187919463085</v>
      </c>
      <c r="N432" t="b">
        <f t="shared" si="85"/>
        <v>1</v>
      </c>
      <c r="O432">
        <f t="shared" si="86"/>
        <v>42</v>
      </c>
      <c r="P432" s="13">
        <f t="shared" si="87"/>
        <v>0.93980282104577784</v>
      </c>
      <c r="Q432" s="13">
        <f t="shared" si="88"/>
        <v>0.92967481957822018</v>
      </c>
      <c r="R432" s="15" t="b">
        <f t="shared" si="89"/>
        <v>0</v>
      </c>
      <c r="S432" s="13">
        <f t="shared" si="90"/>
        <v>2.5381330079316658E-2</v>
      </c>
    </row>
    <row r="433" spans="1:19" x14ac:dyDescent="0.3">
      <c r="A433" s="4">
        <v>45585</v>
      </c>
      <c r="B433" s="2">
        <v>128</v>
      </c>
      <c r="C433" s="2">
        <v>242</v>
      </c>
      <c r="D433" s="2">
        <v>224</v>
      </c>
      <c r="E433">
        <v>7899</v>
      </c>
      <c r="F433">
        <v>229</v>
      </c>
      <c r="G433" s="2">
        <f t="shared" si="78"/>
        <v>8141</v>
      </c>
      <c r="H433">
        <f t="shared" si="79"/>
        <v>7670</v>
      </c>
      <c r="I433" s="13">
        <f t="shared" si="80"/>
        <v>-1.877444589308996E-2</v>
      </c>
      <c r="J433" t="str">
        <f t="shared" si="81"/>
        <v>No Backlog</v>
      </c>
      <c r="K433" s="13">
        <f t="shared" si="82"/>
        <v>0.94214469966834546</v>
      </c>
      <c r="L433" s="13">
        <f t="shared" si="83"/>
        <v>6.5950128976784184</v>
      </c>
      <c r="M433" s="13">
        <f t="shared" si="84"/>
        <v>28.264340990050364</v>
      </c>
      <c r="N433" t="b">
        <f t="shared" si="85"/>
        <v>1</v>
      </c>
      <c r="O433">
        <f t="shared" si="86"/>
        <v>43</v>
      </c>
      <c r="P433" s="13">
        <f t="shared" si="87"/>
        <v>0.93620613878355297</v>
      </c>
      <c r="Q433" s="13">
        <f t="shared" si="88"/>
        <v>0.93198806932806078</v>
      </c>
      <c r="R433" s="15" t="b">
        <f t="shared" si="89"/>
        <v>0</v>
      </c>
      <c r="S433" s="13">
        <f t="shared" si="90"/>
        <v>2.812922245424395E-2</v>
      </c>
    </row>
    <row r="434" spans="1:19" x14ac:dyDescent="0.3">
      <c r="A434" s="4">
        <v>45586</v>
      </c>
      <c r="B434" s="2">
        <v>124</v>
      </c>
      <c r="C434" s="2">
        <v>264</v>
      </c>
      <c r="D434" s="2">
        <v>221</v>
      </c>
      <c r="E434">
        <v>7899</v>
      </c>
      <c r="F434">
        <v>373</v>
      </c>
      <c r="G434" s="2">
        <f t="shared" si="78"/>
        <v>8163</v>
      </c>
      <c r="H434">
        <f t="shared" si="79"/>
        <v>7526</v>
      </c>
      <c r="I434" s="13">
        <f t="shared" si="80"/>
        <v>7.05554079192134E-2</v>
      </c>
      <c r="J434" t="str">
        <f t="shared" si="81"/>
        <v>Backlog</v>
      </c>
      <c r="K434" s="13">
        <f t="shared" si="82"/>
        <v>0.92196496386132554</v>
      </c>
      <c r="L434" s="13">
        <f t="shared" si="83"/>
        <v>6.4537547470292784</v>
      </c>
      <c r="M434" s="13">
        <f t="shared" si="84"/>
        <v>27.658948915839765</v>
      </c>
      <c r="N434" t="b">
        <f t="shared" si="85"/>
        <v>1</v>
      </c>
      <c r="O434">
        <f t="shared" si="86"/>
        <v>43</v>
      </c>
      <c r="P434" s="13">
        <f t="shared" si="87"/>
        <v>0.92702294435840837</v>
      </c>
      <c r="Q434" s="13">
        <f t="shared" si="88"/>
        <v>0.92404670408140799</v>
      </c>
      <c r="R434" s="15" t="str">
        <f t="shared" si="89"/>
        <v>STRAIN</v>
      </c>
      <c r="S434" s="13">
        <f t="shared" si="90"/>
        <v>4.5693985054514275E-2</v>
      </c>
    </row>
    <row r="435" spans="1:19" x14ac:dyDescent="0.3">
      <c r="A435" s="4">
        <v>45587</v>
      </c>
      <c r="B435" s="2">
        <v>132</v>
      </c>
      <c r="C435" s="2">
        <v>261</v>
      </c>
      <c r="D435" s="2">
        <v>141</v>
      </c>
      <c r="E435">
        <v>8292</v>
      </c>
      <c r="F435">
        <v>235</v>
      </c>
      <c r="G435" s="2">
        <f t="shared" si="78"/>
        <v>8553</v>
      </c>
      <c r="H435">
        <f t="shared" si="79"/>
        <v>8057</v>
      </c>
      <c r="I435" s="13">
        <f t="shared" si="80"/>
        <v>1.0053369740598237E-2</v>
      </c>
      <c r="J435" t="str">
        <f t="shared" si="81"/>
        <v>Backlog</v>
      </c>
      <c r="K435" s="13">
        <f t="shared" si="82"/>
        <v>0.94200865193499361</v>
      </c>
      <c r="L435" s="13">
        <f t="shared" si="83"/>
        <v>6.5940605635449554</v>
      </c>
      <c r="M435" s="13">
        <f t="shared" si="84"/>
        <v>28.260259558049807</v>
      </c>
      <c r="N435" t="b">
        <f t="shared" si="85"/>
        <v>1</v>
      </c>
      <c r="O435">
        <f t="shared" si="86"/>
        <v>43</v>
      </c>
      <c r="P435" s="13">
        <f t="shared" si="87"/>
        <v>0.93847735636958896</v>
      </c>
      <c r="Q435" s="13">
        <f t="shared" si="88"/>
        <v>0.93401122846965379</v>
      </c>
      <c r="R435" s="15" t="str">
        <f t="shared" si="89"/>
        <v>STRAIN</v>
      </c>
      <c r="S435" s="13">
        <f t="shared" si="90"/>
        <v>2.7475739506605871E-2</v>
      </c>
    </row>
    <row r="436" spans="1:19" x14ac:dyDescent="0.3">
      <c r="A436" s="4">
        <v>45588</v>
      </c>
      <c r="B436" s="2">
        <v>91</v>
      </c>
      <c r="C436" s="2">
        <v>181</v>
      </c>
      <c r="D436" s="2">
        <v>174</v>
      </c>
      <c r="E436">
        <v>8365</v>
      </c>
      <c r="F436">
        <v>227</v>
      </c>
      <c r="G436" s="2">
        <f t="shared" si="78"/>
        <v>8546</v>
      </c>
      <c r="H436">
        <f t="shared" si="79"/>
        <v>8138</v>
      </c>
      <c r="I436" s="13">
        <f t="shared" si="80"/>
        <v>6.7584173015482916E-3</v>
      </c>
      <c r="J436" t="str">
        <f t="shared" si="81"/>
        <v>Backlog</v>
      </c>
      <c r="K436" s="13">
        <f t="shared" si="82"/>
        <v>0.95225836648724549</v>
      </c>
      <c r="L436" s="13">
        <f t="shared" si="83"/>
        <v>6.6658085654107184</v>
      </c>
      <c r="M436" s="13">
        <f t="shared" si="84"/>
        <v>28.567750994617363</v>
      </c>
      <c r="N436" t="b">
        <f t="shared" si="85"/>
        <v>1</v>
      </c>
      <c r="O436">
        <f t="shared" si="86"/>
        <v>43</v>
      </c>
      <c r="P436" s="13">
        <f t="shared" si="87"/>
        <v>0.94838484702823478</v>
      </c>
      <c r="Q436" s="13">
        <f t="shared" si="88"/>
        <v>0.93588488179308293</v>
      </c>
      <c r="R436" s="15" t="str">
        <f t="shared" si="89"/>
        <v>STRAIN</v>
      </c>
      <c r="S436" s="13">
        <f t="shared" si="90"/>
        <v>2.6562134331851159E-2</v>
      </c>
    </row>
    <row r="437" spans="1:19" x14ac:dyDescent="0.3">
      <c r="A437" s="4">
        <v>45592</v>
      </c>
      <c r="B437" s="2">
        <v>99</v>
      </c>
      <c r="C437" s="2">
        <v>202</v>
      </c>
      <c r="D437" s="2">
        <v>256</v>
      </c>
      <c r="E437">
        <v>8390</v>
      </c>
      <c r="F437">
        <v>197</v>
      </c>
      <c r="G437" s="2">
        <f t="shared" si="78"/>
        <v>8592</v>
      </c>
      <c r="H437">
        <f t="shared" si="79"/>
        <v>8193</v>
      </c>
      <c r="I437" s="13">
        <f t="shared" si="80"/>
        <v>-1.7453924081533016E-2</v>
      </c>
      <c r="J437" t="str">
        <f t="shared" si="81"/>
        <v>No Backlog</v>
      </c>
      <c r="K437" s="13">
        <f t="shared" si="82"/>
        <v>0.95356145251396651</v>
      </c>
      <c r="L437" s="13">
        <f t="shared" si="83"/>
        <v>6.6749301675977657</v>
      </c>
      <c r="M437" s="13">
        <f t="shared" si="84"/>
        <v>28.606843575418996</v>
      </c>
      <c r="N437" t="b">
        <f t="shared" si="85"/>
        <v>0</v>
      </c>
      <c r="O437">
        <f t="shared" si="86"/>
        <v>44</v>
      </c>
      <c r="P437" s="13">
        <f t="shared" si="87"/>
        <v>0.94439317539368184</v>
      </c>
      <c r="Q437" s="13">
        <f t="shared" si="88"/>
        <v>0.93142649981690373</v>
      </c>
      <c r="R437" s="15" t="b">
        <f t="shared" si="89"/>
        <v>0</v>
      </c>
      <c r="S437" s="13">
        <f t="shared" si="90"/>
        <v>2.292830540037244E-2</v>
      </c>
    </row>
    <row r="438" spans="1:19" x14ac:dyDescent="0.3">
      <c r="A438" s="4">
        <v>45593</v>
      </c>
      <c r="B438" s="2">
        <v>123</v>
      </c>
      <c r="C438" s="2">
        <v>243</v>
      </c>
      <c r="D438" s="2">
        <v>188</v>
      </c>
      <c r="E438">
        <v>8333</v>
      </c>
      <c r="F438">
        <v>283</v>
      </c>
      <c r="G438" s="2">
        <f t="shared" si="78"/>
        <v>8576</v>
      </c>
      <c r="H438">
        <f t="shared" si="79"/>
        <v>8050</v>
      </c>
      <c r="I438" s="13">
        <f t="shared" si="80"/>
        <v>-2.3602484472049689E-3</v>
      </c>
      <c r="J438" t="str">
        <f t="shared" si="81"/>
        <v>No Backlog</v>
      </c>
      <c r="K438" s="13">
        <f t="shared" si="82"/>
        <v>0.93866604477611937</v>
      </c>
      <c r="L438" s="13">
        <f t="shared" si="83"/>
        <v>6.5706623134328357</v>
      </c>
      <c r="M438" s="13">
        <f t="shared" si="84"/>
        <v>28.159981343283579</v>
      </c>
      <c r="N438" t="b">
        <f t="shared" si="85"/>
        <v>1</v>
      </c>
      <c r="O438">
        <f t="shared" si="86"/>
        <v>44</v>
      </c>
      <c r="P438" s="13">
        <f t="shared" si="87"/>
        <v>0.92853804330856171</v>
      </c>
      <c r="Q438" s="13">
        <f t="shared" si="88"/>
        <v>0.92881164367950819</v>
      </c>
      <c r="R438" s="15" t="b">
        <f t="shared" si="89"/>
        <v>0</v>
      </c>
      <c r="S438" s="13">
        <f t="shared" si="90"/>
        <v>3.2999067164179108E-2</v>
      </c>
    </row>
    <row r="439" spans="1:19" x14ac:dyDescent="0.3">
      <c r="A439" s="4">
        <v>45594</v>
      </c>
      <c r="B439" s="2">
        <v>127</v>
      </c>
      <c r="C439" s="2">
        <v>260</v>
      </c>
      <c r="D439" s="2">
        <v>259</v>
      </c>
      <c r="E439">
        <v>8373</v>
      </c>
      <c r="F439">
        <v>342</v>
      </c>
      <c r="G439" s="2">
        <f t="shared" si="78"/>
        <v>8633</v>
      </c>
      <c r="H439">
        <f t="shared" si="79"/>
        <v>8031</v>
      </c>
      <c r="I439" s="13">
        <f t="shared" si="80"/>
        <v>4.4079193126634289E-2</v>
      </c>
      <c r="J439" t="str">
        <f t="shared" si="81"/>
        <v>Backlog</v>
      </c>
      <c r="K439" s="13">
        <f t="shared" si="82"/>
        <v>0.93026757789876058</v>
      </c>
      <c r="L439" s="13">
        <f t="shared" si="83"/>
        <v>6.511873045291324</v>
      </c>
      <c r="M439" s="13">
        <f t="shared" si="84"/>
        <v>27.908027336962817</v>
      </c>
      <c r="N439" t="b">
        <f t="shared" si="85"/>
        <v>1</v>
      </c>
      <c r="O439">
        <f t="shared" si="86"/>
        <v>44</v>
      </c>
      <c r="P439" s="13">
        <f t="shared" si="87"/>
        <v>0.92604950844326828</v>
      </c>
      <c r="Q439" s="13">
        <f t="shared" si="88"/>
        <v>0.92664701877662714</v>
      </c>
      <c r="R439" s="15" t="str">
        <f t="shared" si="89"/>
        <v>STRAIN</v>
      </c>
      <c r="S439" s="13">
        <f t="shared" si="90"/>
        <v>3.9615429167149309E-2</v>
      </c>
    </row>
    <row r="440" spans="1:19" x14ac:dyDescent="0.3">
      <c r="A440" s="4">
        <v>45595</v>
      </c>
      <c r="B440" s="2">
        <v>166</v>
      </c>
      <c r="C440" s="2">
        <v>301</v>
      </c>
      <c r="D440" s="2">
        <v>252</v>
      </c>
      <c r="E440">
        <v>8695</v>
      </c>
      <c r="F440">
        <v>310</v>
      </c>
      <c r="G440" s="2">
        <f t="shared" si="78"/>
        <v>8996</v>
      </c>
      <c r="H440">
        <f t="shared" si="79"/>
        <v>8385</v>
      </c>
      <c r="I440" s="13">
        <f t="shared" si="80"/>
        <v>2.3255813953488372E-2</v>
      </c>
      <c r="J440" t="str">
        <f t="shared" si="81"/>
        <v>Backlog</v>
      </c>
      <c r="K440" s="13">
        <f t="shared" si="82"/>
        <v>0.93208092485549132</v>
      </c>
      <c r="L440" s="13">
        <f t="shared" si="83"/>
        <v>6.5245664739884397</v>
      </c>
      <c r="M440" s="13">
        <f t="shared" si="84"/>
        <v>27.962427745664741</v>
      </c>
      <c r="N440" t="b">
        <f t="shared" si="85"/>
        <v>1</v>
      </c>
      <c r="O440">
        <f t="shared" si="86"/>
        <v>44</v>
      </c>
      <c r="P440" s="13">
        <f t="shared" si="87"/>
        <v>0.92910468457849082</v>
      </c>
      <c r="Q440" s="13">
        <f t="shared" si="88"/>
        <v>0.93416331418514664</v>
      </c>
      <c r="R440" s="15" t="str">
        <f t="shared" si="89"/>
        <v>STRAIN</v>
      </c>
      <c r="S440" s="13">
        <f t="shared" si="90"/>
        <v>3.4459759893285903E-2</v>
      </c>
    </row>
    <row r="441" spans="1:19" x14ac:dyDescent="0.3">
      <c r="A441" s="4">
        <v>45596</v>
      </c>
      <c r="B441" s="2">
        <v>165</v>
      </c>
      <c r="C441" s="2">
        <v>358</v>
      </c>
      <c r="D441" s="2">
        <v>167</v>
      </c>
      <c r="E441">
        <v>8819</v>
      </c>
      <c r="F441">
        <v>239</v>
      </c>
      <c r="G441" s="2">
        <f t="shared" si="78"/>
        <v>9177</v>
      </c>
      <c r="H441">
        <f t="shared" si="79"/>
        <v>8580</v>
      </c>
      <c r="I441" s="13">
        <f t="shared" si="80"/>
        <v>5.8275058275058279E-3</v>
      </c>
      <c r="J441" t="str">
        <f t="shared" si="81"/>
        <v>Backlog</v>
      </c>
      <c r="K441" s="13">
        <f t="shared" si="82"/>
        <v>0.93494606080418441</v>
      </c>
      <c r="L441" s="13">
        <f t="shared" si="83"/>
        <v>6.5446224256292904</v>
      </c>
      <c r="M441" s="13">
        <f t="shared" si="84"/>
        <v>28.048381824125531</v>
      </c>
      <c r="N441" t="b">
        <f t="shared" si="85"/>
        <v>1</v>
      </c>
      <c r="O441">
        <f t="shared" si="86"/>
        <v>44</v>
      </c>
      <c r="P441" s="13">
        <f t="shared" si="87"/>
        <v>0.93047993290424924</v>
      </c>
      <c r="Q441" s="13">
        <f t="shared" si="88"/>
        <v>0.92410049025280472</v>
      </c>
      <c r="R441" s="15" t="str">
        <f t="shared" si="89"/>
        <v>STRAIN</v>
      </c>
      <c r="S441" s="13">
        <f t="shared" si="90"/>
        <v>2.604336929279721E-2</v>
      </c>
    </row>
    <row r="442" spans="1:19" x14ac:dyDescent="0.3">
      <c r="A442" s="4">
        <v>45599</v>
      </c>
      <c r="B442" s="2">
        <v>154</v>
      </c>
      <c r="C442" s="2">
        <v>294</v>
      </c>
      <c r="D442" s="2">
        <v>290</v>
      </c>
      <c r="E442">
        <v>8843</v>
      </c>
      <c r="F442">
        <v>213</v>
      </c>
      <c r="G442" s="2">
        <f t="shared" si="78"/>
        <v>9137</v>
      </c>
      <c r="H442">
        <f t="shared" si="79"/>
        <v>8630</v>
      </c>
      <c r="I442" s="13">
        <f t="shared" si="80"/>
        <v>-1.4600231749710313E-2</v>
      </c>
      <c r="J442" t="str">
        <f t="shared" si="81"/>
        <v>No Backlog</v>
      </c>
      <c r="K442" s="13">
        <f t="shared" si="82"/>
        <v>0.94451132756922407</v>
      </c>
      <c r="L442" s="13">
        <f t="shared" si="83"/>
        <v>6.6115792929845689</v>
      </c>
      <c r="M442" s="13">
        <f t="shared" si="84"/>
        <v>28.335339827076723</v>
      </c>
      <c r="N442" t="b">
        <f t="shared" si="85"/>
        <v>1</v>
      </c>
      <c r="O442">
        <f t="shared" si="86"/>
        <v>45</v>
      </c>
      <c r="P442" s="13">
        <f t="shared" si="87"/>
        <v>0.93201136233407222</v>
      </c>
      <c r="Q442" s="13">
        <f t="shared" si="88"/>
        <v>0.92662208287081504</v>
      </c>
      <c r="R442" s="15" t="b">
        <f t="shared" si="89"/>
        <v>0</v>
      </c>
      <c r="S442" s="13">
        <f t="shared" si="90"/>
        <v>2.3311809127722447E-2</v>
      </c>
    </row>
    <row r="443" spans="1:19" x14ac:dyDescent="0.3">
      <c r="A443" s="4">
        <v>45600</v>
      </c>
      <c r="B443" s="2">
        <v>178</v>
      </c>
      <c r="C443" s="2">
        <v>336</v>
      </c>
      <c r="D443" s="2">
        <v>290</v>
      </c>
      <c r="E443">
        <v>8757</v>
      </c>
      <c r="F443">
        <v>253</v>
      </c>
      <c r="G443" s="2">
        <f t="shared" si="78"/>
        <v>9093</v>
      </c>
      <c r="H443">
        <f t="shared" si="79"/>
        <v>8504</v>
      </c>
      <c r="I443" s="13">
        <f t="shared" si="80"/>
        <v>-1.9167450611476951E-2</v>
      </c>
      <c r="J443" t="str">
        <f t="shared" si="81"/>
        <v>No Backlog</v>
      </c>
      <c r="K443" s="13">
        <f t="shared" si="82"/>
        <v>0.93522489827339716</v>
      </c>
      <c r="L443" s="13">
        <f t="shared" si="83"/>
        <v>6.5465742879137805</v>
      </c>
      <c r="M443" s="13">
        <f t="shared" si="84"/>
        <v>28.056746948201916</v>
      </c>
      <c r="N443" t="b">
        <f t="shared" si="85"/>
        <v>1</v>
      </c>
      <c r="O443">
        <f t="shared" si="86"/>
        <v>45</v>
      </c>
      <c r="P443" s="13">
        <f t="shared" si="87"/>
        <v>0.92225822269661917</v>
      </c>
      <c r="Q443" s="13">
        <f t="shared" si="88"/>
        <v>0.92914237030912006</v>
      </c>
      <c r="R443" s="15" t="b">
        <f t="shared" si="89"/>
        <v>0</v>
      </c>
      <c r="S443" s="13">
        <f t="shared" si="90"/>
        <v>2.782360057186847E-2</v>
      </c>
    </row>
    <row r="444" spans="1:19" x14ac:dyDescent="0.3">
      <c r="A444" s="4">
        <v>45601</v>
      </c>
      <c r="B444" s="2">
        <v>190</v>
      </c>
      <c r="C444" s="2">
        <v>368</v>
      </c>
      <c r="D444" s="2">
        <v>326</v>
      </c>
      <c r="E444">
        <v>8714</v>
      </c>
      <c r="F444">
        <v>373</v>
      </c>
      <c r="G444" s="2">
        <f t="shared" si="78"/>
        <v>9082</v>
      </c>
      <c r="H444">
        <f t="shared" si="79"/>
        <v>8341</v>
      </c>
      <c r="I444" s="13">
        <f t="shared" si="80"/>
        <v>3.0691763577508691E-2</v>
      </c>
      <c r="J444" t="str">
        <f t="shared" si="81"/>
        <v>Backlog</v>
      </c>
      <c r="K444" s="13">
        <f t="shared" si="82"/>
        <v>0.91841004184100417</v>
      </c>
      <c r="L444" s="13">
        <f t="shared" si="83"/>
        <v>6.4288702928870292</v>
      </c>
      <c r="M444" s="13">
        <f t="shared" si="84"/>
        <v>27.552301255230127</v>
      </c>
      <c r="N444" t="b">
        <f t="shared" si="85"/>
        <v>1</v>
      </c>
      <c r="O444">
        <f t="shared" si="86"/>
        <v>45</v>
      </c>
      <c r="P444" s="13">
        <f t="shared" si="87"/>
        <v>0.91868364221195065</v>
      </c>
      <c r="Q444" s="13">
        <f t="shared" si="88"/>
        <v>0.92249503536013333</v>
      </c>
      <c r="R444" s="15" t="str">
        <f t="shared" si="89"/>
        <v>STRAIN</v>
      </c>
      <c r="S444" s="13">
        <f t="shared" si="90"/>
        <v>4.1070248843866987E-2</v>
      </c>
    </row>
    <row r="445" spans="1:19" x14ac:dyDescent="0.3">
      <c r="A445" s="4">
        <v>45602</v>
      </c>
      <c r="B445" s="2">
        <v>181</v>
      </c>
      <c r="C445" s="2">
        <v>424</v>
      </c>
      <c r="D445" s="2">
        <v>328</v>
      </c>
      <c r="E445">
        <v>8902</v>
      </c>
      <c r="F445">
        <v>305</v>
      </c>
      <c r="G445" s="2">
        <f t="shared" si="78"/>
        <v>9326</v>
      </c>
      <c r="H445">
        <f t="shared" si="79"/>
        <v>8597</v>
      </c>
      <c r="I445" s="13">
        <f t="shared" si="80"/>
        <v>4.7691055019192744E-3</v>
      </c>
      <c r="J445" t="str">
        <f t="shared" si="81"/>
        <v>Backlog</v>
      </c>
      <c r="K445" s="13">
        <f t="shared" si="82"/>
        <v>0.92183143898777609</v>
      </c>
      <c r="L445" s="13">
        <f t="shared" si="83"/>
        <v>6.4528200729144327</v>
      </c>
      <c r="M445" s="13">
        <f t="shared" si="84"/>
        <v>27.654943169633281</v>
      </c>
      <c r="N445" t="b">
        <f t="shared" si="85"/>
        <v>1</v>
      </c>
      <c r="O445">
        <f t="shared" si="86"/>
        <v>45</v>
      </c>
      <c r="P445" s="13">
        <f t="shared" si="87"/>
        <v>0.92242894932113495</v>
      </c>
      <c r="Q445" s="13">
        <f t="shared" si="88"/>
        <v>0.92787508007026998</v>
      </c>
      <c r="R445" s="15" t="str">
        <f t="shared" si="89"/>
        <v>STRAIN</v>
      </c>
      <c r="S445" s="13">
        <f t="shared" si="90"/>
        <v>3.2704267638859107E-2</v>
      </c>
    </row>
    <row r="446" spans="1:19" x14ac:dyDescent="0.3">
      <c r="A446" s="4">
        <v>45603</v>
      </c>
      <c r="B446" s="2">
        <v>230</v>
      </c>
      <c r="C446" s="2">
        <v>457</v>
      </c>
      <c r="D446" s="2">
        <v>277</v>
      </c>
      <c r="E446">
        <v>8870</v>
      </c>
      <c r="F446">
        <v>232</v>
      </c>
      <c r="G446" s="2">
        <f t="shared" si="78"/>
        <v>9327</v>
      </c>
      <c r="H446">
        <f t="shared" si="79"/>
        <v>8638</v>
      </c>
      <c r="I446" s="13">
        <f t="shared" si="80"/>
        <v>-6.0199120166705257E-3</v>
      </c>
      <c r="J446" t="str">
        <f t="shared" si="81"/>
        <v>No Backlog</v>
      </c>
      <c r="K446" s="13">
        <f t="shared" si="82"/>
        <v>0.92612844430149033</v>
      </c>
      <c r="L446" s="13">
        <f t="shared" si="83"/>
        <v>6.4828991101104325</v>
      </c>
      <c r="M446" s="13">
        <f t="shared" si="84"/>
        <v>27.78385332904471</v>
      </c>
      <c r="N446" t="b">
        <f t="shared" si="85"/>
        <v>1</v>
      </c>
      <c r="O446">
        <f t="shared" si="86"/>
        <v>45</v>
      </c>
      <c r="P446" s="13">
        <f t="shared" si="87"/>
        <v>0.93118707390814626</v>
      </c>
      <c r="Q446" s="13">
        <f t="shared" si="88"/>
        <v>0.92681422215074516</v>
      </c>
      <c r="R446" s="15" t="b">
        <f t="shared" si="89"/>
        <v>0</v>
      </c>
      <c r="S446" s="13">
        <f t="shared" si="90"/>
        <v>2.4874021657553341E-2</v>
      </c>
    </row>
    <row r="447" spans="1:19" x14ac:dyDescent="0.3">
      <c r="A447" s="4">
        <v>45607</v>
      </c>
      <c r="B447" s="2">
        <v>246</v>
      </c>
      <c r="C447" s="2">
        <v>472</v>
      </c>
      <c r="D447" s="2">
        <v>345</v>
      </c>
      <c r="E447">
        <v>8800</v>
      </c>
      <c r="F447">
        <v>214</v>
      </c>
      <c r="G447" s="2">
        <f t="shared" si="78"/>
        <v>9272</v>
      </c>
      <c r="H447">
        <f t="shared" si="79"/>
        <v>8586</v>
      </c>
      <c r="I447" s="13">
        <f t="shared" si="80"/>
        <v>-1.8052643838807361E-2</v>
      </c>
      <c r="J447" t="str">
        <f t="shared" si="81"/>
        <v>No Backlog</v>
      </c>
      <c r="K447" s="13">
        <f t="shared" si="82"/>
        <v>0.92601380500431407</v>
      </c>
      <c r="L447" s="13">
        <f t="shared" si="83"/>
        <v>6.4820966350301985</v>
      </c>
      <c r="M447" s="13">
        <f t="shared" si="84"/>
        <v>27.780414150129424</v>
      </c>
      <c r="N447" t="b">
        <f t="shared" si="85"/>
        <v>1</v>
      </c>
      <c r="O447">
        <f t="shared" si="86"/>
        <v>46</v>
      </c>
      <c r="P447" s="13">
        <f t="shared" si="87"/>
        <v>0.91963436235286955</v>
      </c>
      <c r="Q447" s="13">
        <f t="shared" si="88"/>
        <v>0.91730408230373994</v>
      </c>
      <c r="R447" s="15" t="b">
        <f t="shared" si="89"/>
        <v>0</v>
      </c>
      <c r="S447" s="13">
        <f t="shared" si="90"/>
        <v>2.3080241587575497E-2</v>
      </c>
    </row>
    <row r="448" spans="1:19" x14ac:dyDescent="0.3">
      <c r="A448" s="4">
        <v>45608</v>
      </c>
      <c r="B448" s="2">
        <v>225</v>
      </c>
      <c r="C448" s="2">
        <v>509</v>
      </c>
      <c r="D448" s="2">
        <v>340</v>
      </c>
      <c r="E448">
        <v>8660</v>
      </c>
      <c r="F448">
        <v>229</v>
      </c>
      <c r="G448" s="2">
        <f t="shared" si="78"/>
        <v>9169</v>
      </c>
      <c r="H448">
        <f t="shared" si="79"/>
        <v>8431</v>
      </c>
      <c r="I448" s="13">
        <f t="shared" si="80"/>
        <v>-2.265448938441466E-2</v>
      </c>
      <c r="J448" t="str">
        <f t="shared" si="81"/>
        <v>No Backlog</v>
      </c>
      <c r="K448" s="13">
        <f t="shared" si="82"/>
        <v>0.91951139709892027</v>
      </c>
      <c r="L448" s="13">
        <f t="shared" si="83"/>
        <v>6.4365797796924422</v>
      </c>
      <c r="M448" s="13">
        <f t="shared" si="84"/>
        <v>27.585341912967607</v>
      </c>
      <c r="N448" t="b">
        <f t="shared" si="85"/>
        <v>1</v>
      </c>
      <c r="O448">
        <f t="shared" si="86"/>
        <v>46</v>
      </c>
      <c r="P448" s="13">
        <f t="shared" si="87"/>
        <v>0.91412211763566309</v>
      </c>
      <c r="Q448" s="13">
        <f t="shared" si="88"/>
        <v>0.92851277348720074</v>
      </c>
      <c r="R448" s="15" t="b">
        <f t="shared" si="89"/>
        <v>0</v>
      </c>
      <c r="S448" s="13">
        <f t="shared" si="90"/>
        <v>2.4975460791798451E-2</v>
      </c>
    </row>
    <row r="449" spans="1:19" x14ac:dyDescent="0.3">
      <c r="A449" s="4">
        <v>45609</v>
      </c>
      <c r="B449" s="2">
        <v>236</v>
      </c>
      <c r="C449" s="2">
        <v>468</v>
      </c>
      <c r="D449" s="2">
        <v>347</v>
      </c>
      <c r="E449">
        <v>8594</v>
      </c>
      <c r="F449">
        <v>354</v>
      </c>
      <c r="G449" s="2">
        <f t="shared" si="78"/>
        <v>9062</v>
      </c>
      <c r="H449">
        <f t="shared" si="79"/>
        <v>8240</v>
      </c>
      <c r="I449" s="13">
        <f t="shared" si="80"/>
        <v>2.2451456310679612E-2</v>
      </c>
      <c r="J449" t="str">
        <f t="shared" si="81"/>
        <v>Backlog</v>
      </c>
      <c r="K449" s="13">
        <f t="shared" si="82"/>
        <v>0.90929154711984106</v>
      </c>
      <c r="L449" s="13">
        <f t="shared" si="83"/>
        <v>6.3650408298388879</v>
      </c>
      <c r="M449" s="13">
        <f t="shared" si="84"/>
        <v>27.278746413595233</v>
      </c>
      <c r="N449" t="b">
        <f t="shared" si="85"/>
        <v>1</v>
      </c>
      <c r="O449">
        <f t="shared" si="86"/>
        <v>46</v>
      </c>
      <c r="P449" s="13">
        <f t="shared" si="87"/>
        <v>0.91617569473234206</v>
      </c>
      <c r="Q449" s="13">
        <f t="shared" si="88"/>
        <v>0.92430276564435321</v>
      </c>
      <c r="R449" s="15" t="str">
        <f t="shared" si="89"/>
        <v>STRAIN</v>
      </c>
      <c r="S449" s="13">
        <f t="shared" si="90"/>
        <v>3.9064224233061134E-2</v>
      </c>
    </row>
    <row r="450" spans="1:19" x14ac:dyDescent="0.3">
      <c r="A450" s="4">
        <v>45610</v>
      </c>
      <c r="B450" s="2">
        <v>262</v>
      </c>
      <c r="C450" s="2">
        <v>444</v>
      </c>
      <c r="D450" s="2">
        <v>354</v>
      </c>
      <c r="E450">
        <v>8724</v>
      </c>
      <c r="F450">
        <v>299</v>
      </c>
      <c r="G450" s="2">
        <f t="shared" si="78"/>
        <v>9168</v>
      </c>
      <c r="H450">
        <f t="shared" si="79"/>
        <v>8425</v>
      </c>
      <c r="I450" s="13">
        <f t="shared" si="80"/>
        <v>2.0178041543026707E-3</v>
      </c>
      <c r="J450" t="str">
        <f t="shared" si="81"/>
        <v>Backlog</v>
      </c>
      <c r="K450" s="13">
        <f t="shared" si="82"/>
        <v>0.91895724258289702</v>
      </c>
      <c r="L450" s="13">
        <f t="shared" si="83"/>
        <v>6.4327006980802794</v>
      </c>
      <c r="M450" s="13">
        <f t="shared" si="84"/>
        <v>27.568717277486911</v>
      </c>
      <c r="N450" t="b">
        <f t="shared" si="85"/>
        <v>1</v>
      </c>
      <c r="O450">
        <f t="shared" si="86"/>
        <v>46</v>
      </c>
      <c r="P450" s="13">
        <f t="shared" si="87"/>
        <v>0.92276863573107981</v>
      </c>
      <c r="Q450" s="13">
        <f t="shared" si="88"/>
        <v>0.92052063020954278</v>
      </c>
      <c r="R450" s="15" t="str">
        <f t="shared" si="89"/>
        <v>STRAIN</v>
      </c>
      <c r="S450" s="13">
        <f t="shared" si="90"/>
        <v>3.2613438045375219E-2</v>
      </c>
    </row>
    <row r="451" spans="1:19" x14ac:dyDescent="0.3">
      <c r="A451" s="4">
        <v>45613</v>
      </c>
      <c r="B451" s="2">
        <v>209</v>
      </c>
      <c r="C451" s="2">
        <v>447</v>
      </c>
      <c r="D451" s="2">
        <v>274</v>
      </c>
      <c r="E451">
        <v>8699</v>
      </c>
      <c r="F451">
        <v>257</v>
      </c>
      <c r="G451" s="2">
        <f t="shared" ref="G451:G514" si="91">C451+E451</f>
        <v>9146</v>
      </c>
      <c r="H451">
        <f t="shared" ref="H451:H514" si="92">E451-F451</f>
        <v>8442</v>
      </c>
      <c r="I451" s="13">
        <f t="shared" ref="I451:I514" si="93">(H452-H451)/H451</f>
        <v>2.3691068467187872E-4</v>
      </c>
      <c r="J451" t="str">
        <f t="shared" ref="J451:J514" si="94">IF(I451&gt;0,"Backlog","No Backlog")</f>
        <v>Backlog</v>
      </c>
      <c r="K451" s="13">
        <f t="shared" ref="K451:K514" si="95">H451/G451</f>
        <v>0.92302645965449381</v>
      </c>
      <c r="L451" s="13">
        <f t="shared" ref="L451:L514" si="96">K451*7</f>
        <v>6.4611852175814564</v>
      </c>
      <c r="M451" s="13">
        <f t="shared" ref="M451:M514" si="97">K451*30</f>
        <v>27.690793789634814</v>
      </c>
      <c r="N451" t="b">
        <f t="shared" ref="N451:N514" si="98">IF(D451&lt;C451,F451&lt;E451)</f>
        <v>1</v>
      </c>
      <c r="O451">
        <f t="shared" ref="O451:O514" si="99">WEEKNUM(A451)</f>
        <v>47</v>
      </c>
      <c r="P451" s="13">
        <f t="shared" ref="P451:P514" si="100">AVERAGE(K451,K457)</f>
        <v>0.92847259040362884</v>
      </c>
      <c r="Q451" s="13">
        <f t="shared" ref="Q451:Q514" si="101">AVERAGE(K451,K463)</f>
        <v>0.91122738220153221</v>
      </c>
      <c r="R451" s="15" t="str">
        <f t="shared" ref="R451:R514" si="102">IF(I451&gt;0,"STRAIN")</f>
        <v>STRAIN</v>
      </c>
      <c r="S451" s="13">
        <f t="shared" ref="S451:S514" si="103">F451/G451</f>
        <v>2.8099715722720315E-2</v>
      </c>
    </row>
    <row r="452" spans="1:19" x14ac:dyDescent="0.3">
      <c r="A452" s="4">
        <v>45614</v>
      </c>
      <c r="B452" s="2">
        <v>197</v>
      </c>
      <c r="C452" s="2">
        <v>369</v>
      </c>
      <c r="D452" s="2">
        <v>306</v>
      </c>
      <c r="E452">
        <v>8650</v>
      </c>
      <c r="F452">
        <v>206</v>
      </c>
      <c r="G452" s="2">
        <f t="shared" si="91"/>
        <v>9019</v>
      </c>
      <c r="H452">
        <f t="shared" si="92"/>
        <v>8444</v>
      </c>
      <c r="I452" s="13">
        <f t="shared" si="93"/>
        <v>-4.3699668403600192E-2</v>
      </c>
      <c r="J452" t="str">
        <f t="shared" si="94"/>
        <v>No Backlog</v>
      </c>
      <c r="K452" s="13">
        <f t="shared" si="95"/>
        <v>0.93624570351480207</v>
      </c>
      <c r="L452" s="13">
        <f t="shared" si="96"/>
        <v>6.5537199246036142</v>
      </c>
      <c r="M452" s="13">
        <f t="shared" si="97"/>
        <v>28.087371105444063</v>
      </c>
      <c r="N452" t="b">
        <f t="shared" si="98"/>
        <v>1</v>
      </c>
      <c r="O452">
        <f t="shared" si="99"/>
        <v>47</v>
      </c>
      <c r="P452" s="13">
        <f t="shared" si="100"/>
        <v>0.93187285175740109</v>
      </c>
      <c r="Q452" s="13">
        <f t="shared" si="101"/>
        <v>0.92127123439812864</v>
      </c>
      <c r="R452" s="15" t="b">
        <f t="shared" si="102"/>
        <v>0</v>
      </c>
      <c r="S452" s="13">
        <f t="shared" si="103"/>
        <v>2.2840669697305686E-2</v>
      </c>
    </row>
    <row r="453" spans="1:19" x14ac:dyDescent="0.3">
      <c r="A453" s="4">
        <v>45615</v>
      </c>
      <c r="B453" s="2">
        <v>199</v>
      </c>
      <c r="C453" s="2">
        <v>438</v>
      </c>
      <c r="D453" s="2">
        <v>326</v>
      </c>
      <c r="E453">
        <v>8404</v>
      </c>
      <c r="F453">
        <v>329</v>
      </c>
      <c r="G453" s="2">
        <f t="shared" si="91"/>
        <v>8842</v>
      </c>
      <c r="H453">
        <f t="shared" si="92"/>
        <v>8075</v>
      </c>
      <c r="I453" s="13">
        <f t="shared" si="93"/>
        <v>0</v>
      </c>
      <c r="J453" t="str">
        <f t="shared" si="94"/>
        <v>No Backlog</v>
      </c>
      <c r="K453" s="13">
        <f t="shared" si="95"/>
        <v>0.91325491970142503</v>
      </c>
      <c r="L453" s="13">
        <f t="shared" si="96"/>
        <v>6.3927844379099756</v>
      </c>
      <c r="M453" s="13">
        <f t="shared" si="97"/>
        <v>27.397647591042752</v>
      </c>
      <c r="N453" t="b">
        <f t="shared" si="98"/>
        <v>1</v>
      </c>
      <c r="O453">
        <f t="shared" si="99"/>
        <v>47</v>
      </c>
      <c r="P453" s="13">
        <f t="shared" si="100"/>
        <v>0.91092463965229542</v>
      </c>
      <c r="Q453" s="13">
        <f t="shared" si="101"/>
        <v>0.91744250687265616</v>
      </c>
      <c r="R453" s="15" t="b">
        <f t="shared" si="102"/>
        <v>0</v>
      </c>
      <c r="S453" s="13">
        <f t="shared" si="103"/>
        <v>3.7208776294955892E-2</v>
      </c>
    </row>
    <row r="454" spans="1:19" x14ac:dyDescent="0.3">
      <c r="A454" s="4">
        <v>45616</v>
      </c>
      <c r="B454" s="2">
        <v>244</v>
      </c>
      <c r="C454" s="2">
        <v>482</v>
      </c>
      <c r="D454" s="2">
        <v>366</v>
      </c>
      <c r="E454">
        <v>8404</v>
      </c>
      <c r="F454">
        <v>329</v>
      </c>
      <c r="G454" s="2">
        <f t="shared" si="91"/>
        <v>8886</v>
      </c>
      <c r="H454">
        <f t="shared" si="92"/>
        <v>8075</v>
      </c>
      <c r="I454" s="13">
        <f t="shared" si="93"/>
        <v>2.959752321981424E-2</v>
      </c>
      <c r="J454" t="str">
        <f t="shared" si="94"/>
        <v>Backlog</v>
      </c>
      <c r="K454" s="13">
        <f t="shared" si="95"/>
        <v>0.90873283817240602</v>
      </c>
      <c r="L454" s="13">
        <f t="shared" si="96"/>
        <v>6.3611298672068424</v>
      </c>
      <c r="M454" s="13">
        <f t="shared" si="97"/>
        <v>27.261985145172179</v>
      </c>
      <c r="N454" t="b">
        <f t="shared" si="98"/>
        <v>1</v>
      </c>
      <c r="O454">
        <f t="shared" si="99"/>
        <v>47</v>
      </c>
      <c r="P454" s="13">
        <f t="shared" si="100"/>
        <v>0.92312349402394356</v>
      </c>
      <c r="Q454" s="13">
        <f t="shared" si="101"/>
        <v>0.91713112496855598</v>
      </c>
      <c r="R454" s="15" t="str">
        <f t="shared" si="102"/>
        <v>STRAIN</v>
      </c>
      <c r="S454" s="13">
        <f t="shared" si="103"/>
        <v>3.7024532973216298E-2</v>
      </c>
    </row>
    <row r="455" spans="1:19" x14ac:dyDescent="0.3">
      <c r="A455" s="4">
        <v>45617</v>
      </c>
      <c r="B455" s="2">
        <v>165</v>
      </c>
      <c r="C455" s="2">
        <v>400</v>
      </c>
      <c r="D455" s="2">
        <v>292</v>
      </c>
      <c r="E455">
        <v>8607</v>
      </c>
      <c r="F455">
        <v>293</v>
      </c>
      <c r="G455" s="2">
        <f t="shared" si="91"/>
        <v>9007</v>
      </c>
      <c r="H455">
        <f t="shared" si="92"/>
        <v>8314</v>
      </c>
      <c r="I455" s="13">
        <f t="shared" si="93"/>
        <v>3.367813326918451E-3</v>
      </c>
      <c r="J455" t="str">
        <f t="shared" si="94"/>
        <v>Backlog</v>
      </c>
      <c r="K455" s="13">
        <f t="shared" si="95"/>
        <v>0.92305984234484295</v>
      </c>
      <c r="L455" s="13">
        <f t="shared" si="96"/>
        <v>6.4614188964139005</v>
      </c>
      <c r="M455" s="13">
        <f t="shared" si="97"/>
        <v>27.691795270345288</v>
      </c>
      <c r="N455" t="b">
        <f t="shared" si="98"/>
        <v>1</v>
      </c>
      <c r="O455">
        <f t="shared" si="99"/>
        <v>47</v>
      </c>
      <c r="P455" s="13">
        <f t="shared" si="100"/>
        <v>0.93118691325685421</v>
      </c>
      <c r="Q455" s="13">
        <f t="shared" si="101"/>
        <v>0.91907369665814942</v>
      </c>
      <c r="R455" s="15" t="str">
        <f t="shared" si="102"/>
        <v>STRAIN</v>
      </c>
      <c r="S455" s="13">
        <f t="shared" si="103"/>
        <v>3.2530254246697012E-2</v>
      </c>
    </row>
    <row r="456" spans="1:19" x14ac:dyDescent="0.3">
      <c r="A456" s="4">
        <v>45620</v>
      </c>
      <c r="B456" s="2">
        <v>232</v>
      </c>
      <c r="C456" s="2">
        <v>430</v>
      </c>
      <c r="D456" s="2">
        <v>318</v>
      </c>
      <c r="E456">
        <v>8573</v>
      </c>
      <c r="F456">
        <v>231</v>
      </c>
      <c r="G456" s="2">
        <f t="shared" si="91"/>
        <v>9003</v>
      </c>
      <c r="H456">
        <f t="shared" si="92"/>
        <v>8342</v>
      </c>
      <c r="I456" s="13">
        <f t="shared" si="93"/>
        <v>-5.5142651642292014E-3</v>
      </c>
      <c r="J456" t="str">
        <f t="shared" si="94"/>
        <v>No Backlog</v>
      </c>
      <c r="K456" s="13">
        <f t="shared" si="95"/>
        <v>0.9265800288792625</v>
      </c>
      <c r="L456" s="13">
        <f t="shared" si="96"/>
        <v>6.486060202154837</v>
      </c>
      <c r="M456" s="13">
        <f t="shared" si="97"/>
        <v>27.797400866377874</v>
      </c>
      <c r="N456" t="b">
        <f t="shared" si="98"/>
        <v>1</v>
      </c>
      <c r="O456">
        <f t="shared" si="99"/>
        <v>48</v>
      </c>
      <c r="P456" s="13">
        <f t="shared" si="100"/>
        <v>0.92433202335772557</v>
      </c>
      <c r="Q456" s="13">
        <f t="shared" si="101"/>
        <v>0.91097697512994769</v>
      </c>
      <c r="R456" s="15" t="b">
        <f t="shared" si="102"/>
        <v>0</v>
      </c>
      <c r="S456" s="13">
        <f t="shared" si="103"/>
        <v>2.5658113962012664E-2</v>
      </c>
    </row>
    <row r="457" spans="1:19" x14ac:dyDescent="0.3">
      <c r="A457" s="4">
        <v>45621</v>
      </c>
      <c r="B457" s="2">
        <v>149</v>
      </c>
      <c r="C457" s="2">
        <v>395</v>
      </c>
      <c r="D457" s="2">
        <v>273</v>
      </c>
      <c r="E457">
        <v>8488</v>
      </c>
      <c r="F457">
        <v>192</v>
      </c>
      <c r="G457" s="2">
        <f t="shared" si="91"/>
        <v>8883</v>
      </c>
      <c r="H457">
        <f t="shared" si="92"/>
        <v>8296</v>
      </c>
      <c r="I457" s="13">
        <f t="shared" si="93"/>
        <v>-1.6152362584378015E-2</v>
      </c>
      <c r="J457" t="str">
        <f t="shared" si="94"/>
        <v>No Backlog</v>
      </c>
      <c r="K457" s="13">
        <f t="shared" si="95"/>
        <v>0.93391872115276375</v>
      </c>
      <c r="L457" s="13">
        <f t="shared" si="96"/>
        <v>6.5374310480693465</v>
      </c>
      <c r="M457" s="13">
        <f t="shared" si="97"/>
        <v>28.017561634582911</v>
      </c>
      <c r="N457" t="b">
        <f t="shared" si="98"/>
        <v>1</v>
      </c>
      <c r="O457">
        <f t="shared" si="99"/>
        <v>48</v>
      </c>
      <c r="P457" s="13">
        <f t="shared" si="100"/>
        <v>0.91667351295066724</v>
      </c>
      <c r="Q457" s="13">
        <f t="shared" si="101"/>
        <v>0.92005305533183268</v>
      </c>
      <c r="R457" s="15" t="b">
        <f t="shared" si="102"/>
        <v>0</v>
      </c>
      <c r="S457" s="13">
        <f t="shared" si="103"/>
        <v>2.1614319486659914E-2</v>
      </c>
    </row>
    <row r="458" spans="1:19" x14ac:dyDescent="0.3">
      <c r="A458" s="4">
        <v>45622</v>
      </c>
      <c r="B458" s="2">
        <v>249</v>
      </c>
      <c r="C458" s="2">
        <v>420</v>
      </c>
      <c r="D458" s="2">
        <v>371</v>
      </c>
      <c r="E458">
        <v>8380</v>
      </c>
      <c r="F458">
        <v>218</v>
      </c>
      <c r="G458" s="2">
        <f t="shared" si="91"/>
        <v>8800</v>
      </c>
      <c r="H458">
        <f t="shared" si="92"/>
        <v>8162</v>
      </c>
      <c r="I458" s="13">
        <f t="shared" si="93"/>
        <v>-1.3477088948787063E-3</v>
      </c>
      <c r="J458" t="str">
        <f t="shared" si="94"/>
        <v>No Backlog</v>
      </c>
      <c r="K458" s="13">
        <f t="shared" si="95"/>
        <v>0.92749999999999999</v>
      </c>
      <c r="L458" s="13">
        <f t="shared" si="96"/>
        <v>6.4924999999999997</v>
      </c>
      <c r="M458" s="13">
        <f t="shared" si="97"/>
        <v>27.824999999999999</v>
      </c>
      <c r="N458" t="b">
        <f t="shared" si="98"/>
        <v>1</v>
      </c>
      <c r="O458">
        <f t="shared" si="99"/>
        <v>48</v>
      </c>
      <c r="P458" s="13">
        <f t="shared" si="100"/>
        <v>0.91689838264072754</v>
      </c>
      <c r="Q458" s="13">
        <f t="shared" si="101"/>
        <v>0.92070249130938586</v>
      </c>
      <c r="R458" s="15" t="b">
        <f t="shared" si="102"/>
        <v>0</v>
      </c>
      <c r="S458" s="13">
        <f t="shared" si="103"/>
        <v>2.4772727272727273E-2</v>
      </c>
    </row>
    <row r="459" spans="1:19" x14ac:dyDescent="0.3">
      <c r="A459" s="4">
        <v>45623</v>
      </c>
      <c r="B459" s="2">
        <v>333</v>
      </c>
      <c r="C459" s="2">
        <v>508</v>
      </c>
      <c r="D459" s="2">
        <v>272</v>
      </c>
      <c r="E459">
        <v>8463</v>
      </c>
      <c r="F459">
        <v>312</v>
      </c>
      <c r="G459" s="2">
        <f t="shared" si="91"/>
        <v>8971</v>
      </c>
      <c r="H459">
        <f t="shared" si="92"/>
        <v>8151</v>
      </c>
      <c r="I459" s="13">
        <f t="shared" si="93"/>
        <v>1.607164765059502E-2</v>
      </c>
      <c r="J459" t="str">
        <f t="shared" si="94"/>
        <v>Backlog</v>
      </c>
      <c r="K459" s="13">
        <f t="shared" si="95"/>
        <v>0.9085943596031657</v>
      </c>
      <c r="L459" s="13">
        <f t="shared" si="96"/>
        <v>6.3601605172221598</v>
      </c>
      <c r="M459" s="13">
        <f t="shared" si="97"/>
        <v>27.257830788094971</v>
      </c>
      <c r="N459" t="b">
        <f t="shared" si="98"/>
        <v>1</v>
      </c>
      <c r="O459">
        <f t="shared" si="99"/>
        <v>48</v>
      </c>
      <c r="P459" s="13">
        <f t="shared" si="100"/>
        <v>0.91511222682352644</v>
      </c>
      <c r="Q459" s="13">
        <f t="shared" si="101"/>
        <v>0.93132581941972126</v>
      </c>
      <c r="R459" s="15" t="str">
        <f t="shared" si="102"/>
        <v>STRAIN</v>
      </c>
      <c r="S459" s="13">
        <f t="shared" si="103"/>
        <v>3.4778731468063762E-2</v>
      </c>
    </row>
    <row r="460" spans="1:19" x14ac:dyDescent="0.3">
      <c r="A460" s="4">
        <v>45624</v>
      </c>
      <c r="B460" s="2">
        <v>185</v>
      </c>
      <c r="C460" s="2">
        <v>322</v>
      </c>
      <c r="D460" s="2">
        <v>272</v>
      </c>
      <c r="E460">
        <v>8512</v>
      </c>
      <c r="F460">
        <v>230</v>
      </c>
      <c r="G460" s="2">
        <f t="shared" si="91"/>
        <v>8834</v>
      </c>
      <c r="H460">
        <f t="shared" si="92"/>
        <v>8282</v>
      </c>
      <c r="I460" s="13">
        <f t="shared" si="93"/>
        <v>-1.1349915479352813E-2</v>
      </c>
      <c r="J460" t="str">
        <f t="shared" si="94"/>
        <v>No Backlog</v>
      </c>
      <c r="K460" s="13">
        <f t="shared" si="95"/>
        <v>0.9375141498754811</v>
      </c>
      <c r="L460" s="13">
        <f t="shared" si="96"/>
        <v>6.5625990491283677</v>
      </c>
      <c r="M460" s="13">
        <f t="shared" si="97"/>
        <v>28.125424496264433</v>
      </c>
      <c r="N460" t="b">
        <f t="shared" si="98"/>
        <v>1</v>
      </c>
      <c r="O460">
        <f t="shared" si="99"/>
        <v>48</v>
      </c>
      <c r="P460" s="13">
        <f t="shared" si="100"/>
        <v>0.93152178082009351</v>
      </c>
      <c r="Q460" s="13">
        <f t="shared" si="101"/>
        <v>0.94072249695719068</v>
      </c>
      <c r="R460" s="15" t="b">
        <f t="shared" si="102"/>
        <v>0</v>
      </c>
      <c r="S460" s="13">
        <f t="shared" si="103"/>
        <v>2.6035770885216209E-2</v>
      </c>
    </row>
    <row r="461" spans="1:19" x14ac:dyDescent="0.3">
      <c r="A461" s="4">
        <v>45627</v>
      </c>
      <c r="B461" s="2">
        <v>227</v>
      </c>
      <c r="C461" s="2">
        <v>369</v>
      </c>
      <c r="D461" s="2">
        <v>349</v>
      </c>
      <c r="E461">
        <v>8348</v>
      </c>
      <c r="F461">
        <v>160</v>
      </c>
      <c r="G461" s="2">
        <f t="shared" si="91"/>
        <v>8717</v>
      </c>
      <c r="H461">
        <f t="shared" si="92"/>
        <v>8188</v>
      </c>
      <c r="I461" s="13">
        <f t="shared" si="93"/>
        <v>-4.0302882266731802E-2</v>
      </c>
      <c r="J461" t="str">
        <f t="shared" si="94"/>
        <v>No Backlog</v>
      </c>
      <c r="K461" s="13">
        <f t="shared" si="95"/>
        <v>0.93931398416886547</v>
      </c>
      <c r="L461" s="13">
        <f t="shared" si="96"/>
        <v>6.5751978891820579</v>
      </c>
      <c r="M461" s="13">
        <f t="shared" si="97"/>
        <v>28.179419525065963</v>
      </c>
      <c r="N461" t="b">
        <f t="shared" si="98"/>
        <v>1</v>
      </c>
      <c r="O461">
        <f t="shared" si="99"/>
        <v>49</v>
      </c>
      <c r="P461" s="13">
        <f t="shared" si="100"/>
        <v>0.92720076757016079</v>
      </c>
      <c r="Q461" s="13">
        <f t="shared" si="101"/>
        <v>0.93552068897342922</v>
      </c>
      <c r="R461" s="15" t="b">
        <f t="shared" si="102"/>
        <v>0</v>
      </c>
      <c r="S461" s="13">
        <f t="shared" si="103"/>
        <v>1.8354938625673969E-2</v>
      </c>
    </row>
    <row r="462" spans="1:19" x14ac:dyDescent="0.3">
      <c r="A462" s="4">
        <v>45628</v>
      </c>
      <c r="B462" s="2">
        <v>213</v>
      </c>
      <c r="C462" s="2">
        <v>430</v>
      </c>
      <c r="D462" s="2">
        <v>440</v>
      </c>
      <c r="E462">
        <v>8092</v>
      </c>
      <c r="F462">
        <v>234</v>
      </c>
      <c r="G462" s="2">
        <f t="shared" si="91"/>
        <v>8522</v>
      </c>
      <c r="H462">
        <f t="shared" si="92"/>
        <v>7858</v>
      </c>
      <c r="I462" s="13">
        <f t="shared" si="93"/>
        <v>-1.8961567828964115E-2</v>
      </c>
      <c r="J462" t="str">
        <f t="shared" si="94"/>
        <v>No Backlog</v>
      </c>
      <c r="K462" s="13">
        <f t="shared" si="95"/>
        <v>0.92208401783618865</v>
      </c>
      <c r="L462" s="13">
        <f t="shared" si="96"/>
        <v>6.4545881248533208</v>
      </c>
      <c r="M462" s="13">
        <f t="shared" si="97"/>
        <v>27.662520535085658</v>
      </c>
      <c r="N462" t="b">
        <f t="shared" si="98"/>
        <v>0</v>
      </c>
      <c r="O462">
        <f t="shared" si="99"/>
        <v>49</v>
      </c>
      <c r="P462" s="13">
        <f t="shared" si="100"/>
        <v>0.90872896960841065</v>
      </c>
      <c r="Q462" s="13">
        <f t="shared" si="101"/>
        <v>0.93224525900771082</v>
      </c>
      <c r="R462" s="15" t="b">
        <f t="shared" si="102"/>
        <v>0</v>
      </c>
      <c r="S462" s="13">
        <f t="shared" si="103"/>
        <v>2.7458343111945553E-2</v>
      </c>
    </row>
    <row r="463" spans="1:19" x14ac:dyDescent="0.3">
      <c r="A463" s="4">
        <v>45629</v>
      </c>
      <c r="B463" s="2">
        <v>205</v>
      </c>
      <c r="C463" s="2">
        <v>515</v>
      </c>
      <c r="D463" s="2">
        <v>226</v>
      </c>
      <c r="E463">
        <v>8056</v>
      </c>
      <c r="F463">
        <v>347</v>
      </c>
      <c r="G463" s="2">
        <f t="shared" si="91"/>
        <v>8571</v>
      </c>
      <c r="H463">
        <f t="shared" si="92"/>
        <v>7709</v>
      </c>
      <c r="I463" s="13">
        <f t="shared" si="93"/>
        <v>2.1273835776365286E-2</v>
      </c>
      <c r="J463" t="str">
        <f t="shared" si="94"/>
        <v>Backlog</v>
      </c>
      <c r="K463" s="13">
        <f t="shared" si="95"/>
        <v>0.89942830474857072</v>
      </c>
      <c r="L463" s="13">
        <f t="shared" si="96"/>
        <v>6.295998133239995</v>
      </c>
      <c r="M463" s="13">
        <f t="shared" si="97"/>
        <v>26.98284914245712</v>
      </c>
      <c r="N463" t="b">
        <f t="shared" si="98"/>
        <v>1</v>
      </c>
      <c r="O463">
        <f t="shared" si="99"/>
        <v>49</v>
      </c>
      <c r="P463" s="13">
        <f t="shared" si="100"/>
        <v>0.90280784712973616</v>
      </c>
      <c r="Q463" s="13">
        <f t="shared" si="101"/>
        <v>0.92360806293565556</v>
      </c>
      <c r="R463" s="15" t="str">
        <f t="shared" si="102"/>
        <v>STRAIN</v>
      </c>
      <c r="S463" s="13">
        <f t="shared" si="103"/>
        <v>4.0485357601213391E-2</v>
      </c>
    </row>
    <row r="464" spans="1:19" x14ac:dyDescent="0.3">
      <c r="A464" s="4">
        <v>45630</v>
      </c>
      <c r="B464" s="2">
        <v>298</v>
      </c>
      <c r="C464" s="2">
        <v>499</v>
      </c>
      <c r="D464" s="2">
        <v>358</v>
      </c>
      <c r="E464">
        <v>8188</v>
      </c>
      <c r="F464">
        <v>315</v>
      </c>
      <c r="G464" s="2">
        <f t="shared" si="91"/>
        <v>8687</v>
      </c>
      <c r="H464">
        <f t="shared" si="92"/>
        <v>7873</v>
      </c>
      <c r="I464" s="13">
        <f t="shared" si="93"/>
        <v>8.2560650323891781E-3</v>
      </c>
      <c r="J464" t="str">
        <f t="shared" si="94"/>
        <v>Backlog</v>
      </c>
      <c r="K464" s="13">
        <f t="shared" si="95"/>
        <v>0.90629676528145509</v>
      </c>
      <c r="L464" s="13">
        <f t="shared" si="96"/>
        <v>6.3440773569701854</v>
      </c>
      <c r="M464" s="13">
        <f t="shared" si="97"/>
        <v>27.188902958443652</v>
      </c>
      <c r="N464" t="b">
        <f t="shared" si="98"/>
        <v>1</v>
      </c>
      <c r="O464">
        <f t="shared" si="99"/>
        <v>49</v>
      </c>
      <c r="P464" s="13">
        <f t="shared" si="100"/>
        <v>0.91010087395011341</v>
      </c>
      <c r="Q464" s="13">
        <f t="shared" si="101"/>
        <v>0.9274337552038181</v>
      </c>
      <c r="R464" s="15" t="str">
        <f t="shared" si="102"/>
        <v>STRAIN</v>
      </c>
      <c r="S464" s="13">
        <f t="shared" si="103"/>
        <v>3.6261079774375503E-2</v>
      </c>
    </row>
    <row r="465" spans="1:19" x14ac:dyDescent="0.3">
      <c r="A465" s="4">
        <v>45631</v>
      </c>
      <c r="B465" s="2">
        <v>227</v>
      </c>
      <c r="C465" s="2">
        <v>453</v>
      </c>
      <c r="D465" s="2">
        <v>330</v>
      </c>
      <c r="E465">
        <v>8160</v>
      </c>
      <c r="F465">
        <v>222</v>
      </c>
      <c r="G465" s="2">
        <f t="shared" si="91"/>
        <v>8613</v>
      </c>
      <c r="H465">
        <f t="shared" si="92"/>
        <v>7938</v>
      </c>
      <c r="I465" s="13">
        <f t="shared" si="93"/>
        <v>-8.9443184681279927E-3</v>
      </c>
      <c r="J465" t="str">
        <f t="shared" si="94"/>
        <v>No Backlog</v>
      </c>
      <c r="K465" s="13">
        <f t="shared" si="95"/>
        <v>0.92163009404388718</v>
      </c>
      <c r="L465" s="13">
        <f t="shared" si="96"/>
        <v>6.4514106583072106</v>
      </c>
      <c r="M465" s="13">
        <f t="shared" si="97"/>
        <v>27.648902821316614</v>
      </c>
      <c r="N465" t="b">
        <f t="shared" si="98"/>
        <v>1</v>
      </c>
      <c r="O465">
        <f t="shared" si="99"/>
        <v>49</v>
      </c>
      <c r="P465" s="13">
        <f t="shared" si="100"/>
        <v>0.937843686640082</v>
      </c>
      <c r="Q465" s="13">
        <f t="shared" si="101"/>
        <v>0.9324651560599857</v>
      </c>
      <c r="R465" s="15" t="b">
        <f t="shared" si="102"/>
        <v>0</v>
      </c>
      <c r="S465" s="13">
        <f t="shared" si="103"/>
        <v>2.5774991292232673E-2</v>
      </c>
    </row>
    <row r="466" spans="1:19" x14ac:dyDescent="0.3">
      <c r="A466" s="4">
        <v>45634</v>
      </c>
      <c r="B466" s="2">
        <v>291</v>
      </c>
      <c r="C466" s="2">
        <v>455</v>
      </c>
      <c r="D466" s="2">
        <v>323</v>
      </c>
      <c r="E466">
        <v>8045</v>
      </c>
      <c r="F466">
        <v>178</v>
      </c>
      <c r="G466" s="2">
        <f t="shared" si="91"/>
        <v>8500</v>
      </c>
      <c r="H466">
        <f t="shared" si="92"/>
        <v>7867</v>
      </c>
      <c r="I466" s="13">
        <f t="shared" si="93"/>
        <v>-3.0125842125333674E-2</v>
      </c>
      <c r="J466" t="str">
        <f t="shared" si="94"/>
        <v>No Backlog</v>
      </c>
      <c r="K466" s="13">
        <f t="shared" si="95"/>
        <v>0.92552941176470593</v>
      </c>
      <c r="L466" s="13">
        <f t="shared" si="96"/>
        <v>6.4787058823529415</v>
      </c>
      <c r="M466" s="13">
        <f t="shared" si="97"/>
        <v>27.765882352941176</v>
      </c>
      <c r="N466" t="b">
        <f t="shared" si="98"/>
        <v>1</v>
      </c>
      <c r="O466">
        <f t="shared" si="99"/>
        <v>50</v>
      </c>
      <c r="P466" s="13">
        <f t="shared" si="100"/>
        <v>0.9347301279018031</v>
      </c>
      <c r="Q466" s="13">
        <f t="shared" si="101"/>
        <v>0.9286919028427647</v>
      </c>
      <c r="R466" s="15" t="b">
        <f t="shared" si="102"/>
        <v>0</v>
      </c>
      <c r="S466" s="13">
        <f t="shared" si="103"/>
        <v>2.0941176470588234E-2</v>
      </c>
    </row>
    <row r="467" spans="1:19" x14ac:dyDescent="0.3">
      <c r="A467" s="4">
        <v>45635</v>
      </c>
      <c r="B467" s="2">
        <v>157</v>
      </c>
      <c r="C467" s="2">
        <v>466</v>
      </c>
      <c r="D467" s="2">
        <v>345</v>
      </c>
      <c r="E467">
        <v>7872</v>
      </c>
      <c r="F467">
        <v>242</v>
      </c>
      <c r="G467" s="2">
        <f t="shared" si="91"/>
        <v>8338</v>
      </c>
      <c r="H467">
        <f t="shared" si="92"/>
        <v>7630</v>
      </c>
      <c r="I467" s="13">
        <f t="shared" si="93"/>
        <v>-2.0838794233289645E-2</v>
      </c>
      <c r="J467" t="str">
        <f t="shared" si="94"/>
        <v>No Backlog</v>
      </c>
      <c r="K467" s="13">
        <f t="shared" si="95"/>
        <v>0.915087550971456</v>
      </c>
      <c r="L467" s="13">
        <f t="shared" si="96"/>
        <v>6.4056128568001922</v>
      </c>
      <c r="M467" s="13">
        <f t="shared" si="97"/>
        <v>27.452626529143679</v>
      </c>
      <c r="N467" t="b">
        <f t="shared" si="98"/>
        <v>1</v>
      </c>
      <c r="O467">
        <f t="shared" si="99"/>
        <v>50</v>
      </c>
      <c r="P467" s="13">
        <f t="shared" si="100"/>
        <v>0.92340747237472454</v>
      </c>
      <c r="Q467" s="13">
        <f t="shared" si="101"/>
        <v>0.92431169772145094</v>
      </c>
      <c r="R467" s="15" t="b">
        <f t="shared" si="102"/>
        <v>0</v>
      </c>
      <c r="S467" s="13">
        <f t="shared" si="103"/>
        <v>2.9023746701846966E-2</v>
      </c>
    </row>
    <row r="468" spans="1:19" x14ac:dyDescent="0.3">
      <c r="A468" s="4">
        <v>45636</v>
      </c>
      <c r="B468" s="2">
        <v>253</v>
      </c>
      <c r="C468" s="2">
        <v>531</v>
      </c>
      <c r="D468" s="2">
        <v>248</v>
      </c>
      <c r="E468">
        <v>7813</v>
      </c>
      <c r="F468">
        <v>342</v>
      </c>
      <c r="G468" s="2">
        <f t="shared" si="91"/>
        <v>8344</v>
      </c>
      <c r="H468">
        <f t="shared" si="92"/>
        <v>7471</v>
      </c>
      <c r="I468" s="13">
        <f t="shared" si="93"/>
        <v>2.9179494043635391E-2</v>
      </c>
      <c r="J468" t="str">
        <f t="shared" si="94"/>
        <v>Backlog</v>
      </c>
      <c r="K468" s="13">
        <f t="shared" si="95"/>
        <v>0.89537392138063276</v>
      </c>
      <c r="L468" s="13">
        <f t="shared" si="96"/>
        <v>6.2676174496644297</v>
      </c>
      <c r="M468" s="13">
        <f t="shared" si="97"/>
        <v>26.861217641418982</v>
      </c>
      <c r="N468" t="b">
        <f t="shared" si="98"/>
        <v>1</v>
      </c>
      <c r="O468">
        <f t="shared" si="99"/>
        <v>50</v>
      </c>
      <c r="P468" s="13">
        <f t="shared" si="100"/>
        <v>0.91889021077993283</v>
      </c>
      <c r="Q468" s="13">
        <f t="shared" si="101"/>
        <v>0.91561858047693134</v>
      </c>
      <c r="R468" s="15" t="str">
        <f t="shared" si="102"/>
        <v>STRAIN</v>
      </c>
      <c r="S468" s="13">
        <f t="shared" si="103"/>
        <v>4.0987535953978908E-2</v>
      </c>
    </row>
    <row r="469" spans="1:19" x14ac:dyDescent="0.3">
      <c r="A469" s="4">
        <v>45637</v>
      </c>
      <c r="B469" s="2">
        <v>222</v>
      </c>
      <c r="C469" s="2">
        <v>459</v>
      </c>
      <c r="D469" s="2">
        <v>289</v>
      </c>
      <c r="E469">
        <v>8026</v>
      </c>
      <c r="F469">
        <v>337</v>
      </c>
      <c r="G469" s="2">
        <f t="shared" si="91"/>
        <v>8485</v>
      </c>
      <c r="H469">
        <f t="shared" si="92"/>
        <v>7689</v>
      </c>
      <c r="I469" s="13">
        <f t="shared" si="93"/>
        <v>2.575107296137339E-2</v>
      </c>
      <c r="J469" t="str">
        <f t="shared" si="94"/>
        <v>Backlog</v>
      </c>
      <c r="K469" s="13">
        <f t="shared" si="95"/>
        <v>0.90618738951090161</v>
      </c>
      <c r="L469" s="13">
        <f t="shared" si="96"/>
        <v>6.343311726576311</v>
      </c>
      <c r="M469" s="13">
        <f t="shared" si="97"/>
        <v>27.18562168532705</v>
      </c>
      <c r="N469" t="b">
        <f t="shared" si="98"/>
        <v>1</v>
      </c>
      <c r="O469">
        <f t="shared" si="99"/>
        <v>50</v>
      </c>
      <c r="P469" s="13">
        <f t="shared" si="100"/>
        <v>0.9269876053168209</v>
      </c>
      <c r="Q469" s="13">
        <f t="shared" si="101"/>
        <v>0.93861068326681729</v>
      </c>
      <c r="R469" s="15" t="str">
        <f t="shared" si="102"/>
        <v>STRAIN</v>
      </c>
      <c r="S469" s="13">
        <f t="shared" si="103"/>
        <v>3.9717147908073069E-2</v>
      </c>
    </row>
    <row r="470" spans="1:19" x14ac:dyDescent="0.3">
      <c r="A470" s="4">
        <v>45638</v>
      </c>
      <c r="B470" s="2">
        <v>203</v>
      </c>
      <c r="C470" s="2">
        <v>477</v>
      </c>
      <c r="D470" s="2">
        <v>258</v>
      </c>
      <c r="E470">
        <v>8153</v>
      </c>
      <c r="F470">
        <v>266</v>
      </c>
      <c r="G470" s="2">
        <f t="shared" si="91"/>
        <v>8630</v>
      </c>
      <c r="H470">
        <f t="shared" si="92"/>
        <v>7887</v>
      </c>
      <c r="I470" s="13">
        <f t="shared" si="93"/>
        <v>1.3693419551160137E-2</v>
      </c>
      <c r="J470" t="str">
        <f t="shared" si="94"/>
        <v>Backlog</v>
      </c>
      <c r="K470" s="13">
        <f t="shared" si="95"/>
        <v>0.91390498261877173</v>
      </c>
      <c r="L470" s="13">
        <f t="shared" si="96"/>
        <v>6.3973348783314021</v>
      </c>
      <c r="M470" s="13">
        <f t="shared" si="97"/>
        <v>27.417149478563154</v>
      </c>
      <c r="N470" t="b">
        <f t="shared" si="98"/>
        <v>1</v>
      </c>
      <c r="O470">
        <f t="shared" si="99"/>
        <v>50</v>
      </c>
      <c r="P470" s="13">
        <f t="shared" si="100"/>
        <v>0.93123786387247642</v>
      </c>
      <c r="Q470" s="13">
        <f t="shared" si="101"/>
        <v>0.93920576857874027</v>
      </c>
      <c r="R470" s="15" t="str">
        <f t="shared" si="102"/>
        <v>STRAIN</v>
      </c>
      <c r="S470" s="13">
        <f t="shared" si="103"/>
        <v>3.0822711471610659E-2</v>
      </c>
    </row>
    <row r="471" spans="1:19" x14ac:dyDescent="0.3">
      <c r="A471" s="4">
        <v>45641</v>
      </c>
      <c r="B471" s="2">
        <v>93</v>
      </c>
      <c r="C471" s="2">
        <v>198</v>
      </c>
      <c r="D471" s="2">
        <v>208</v>
      </c>
      <c r="E471">
        <v>8182</v>
      </c>
      <c r="F471">
        <v>187</v>
      </c>
      <c r="G471" s="2">
        <f t="shared" si="91"/>
        <v>8380</v>
      </c>
      <c r="H471">
        <f t="shared" si="92"/>
        <v>7995</v>
      </c>
      <c r="I471" s="13">
        <f t="shared" si="93"/>
        <v>-1.6635397123202E-2</v>
      </c>
      <c r="J471" t="str">
        <f t="shared" si="94"/>
        <v>No Backlog</v>
      </c>
      <c r="K471" s="13">
        <f t="shared" si="95"/>
        <v>0.95405727923627681</v>
      </c>
      <c r="L471" s="13">
        <f t="shared" si="96"/>
        <v>6.678400954653938</v>
      </c>
      <c r="M471" s="13">
        <f t="shared" si="97"/>
        <v>28.621718377088303</v>
      </c>
      <c r="N471" t="b">
        <f t="shared" si="98"/>
        <v>0</v>
      </c>
      <c r="O471">
        <f t="shared" si="99"/>
        <v>51</v>
      </c>
      <c r="P471" s="13">
        <f t="shared" si="100"/>
        <v>0.94867874865618051</v>
      </c>
      <c r="Q471" s="13">
        <f t="shared" si="101"/>
        <v>0.94735521619471497</v>
      </c>
      <c r="R471" s="15" t="b">
        <f t="shared" si="102"/>
        <v>0</v>
      </c>
      <c r="S471" s="13">
        <f t="shared" si="103"/>
        <v>2.2315035799522674E-2</v>
      </c>
    </row>
    <row r="472" spans="1:19" x14ac:dyDescent="0.3">
      <c r="A472" s="4">
        <v>45642</v>
      </c>
      <c r="B472" s="2">
        <v>137</v>
      </c>
      <c r="C472" s="2">
        <v>272</v>
      </c>
      <c r="D472" s="2">
        <v>166</v>
      </c>
      <c r="E472">
        <v>8057</v>
      </c>
      <c r="F472">
        <v>195</v>
      </c>
      <c r="G472" s="2">
        <f t="shared" si="91"/>
        <v>8329</v>
      </c>
      <c r="H472">
        <f t="shared" si="92"/>
        <v>7862</v>
      </c>
      <c r="I472" s="13">
        <f t="shared" si="93"/>
        <v>-2.0987026201984227E-2</v>
      </c>
      <c r="J472" t="str">
        <f t="shared" si="94"/>
        <v>No Backlog</v>
      </c>
      <c r="K472" s="13">
        <f t="shared" si="95"/>
        <v>0.94393084403890026</v>
      </c>
      <c r="L472" s="13">
        <f t="shared" si="96"/>
        <v>6.6075159082723021</v>
      </c>
      <c r="M472" s="13">
        <f t="shared" si="97"/>
        <v>28.317925321167007</v>
      </c>
      <c r="N472" t="b">
        <f t="shared" si="98"/>
        <v>1</v>
      </c>
      <c r="O472">
        <f t="shared" si="99"/>
        <v>51</v>
      </c>
      <c r="P472" s="13">
        <f t="shared" si="100"/>
        <v>0.93789261897986198</v>
      </c>
      <c r="Q472" s="13">
        <f t="shared" si="101"/>
        <v>0.94896943546993284</v>
      </c>
      <c r="R472" s="15" t="b">
        <f t="shared" si="102"/>
        <v>0</v>
      </c>
      <c r="S472" s="13">
        <f t="shared" si="103"/>
        <v>2.3412174330651941E-2</v>
      </c>
    </row>
    <row r="473" spans="1:19" x14ac:dyDescent="0.3">
      <c r="A473" s="4">
        <v>45643</v>
      </c>
      <c r="B473" s="2">
        <v>120</v>
      </c>
      <c r="C473" s="2">
        <v>257</v>
      </c>
      <c r="D473" s="2">
        <v>126</v>
      </c>
      <c r="E473">
        <v>8004</v>
      </c>
      <c r="F473">
        <v>307</v>
      </c>
      <c r="G473" s="2">
        <f t="shared" si="91"/>
        <v>8261</v>
      </c>
      <c r="H473">
        <f t="shared" si="92"/>
        <v>7697</v>
      </c>
      <c r="I473" s="13">
        <f t="shared" si="93"/>
        <v>2.4684942185266987E-2</v>
      </c>
      <c r="J473" t="str">
        <f t="shared" si="94"/>
        <v>Backlog</v>
      </c>
      <c r="K473" s="13">
        <f t="shared" si="95"/>
        <v>0.93172739377799296</v>
      </c>
      <c r="L473" s="13">
        <f t="shared" si="96"/>
        <v>6.5220917564459508</v>
      </c>
      <c r="M473" s="13">
        <f t="shared" si="97"/>
        <v>27.951821813339787</v>
      </c>
      <c r="N473" t="b">
        <f t="shared" si="98"/>
        <v>1</v>
      </c>
      <c r="O473">
        <f t="shared" si="99"/>
        <v>51</v>
      </c>
      <c r="P473" s="13">
        <f t="shared" si="100"/>
        <v>0.93263161912471948</v>
      </c>
      <c r="Q473" s="13">
        <f t="shared" si="101"/>
        <v>0.94550867988219378</v>
      </c>
      <c r="R473" s="15" t="str">
        <f t="shared" si="102"/>
        <v>STRAIN</v>
      </c>
      <c r="S473" s="13">
        <f t="shared" si="103"/>
        <v>3.7162571117298149E-2</v>
      </c>
    </row>
    <row r="474" spans="1:19" x14ac:dyDescent="0.3">
      <c r="A474" s="4">
        <v>45644</v>
      </c>
      <c r="B474" s="2">
        <v>102</v>
      </c>
      <c r="C474" s="2">
        <v>189</v>
      </c>
      <c r="D474" s="2">
        <v>155</v>
      </c>
      <c r="E474">
        <v>8180</v>
      </c>
      <c r="F474">
        <v>293</v>
      </c>
      <c r="G474" s="2">
        <f t="shared" si="91"/>
        <v>8369</v>
      </c>
      <c r="H474">
        <f t="shared" si="92"/>
        <v>7887</v>
      </c>
      <c r="I474" s="13">
        <f t="shared" si="93"/>
        <v>1.0396855585140105E-2</v>
      </c>
      <c r="J474" t="str">
        <f t="shared" si="94"/>
        <v>Backlog</v>
      </c>
      <c r="K474" s="13">
        <f t="shared" si="95"/>
        <v>0.94240650017923289</v>
      </c>
      <c r="L474" s="13">
        <f t="shared" si="96"/>
        <v>6.5968455012546299</v>
      </c>
      <c r="M474" s="13">
        <f t="shared" si="97"/>
        <v>28.272195005376986</v>
      </c>
      <c r="N474" t="b">
        <f t="shared" si="98"/>
        <v>1</v>
      </c>
      <c r="O474">
        <f t="shared" si="99"/>
        <v>51</v>
      </c>
      <c r="P474" s="13">
        <f t="shared" si="100"/>
        <v>0.9391348698762314</v>
      </c>
      <c r="Q474" s="13">
        <f t="shared" si="101"/>
        <v>0.94906435549335599</v>
      </c>
      <c r="R474" s="15" t="str">
        <f t="shared" si="102"/>
        <v>STRAIN</v>
      </c>
      <c r="S474" s="13">
        <f t="shared" si="103"/>
        <v>3.5010156530051378E-2</v>
      </c>
    </row>
    <row r="475" spans="1:19" x14ac:dyDescent="0.3">
      <c r="A475" s="4">
        <v>45645</v>
      </c>
      <c r="B475" s="2">
        <v>90</v>
      </c>
      <c r="C475" s="2">
        <v>196</v>
      </c>
      <c r="D475" s="2">
        <v>205</v>
      </c>
      <c r="E475">
        <v>8212</v>
      </c>
      <c r="F475">
        <v>243</v>
      </c>
      <c r="G475" s="2">
        <f t="shared" si="91"/>
        <v>8408</v>
      </c>
      <c r="H475">
        <f t="shared" si="92"/>
        <v>7969</v>
      </c>
      <c r="I475" s="13">
        <f t="shared" si="93"/>
        <v>-4.7684778516752417E-3</v>
      </c>
      <c r="J475" t="str">
        <f t="shared" si="94"/>
        <v>No Backlog</v>
      </c>
      <c r="K475" s="13">
        <f t="shared" si="95"/>
        <v>0.94778782112274029</v>
      </c>
      <c r="L475" s="13">
        <f t="shared" si="96"/>
        <v>6.6345147478591819</v>
      </c>
      <c r="M475" s="13">
        <f t="shared" si="97"/>
        <v>28.43363463368221</v>
      </c>
      <c r="N475" t="b">
        <f t="shared" si="98"/>
        <v>0</v>
      </c>
      <c r="O475">
        <f t="shared" si="99"/>
        <v>51</v>
      </c>
      <c r="P475" s="13">
        <f t="shared" si="100"/>
        <v>0.95941089907273658</v>
      </c>
      <c r="Q475" s="13">
        <f t="shared" si="101"/>
        <v>0.94911867557976004</v>
      </c>
      <c r="R475" s="15" t="b">
        <f t="shared" si="102"/>
        <v>0</v>
      </c>
      <c r="S475" s="13">
        <f t="shared" si="103"/>
        <v>2.890104662226451E-2</v>
      </c>
    </row>
    <row r="476" spans="1:19" x14ac:dyDescent="0.3">
      <c r="A476" s="4">
        <v>45648</v>
      </c>
      <c r="B476" s="2">
        <v>128</v>
      </c>
      <c r="C476" s="2">
        <v>228</v>
      </c>
      <c r="D476" s="2">
        <v>177</v>
      </c>
      <c r="E476">
        <v>8133</v>
      </c>
      <c r="F476">
        <v>202</v>
      </c>
      <c r="G476" s="2">
        <f t="shared" si="91"/>
        <v>8361</v>
      </c>
      <c r="H476">
        <f t="shared" si="92"/>
        <v>7931</v>
      </c>
      <c r="I476" s="13">
        <f t="shared" si="93"/>
        <v>-1.8282688185600807E-2</v>
      </c>
      <c r="J476" t="str">
        <f t="shared" si="94"/>
        <v>No Backlog</v>
      </c>
      <c r="K476" s="13">
        <f t="shared" si="95"/>
        <v>0.94857074512618111</v>
      </c>
      <c r="L476" s="13">
        <f t="shared" si="96"/>
        <v>6.6399952158832676</v>
      </c>
      <c r="M476" s="13">
        <f t="shared" si="97"/>
        <v>28.457122353785433</v>
      </c>
      <c r="N476" t="b">
        <f t="shared" si="98"/>
        <v>1</v>
      </c>
      <c r="O476">
        <f t="shared" si="99"/>
        <v>52</v>
      </c>
      <c r="P476" s="13">
        <f t="shared" si="100"/>
        <v>0.95653864983244508</v>
      </c>
      <c r="Q476" s="13">
        <f t="shared" si="101"/>
        <v>0.95028910739035477</v>
      </c>
      <c r="R476" s="15" t="b">
        <f t="shared" si="102"/>
        <v>0</v>
      </c>
      <c r="S476" s="13">
        <f t="shared" si="103"/>
        <v>2.4159789498863771E-2</v>
      </c>
    </row>
    <row r="477" spans="1:19" x14ac:dyDescent="0.3">
      <c r="A477" s="4">
        <v>45649</v>
      </c>
      <c r="B477" s="2">
        <v>136</v>
      </c>
      <c r="C477" s="2">
        <v>246</v>
      </c>
      <c r="D477" s="2">
        <v>123</v>
      </c>
      <c r="E477">
        <v>8008</v>
      </c>
      <c r="F477">
        <v>222</v>
      </c>
      <c r="G477" s="2">
        <f t="shared" si="91"/>
        <v>8254</v>
      </c>
      <c r="H477">
        <f t="shared" si="92"/>
        <v>7786</v>
      </c>
      <c r="I477" s="13">
        <f t="shared" si="93"/>
        <v>-2.3503724633958386E-2</v>
      </c>
      <c r="J477" t="str">
        <f t="shared" si="94"/>
        <v>No Backlog</v>
      </c>
      <c r="K477" s="13">
        <f t="shared" si="95"/>
        <v>0.94330021807608433</v>
      </c>
      <c r="L477" s="13">
        <f t="shared" si="96"/>
        <v>6.6031015265325905</v>
      </c>
      <c r="M477" s="13">
        <f t="shared" si="97"/>
        <v>28.29900654228253</v>
      </c>
      <c r="N477" t="b">
        <f t="shared" si="98"/>
        <v>1</v>
      </c>
      <c r="O477">
        <f t="shared" si="99"/>
        <v>52</v>
      </c>
      <c r="P477" s="13">
        <f t="shared" si="100"/>
        <v>0.94197668561461878</v>
      </c>
      <c r="Q477" s="13">
        <f t="shared" si="101"/>
        <v>0.95062207165486456</v>
      </c>
      <c r="R477" s="15" t="b">
        <f t="shared" si="102"/>
        <v>0</v>
      </c>
      <c r="S477" s="13">
        <f t="shared" si="103"/>
        <v>2.6896050399806155E-2</v>
      </c>
    </row>
    <row r="478" spans="1:19" x14ac:dyDescent="0.3">
      <c r="A478" s="4">
        <v>45650</v>
      </c>
      <c r="B478" s="2">
        <v>105</v>
      </c>
      <c r="C478" s="2">
        <v>185</v>
      </c>
      <c r="D478" s="2">
        <v>158</v>
      </c>
      <c r="E478">
        <v>7974</v>
      </c>
      <c r="F478">
        <v>371</v>
      </c>
      <c r="G478" s="2">
        <f t="shared" si="91"/>
        <v>8159</v>
      </c>
      <c r="H478">
        <f t="shared" si="92"/>
        <v>7603</v>
      </c>
      <c r="I478" s="13">
        <f t="shared" si="93"/>
        <v>1.0522162304353544E-2</v>
      </c>
      <c r="J478" t="str">
        <f t="shared" si="94"/>
        <v>Backlog</v>
      </c>
      <c r="K478" s="13">
        <f t="shared" si="95"/>
        <v>0.93185439392082359</v>
      </c>
      <c r="L478" s="13">
        <f t="shared" si="96"/>
        <v>6.5229807574457652</v>
      </c>
      <c r="M478" s="13">
        <f t="shared" si="97"/>
        <v>27.955631817624706</v>
      </c>
      <c r="N478" t="b">
        <f t="shared" si="98"/>
        <v>1</v>
      </c>
      <c r="O478">
        <f t="shared" si="99"/>
        <v>52</v>
      </c>
      <c r="P478" s="13">
        <f t="shared" si="100"/>
        <v>0.94293121041089445</v>
      </c>
      <c r="Q478" s="13">
        <f t="shared" si="101"/>
        <v>0.94406477471379635</v>
      </c>
      <c r="R478" s="15" t="str">
        <f t="shared" si="102"/>
        <v>STRAIN</v>
      </c>
      <c r="S478" s="13">
        <f t="shared" si="103"/>
        <v>4.5471258732687828E-2</v>
      </c>
    </row>
    <row r="479" spans="1:19" x14ac:dyDescent="0.3">
      <c r="A479" s="4">
        <v>45651</v>
      </c>
      <c r="B479" s="2">
        <v>116</v>
      </c>
      <c r="C479" s="2">
        <v>188</v>
      </c>
      <c r="D479" s="2">
        <v>164</v>
      </c>
      <c r="E479">
        <v>8042</v>
      </c>
      <c r="F479">
        <v>359</v>
      </c>
      <c r="G479" s="2">
        <f t="shared" si="91"/>
        <v>8230</v>
      </c>
      <c r="H479">
        <f t="shared" si="92"/>
        <v>7683</v>
      </c>
      <c r="I479" s="13">
        <f t="shared" si="93"/>
        <v>4.6856696602889493E-3</v>
      </c>
      <c r="J479" t="str">
        <f t="shared" si="94"/>
        <v>Backlog</v>
      </c>
      <c r="K479" s="13">
        <f t="shared" si="95"/>
        <v>0.93353584447144589</v>
      </c>
      <c r="L479" s="13">
        <f t="shared" si="96"/>
        <v>6.5347509113001214</v>
      </c>
      <c r="M479" s="13">
        <f t="shared" si="97"/>
        <v>28.006075334143375</v>
      </c>
      <c r="N479" t="b">
        <f t="shared" si="98"/>
        <v>1</v>
      </c>
      <c r="O479">
        <f t="shared" si="99"/>
        <v>52</v>
      </c>
      <c r="P479" s="13">
        <f t="shared" si="100"/>
        <v>0.9464129052289203</v>
      </c>
      <c r="Q479" s="13">
        <f t="shared" si="101"/>
        <v>0.94793947035287773</v>
      </c>
      <c r="R479" s="15" t="str">
        <f t="shared" si="102"/>
        <v>STRAIN</v>
      </c>
      <c r="S479" s="13">
        <f t="shared" si="103"/>
        <v>4.3620899149453218E-2</v>
      </c>
    </row>
    <row r="480" spans="1:19" x14ac:dyDescent="0.3">
      <c r="A480" s="4">
        <v>45652</v>
      </c>
      <c r="B480" s="2">
        <v>80</v>
      </c>
      <c r="C480" s="2">
        <v>176</v>
      </c>
      <c r="D480" s="2">
        <v>125</v>
      </c>
      <c r="E480">
        <v>8072</v>
      </c>
      <c r="F480">
        <v>353</v>
      </c>
      <c r="G480" s="2">
        <f t="shared" si="91"/>
        <v>8248</v>
      </c>
      <c r="H480">
        <f t="shared" si="92"/>
        <v>7719</v>
      </c>
      <c r="I480" s="13">
        <f t="shared" si="93"/>
        <v>2.9278403938333981E-2</v>
      </c>
      <c r="J480" t="str">
        <f t="shared" si="94"/>
        <v>Backlog</v>
      </c>
      <c r="K480" s="13">
        <f t="shared" si="95"/>
        <v>0.93586323957322992</v>
      </c>
      <c r="L480" s="13">
        <f t="shared" si="96"/>
        <v>6.5510426770126093</v>
      </c>
      <c r="M480" s="13">
        <f t="shared" si="97"/>
        <v>28.075897187196897</v>
      </c>
      <c r="N480" t="b">
        <f t="shared" si="98"/>
        <v>1</v>
      </c>
      <c r="O480">
        <f t="shared" si="99"/>
        <v>52</v>
      </c>
      <c r="P480" s="13">
        <f t="shared" si="100"/>
        <v>0.9457927251903544</v>
      </c>
      <c r="Q480" s="13">
        <f t="shared" si="101"/>
        <v>0.94746765224670138</v>
      </c>
      <c r="R480" s="15" t="str">
        <f t="shared" si="102"/>
        <v>STRAIN</v>
      </c>
      <c r="S480" s="13">
        <f t="shared" si="103"/>
        <v>4.2798254122211443E-2</v>
      </c>
    </row>
    <row r="481" spans="1:19" x14ac:dyDescent="0.3">
      <c r="A481" s="4">
        <v>45655</v>
      </c>
      <c r="B481" s="2">
        <v>32</v>
      </c>
      <c r="C481" s="2">
        <v>49</v>
      </c>
      <c r="D481" s="2">
        <v>39</v>
      </c>
      <c r="E481">
        <v>8133</v>
      </c>
      <c r="F481">
        <v>188</v>
      </c>
      <c r="G481" s="2">
        <f t="shared" si="91"/>
        <v>8182</v>
      </c>
      <c r="H481">
        <f t="shared" si="92"/>
        <v>7945</v>
      </c>
      <c r="I481" s="13">
        <f t="shared" si="93"/>
        <v>-1.8376337319068597E-2</v>
      </c>
      <c r="J481" t="str">
        <f t="shared" si="94"/>
        <v>No Backlog</v>
      </c>
      <c r="K481" s="13">
        <f t="shared" si="95"/>
        <v>0.97103397702273286</v>
      </c>
      <c r="L481" s="13">
        <f t="shared" si="96"/>
        <v>6.7972378391591297</v>
      </c>
      <c r="M481" s="13">
        <f t="shared" si="97"/>
        <v>29.131019310681985</v>
      </c>
      <c r="N481" t="b">
        <f t="shared" si="98"/>
        <v>1</v>
      </c>
      <c r="O481">
        <f t="shared" si="99"/>
        <v>53</v>
      </c>
      <c r="P481" s="13">
        <f t="shared" si="100"/>
        <v>0.96074175352975622</v>
      </c>
      <c r="Q481" s="13">
        <f t="shared" si="101"/>
        <v>0.96615188107481154</v>
      </c>
      <c r="R481" s="15" t="b">
        <f t="shared" si="102"/>
        <v>0</v>
      </c>
      <c r="S481" s="13">
        <f t="shared" si="103"/>
        <v>2.2977267171840624E-2</v>
      </c>
    </row>
    <row r="482" spans="1:19" x14ac:dyDescent="0.3">
      <c r="A482" s="4">
        <v>45656</v>
      </c>
      <c r="B482" s="2">
        <v>33</v>
      </c>
      <c r="C482" s="2">
        <v>53</v>
      </c>
      <c r="D482" s="2">
        <v>34</v>
      </c>
      <c r="E482">
        <v>8033</v>
      </c>
      <c r="F482">
        <v>234</v>
      </c>
      <c r="G482" s="2">
        <f t="shared" si="91"/>
        <v>8086</v>
      </c>
      <c r="H482">
        <f t="shared" si="92"/>
        <v>7799</v>
      </c>
      <c r="I482" s="13">
        <f t="shared" si="93"/>
        <v>7.1034748044621107E-2</v>
      </c>
      <c r="J482" t="str">
        <f t="shared" si="94"/>
        <v>Backlog</v>
      </c>
      <c r="K482" s="13">
        <f t="shared" si="95"/>
        <v>0.96450655453870893</v>
      </c>
      <c r="L482" s="13">
        <f t="shared" si="96"/>
        <v>6.7515458817709622</v>
      </c>
      <c r="M482" s="13">
        <f t="shared" si="97"/>
        <v>28.935196636161269</v>
      </c>
      <c r="N482" t="b">
        <f t="shared" si="98"/>
        <v>1</v>
      </c>
      <c r="O482">
        <f t="shared" si="99"/>
        <v>53</v>
      </c>
      <c r="P482" s="13">
        <f t="shared" si="100"/>
        <v>0.95825701209661873</v>
      </c>
      <c r="Q482" s="13">
        <f t="shared" si="101"/>
        <v>0.96588014690383539</v>
      </c>
      <c r="R482" s="15" t="str">
        <f t="shared" si="102"/>
        <v>STRAIN</v>
      </c>
      <c r="S482" s="13">
        <f t="shared" si="103"/>
        <v>2.8938906752411574E-2</v>
      </c>
    </row>
    <row r="483" spans="1:19" x14ac:dyDescent="0.3">
      <c r="A483" s="4">
        <v>45658</v>
      </c>
      <c r="B483" s="2">
        <v>29</v>
      </c>
      <c r="C483" s="2">
        <v>51</v>
      </c>
      <c r="D483" s="2">
        <v>11</v>
      </c>
      <c r="E483">
        <v>8829</v>
      </c>
      <c r="F483">
        <v>476</v>
      </c>
      <c r="G483" s="2">
        <f t="shared" si="91"/>
        <v>8880</v>
      </c>
      <c r="H483">
        <f t="shared" si="92"/>
        <v>8353</v>
      </c>
      <c r="I483" s="13">
        <f t="shared" si="93"/>
        <v>5.2915120316054109E-2</v>
      </c>
      <c r="J483" t="str">
        <f t="shared" si="94"/>
        <v>Backlog</v>
      </c>
      <c r="K483" s="13">
        <f t="shared" si="95"/>
        <v>0.94065315315315312</v>
      </c>
      <c r="L483" s="13">
        <f t="shared" si="96"/>
        <v>6.5845720720720715</v>
      </c>
      <c r="M483" s="13">
        <f t="shared" si="97"/>
        <v>28.219594594594593</v>
      </c>
      <c r="N483" t="b">
        <f t="shared" si="98"/>
        <v>1</v>
      </c>
      <c r="O483">
        <f t="shared" si="99"/>
        <v>1</v>
      </c>
      <c r="P483" s="13">
        <f t="shared" si="100"/>
        <v>0.94929853919339902</v>
      </c>
      <c r="Q483" s="13">
        <f t="shared" si="101"/>
        <v>0.94638477763477757</v>
      </c>
      <c r="R483" s="15" t="str">
        <f t="shared" si="102"/>
        <v>STRAIN</v>
      </c>
      <c r="S483" s="13">
        <f t="shared" si="103"/>
        <v>5.3603603603603604E-2</v>
      </c>
    </row>
    <row r="484" spans="1:19" x14ac:dyDescent="0.3">
      <c r="A484" s="4">
        <v>45659</v>
      </c>
      <c r="B484" s="2">
        <v>91</v>
      </c>
      <c r="C484" s="2">
        <v>75</v>
      </c>
      <c r="D484" s="2">
        <v>97</v>
      </c>
      <c r="E484">
        <v>9144</v>
      </c>
      <c r="F484">
        <v>349</v>
      </c>
      <c r="G484" s="2">
        <f t="shared" si="91"/>
        <v>9219</v>
      </c>
      <c r="H484">
        <f t="shared" si="92"/>
        <v>8795</v>
      </c>
      <c r="I484" s="13">
        <f t="shared" si="93"/>
        <v>2.6151222285389426E-2</v>
      </c>
      <c r="J484" t="str">
        <f t="shared" si="94"/>
        <v>Backlog</v>
      </c>
      <c r="K484" s="13">
        <f t="shared" si="95"/>
        <v>0.95400802690096542</v>
      </c>
      <c r="L484" s="13">
        <f t="shared" si="96"/>
        <v>6.6780561883067584</v>
      </c>
      <c r="M484" s="13">
        <f t="shared" si="97"/>
        <v>28.620240807028964</v>
      </c>
      <c r="N484" t="b">
        <f t="shared" si="98"/>
        <v>0</v>
      </c>
      <c r="O484">
        <f t="shared" si="99"/>
        <v>1</v>
      </c>
      <c r="P484" s="13">
        <f t="shared" si="100"/>
        <v>0.95514159120386721</v>
      </c>
      <c r="Q484" s="13">
        <f t="shared" si="101"/>
        <v>0.94576209325742921</v>
      </c>
      <c r="R484" s="15" t="str">
        <f t="shared" si="102"/>
        <v>STRAIN</v>
      </c>
      <c r="S484" s="13">
        <f t="shared" si="103"/>
        <v>3.7856600498969523E-2</v>
      </c>
    </row>
    <row r="485" spans="1:19" x14ac:dyDescent="0.3">
      <c r="A485" s="4">
        <v>45662</v>
      </c>
      <c r="B485" s="2">
        <v>62</v>
      </c>
      <c r="C485" s="2">
        <v>97</v>
      </c>
      <c r="D485" s="2">
        <v>52</v>
      </c>
      <c r="E485">
        <v>9311</v>
      </c>
      <c r="F485">
        <v>286</v>
      </c>
      <c r="G485" s="2">
        <f t="shared" si="91"/>
        <v>9408</v>
      </c>
      <c r="H485">
        <f t="shared" si="92"/>
        <v>9025</v>
      </c>
      <c r="I485" s="13">
        <f t="shared" si="93"/>
        <v>3.080332409972299E-2</v>
      </c>
      <c r="J485" t="str">
        <f t="shared" si="94"/>
        <v>Backlog</v>
      </c>
      <c r="K485" s="13">
        <f t="shared" si="95"/>
        <v>0.9592899659863946</v>
      </c>
      <c r="L485" s="13">
        <f t="shared" si="96"/>
        <v>6.7150297619047619</v>
      </c>
      <c r="M485" s="13">
        <f t="shared" si="97"/>
        <v>28.778698979591837</v>
      </c>
      <c r="N485" t="b">
        <f t="shared" si="98"/>
        <v>1</v>
      </c>
      <c r="O485">
        <f t="shared" si="99"/>
        <v>2</v>
      </c>
      <c r="P485" s="13">
        <f t="shared" si="100"/>
        <v>0.96081653111035203</v>
      </c>
      <c r="Q485" s="13">
        <f t="shared" si="101"/>
        <v>0.95260876466298128</v>
      </c>
      <c r="R485" s="15" t="str">
        <f t="shared" si="102"/>
        <v>STRAIN</v>
      </c>
      <c r="S485" s="13">
        <f t="shared" si="103"/>
        <v>3.0399659863945577E-2</v>
      </c>
    </row>
    <row r="486" spans="1:19" x14ac:dyDescent="0.3">
      <c r="A486" s="4">
        <v>45663</v>
      </c>
      <c r="B486" s="2">
        <v>59</v>
      </c>
      <c r="C486" s="2">
        <v>64</v>
      </c>
      <c r="D486" s="2">
        <v>117</v>
      </c>
      <c r="E486">
        <v>9670</v>
      </c>
      <c r="F486">
        <v>367</v>
      </c>
      <c r="G486" s="2">
        <f t="shared" si="91"/>
        <v>9734</v>
      </c>
      <c r="H486">
        <f t="shared" si="92"/>
        <v>9303</v>
      </c>
      <c r="I486" s="13">
        <f t="shared" si="93"/>
        <v>0</v>
      </c>
      <c r="J486" t="str">
        <f t="shared" si="94"/>
        <v>No Backlog</v>
      </c>
      <c r="K486" s="13">
        <f t="shared" si="95"/>
        <v>0.95572221080747899</v>
      </c>
      <c r="L486" s="13">
        <f t="shared" si="96"/>
        <v>6.6900554756523531</v>
      </c>
      <c r="M486" s="13">
        <f t="shared" si="97"/>
        <v>28.671666324224368</v>
      </c>
      <c r="N486" t="b">
        <f t="shared" si="98"/>
        <v>0</v>
      </c>
      <c r="O486">
        <f t="shared" si="99"/>
        <v>2</v>
      </c>
      <c r="P486" s="13">
        <f t="shared" si="100"/>
        <v>0.95739713786382596</v>
      </c>
      <c r="Q486" s="13">
        <f t="shared" si="101"/>
        <v>0.95794998654699492</v>
      </c>
      <c r="R486" s="15" t="b">
        <f t="shared" si="102"/>
        <v>0</v>
      </c>
      <c r="S486" s="13">
        <f t="shared" si="103"/>
        <v>3.7702897061845077E-2</v>
      </c>
    </row>
    <row r="487" spans="1:19" x14ac:dyDescent="0.3">
      <c r="A487" s="4">
        <v>45664</v>
      </c>
      <c r="B487" s="2">
        <v>84</v>
      </c>
      <c r="C487" s="2">
        <v>118</v>
      </c>
      <c r="D487" s="2">
        <v>136</v>
      </c>
      <c r="E487">
        <v>9670</v>
      </c>
      <c r="F487">
        <v>367</v>
      </c>
      <c r="G487" s="2">
        <f t="shared" si="91"/>
        <v>9788</v>
      </c>
      <c r="H487">
        <f t="shared" si="92"/>
        <v>9303</v>
      </c>
      <c r="I487" s="13">
        <f t="shared" si="93"/>
        <v>9.5990540685800277E-2</v>
      </c>
      <c r="J487" t="str">
        <f t="shared" si="94"/>
        <v>Backlog</v>
      </c>
      <c r="K487" s="13">
        <f t="shared" si="95"/>
        <v>0.95044953003677968</v>
      </c>
      <c r="L487" s="13">
        <f t="shared" si="96"/>
        <v>6.6531467102574577</v>
      </c>
      <c r="M487" s="13">
        <f t="shared" si="97"/>
        <v>28.51348590110339</v>
      </c>
      <c r="N487" t="b">
        <f t="shared" si="98"/>
        <v>0</v>
      </c>
      <c r="O487">
        <f t="shared" si="99"/>
        <v>2</v>
      </c>
      <c r="P487" s="13">
        <f t="shared" si="100"/>
        <v>0.95585965758183489</v>
      </c>
      <c r="Q487" s="13">
        <f t="shared" si="101"/>
        <v>0.95087970018642376</v>
      </c>
      <c r="R487" s="15" t="str">
        <f t="shared" si="102"/>
        <v>STRAIN</v>
      </c>
      <c r="S487" s="13">
        <f t="shared" si="103"/>
        <v>3.7494891704127502E-2</v>
      </c>
    </row>
    <row r="488" spans="1:19" x14ac:dyDescent="0.3">
      <c r="A488" s="4">
        <v>45665</v>
      </c>
      <c r="B488" s="2">
        <v>86</v>
      </c>
      <c r="C488" s="2">
        <v>152</v>
      </c>
      <c r="D488" s="2">
        <v>168</v>
      </c>
      <c r="E488">
        <v>10558</v>
      </c>
      <c r="F488">
        <v>362</v>
      </c>
      <c r="G488" s="2">
        <f t="shared" si="91"/>
        <v>10710</v>
      </c>
      <c r="H488">
        <f t="shared" si="92"/>
        <v>10196</v>
      </c>
      <c r="I488" s="13">
        <f t="shared" si="93"/>
        <v>2.5402118477834443E-2</v>
      </c>
      <c r="J488" t="str">
        <f t="shared" si="94"/>
        <v>Backlog</v>
      </c>
      <c r="K488" s="13">
        <f t="shared" si="95"/>
        <v>0.95200746965452843</v>
      </c>
      <c r="L488" s="13">
        <f t="shared" si="96"/>
        <v>6.6640522875816988</v>
      </c>
      <c r="M488" s="13">
        <f t="shared" si="97"/>
        <v>28.560224089635852</v>
      </c>
      <c r="N488" t="b">
        <f t="shared" si="98"/>
        <v>0</v>
      </c>
      <c r="O488">
        <f t="shared" si="99"/>
        <v>2</v>
      </c>
      <c r="P488" s="13">
        <f t="shared" si="100"/>
        <v>0.95963060446174508</v>
      </c>
      <c r="Q488" s="13">
        <f t="shared" si="101"/>
        <v>0.94795971636791032</v>
      </c>
      <c r="R488" s="15" t="str">
        <f t="shared" si="102"/>
        <v>STRAIN</v>
      </c>
      <c r="S488" s="13">
        <f t="shared" si="103"/>
        <v>3.380018674136321E-2</v>
      </c>
    </row>
    <row r="489" spans="1:19" x14ac:dyDescent="0.3">
      <c r="A489" s="4">
        <v>45666</v>
      </c>
      <c r="B489" s="2">
        <v>106</v>
      </c>
      <c r="C489" s="2">
        <v>196</v>
      </c>
      <c r="D489" s="2">
        <v>131</v>
      </c>
      <c r="E489">
        <v>10718</v>
      </c>
      <c r="F489">
        <v>263</v>
      </c>
      <c r="G489" s="2">
        <f t="shared" si="91"/>
        <v>10914</v>
      </c>
      <c r="H489">
        <f t="shared" si="92"/>
        <v>10455</v>
      </c>
      <c r="I489" s="13">
        <f t="shared" si="93"/>
        <v>-9.5648015303682451E-5</v>
      </c>
      <c r="J489" t="str">
        <f t="shared" si="94"/>
        <v>No Backlog</v>
      </c>
      <c r="K489" s="13">
        <f t="shared" si="95"/>
        <v>0.95794392523364491</v>
      </c>
      <c r="L489" s="13">
        <f t="shared" si="96"/>
        <v>6.7056074766355147</v>
      </c>
      <c r="M489" s="13">
        <f t="shared" si="97"/>
        <v>28.738317757009348</v>
      </c>
      <c r="N489" t="b">
        <f t="shared" si="98"/>
        <v>1</v>
      </c>
      <c r="O489">
        <f t="shared" si="99"/>
        <v>2</v>
      </c>
      <c r="P489" s="13">
        <f t="shared" si="100"/>
        <v>0.95503016367502358</v>
      </c>
      <c r="Q489" s="13">
        <f t="shared" si="101"/>
        <v>0.954715448887548</v>
      </c>
      <c r="R489" s="15" t="b">
        <f t="shared" si="102"/>
        <v>0</v>
      </c>
      <c r="S489" s="13">
        <f t="shared" si="103"/>
        <v>2.409748946307495E-2</v>
      </c>
    </row>
    <row r="490" spans="1:19" x14ac:dyDescent="0.3">
      <c r="A490" s="4">
        <v>45669</v>
      </c>
      <c r="B490" s="2">
        <v>113</v>
      </c>
      <c r="C490" s="2">
        <v>162</v>
      </c>
      <c r="D490" s="2">
        <v>107</v>
      </c>
      <c r="E490">
        <v>10770</v>
      </c>
      <c r="F490">
        <v>316</v>
      </c>
      <c r="G490" s="2">
        <f t="shared" si="91"/>
        <v>10932</v>
      </c>
      <c r="H490">
        <f t="shared" si="92"/>
        <v>10454</v>
      </c>
      <c r="I490" s="13">
        <f t="shared" si="93"/>
        <v>1.2052802754926343E-2</v>
      </c>
      <c r="J490" t="str">
        <f t="shared" si="94"/>
        <v>Backlog</v>
      </c>
      <c r="K490" s="13">
        <f t="shared" si="95"/>
        <v>0.95627515550676911</v>
      </c>
      <c r="L490" s="13">
        <f t="shared" si="96"/>
        <v>6.6939260885473839</v>
      </c>
      <c r="M490" s="13">
        <f t="shared" si="97"/>
        <v>28.688254665203072</v>
      </c>
      <c r="N490" t="b">
        <f t="shared" si="98"/>
        <v>1</v>
      </c>
      <c r="O490">
        <f t="shared" si="99"/>
        <v>3</v>
      </c>
      <c r="P490" s="13">
        <f t="shared" si="100"/>
        <v>0.94689565756033112</v>
      </c>
      <c r="Q490" s="13">
        <f t="shared" si="101"/>
        <v>0.9554522704466053</v>
      </c>
      <c r="R490" s="15" t="str">
        <f t="shared" si="102"/>
        <v>STRAIN</v>
      </c>
      <c r="S490" s="13">
        <f t="shared" si="103"/>
        <v>2.8905964141968533E-2</v>
      </c>
    </row>
    <row r="491" spans="1:19" x14ac:dyDescent="0.3">
      <c r="A491" s="4">
        <v>45670</v>
      </c>
      <c r="B491" s="2">
        <v>92</v>
      </c>
      <c r="C491" s="2">
        <v>124</v>
      </c>
      <c r="D491" s="2">
        <v>93</v>
      </c>
      <c r="E491">
        <v>10870</v>
      </c>
      <c r="F491">
        <v>290</v>
      </c>
      <c r="G491" s="2">
        <f t="shared" si="91"/>
        <v>10994</v>
      </c>
      <c r="H491">
        <f t="shared" si="92"/>
        <v>10580</v>
      </c>
      <c r="I491" s="13">
        <f t="shared" si="93"/>
        <v>2.76937618147448E-2</v>
      </c>
      <c r="J491" t="str">
        <f t="shared" si="94"/>
        <v>Backlog</v>
      </c>
      <c r="K491" s="13">
        <f t="shared" si="95"/>
        <v>0.96234309623430958</v>
      </c>
      <c r="L491" s="13">
        <f t="shared" si="96"/>
        <v>6.7364016736401666</v>
      </c>
      <c r="M491" s="13">
        <f t="shared" si="97"/>
        <v>28.870292887029287</v>
      </c>
      <c r="N491" t="b">
        <f t="shared" si="98"/>
        <v>1</v>
      </c>
      <c r="O491">
        <f t="shared" si="99"/>
        <v>3</v>
      </c>
      <c r="P491" s="13">
        <f t="shared" si="100"/>
        <v>0.95413532978693882</v>
      </c>
      <c r="Q491" s="13">
        <f t="shared" si="101"/>
        <v>0.9619715481171548</v>
      </c>
      <c r="R491" s="15" t="str">
        <f t="shared" si="102"/>
        <v>STRAIN</v>
      </c>
      <c r="S491" s="13">
        <f t="shared" si="103"/>
        <v>2.6378024376932874E-2</v>
      </c>
    </row>
    <row r="492" spans="1:19" x14ac:dyDescent="0.3">
      <c r="A492" s="4">
        <v>45671</v>
      </c>
      <c r="B492" s="2">
        <v>68</v>
      </c>
      <c r="C492" s="2">
        <v>107</v>
      </c>
      <c r="D492" s="2">
        <v>102</v>
      </c>
      <c r="E492">
        <v>11230</v>
      </c>
      <c r="F492">
        <v>357</v>
      </c>
      <c r="G492" s="2">
        <f t="shared" si="91"/>
        <v>11337</v>
      </c>
      <c r="H492">
        <f t="shared" si="92"/>
        <v>10873</v>
      </c>
      <c r="I492" s="13">
        <f t="shared" si="93"/>
        <v>-1.8394187436769982E-4</v>
      </c>
      <c r="J492" t="str">
        <f t="shared" si="94"/>
        <v>No Backlog</v>
      </c>
      <c r="K492" s="13">
        <f t="shared" si="95"/>
        <v>0.95907206492017294</v>
      </c>
      <c r="L492" s="13">
        <f t="shared" si="96"/>
        <v>6.7135044544412104</v>
      </c>
      <c r="M492" s="13">
        <f t="shared" si="97"/>
        <v>28.772161947605188</v>
      </c>
      <c r="N492" t="b">
        <f t="shared" si="98"/>
        <v>1</v>
      </c>
      <c r="O492">
        <f t="shared" si="99"/>
        <v>3</v>
      </c>
      <c r="P492" s="13">
        <f t="shared" si="100"/>
        <v>0.9596249136033419</v>
      </c>
      <c r="Q492" s="13">
        <f t="shared" si="101"/>
        <v>0.95874377578326264</v>
      </c>
      <c r="R492" s="15" t="b">
        <f t="shared" si="102"/>
        <v>0</v>
      </c>
      <c r="S492" s="13">
        <f t="shared" si="103"/>
        <v>3.1489812119608364E-2</v>
      </c>
    </row>
    <row r="493" spans="1:19" x14ac:dyDescent="0.3">
      <c r="A493" s="4">
        <v>45672</v>
      </c>
      <c r="B493" s="2">
        <v>74</v>
      </c>
      <c r="C493" s="2">
        <v>103</v>
      </c>
      <c r="D493" s="2">
        <v>80</v>
      </c>
      <c r="E493">
        <v>11206</v>
      </c>
      <c r="F493">
        <v>335</v>
      </c>
      <c r="G493" s="2">
        <f t="shared" si="91"/>
        <v>11309</v>
      </c>
      <c r="H493">
        <f t="shared" si="92"/>
        <v>10871</v>
      </c>
      <c r="I493" s="13">
        <f t="shared" si="93"/>
        <v>5.335295740962193E-3</v>
      </c>
      <c r="J493" t="str">
        <f t="shared" si="94"/>
        <v>Backlog</v>
      </c>
      <c r="K493" s="13">
        <f t="shared" si="95"/>
        <v>0.9612697851268901</v>
      </c>
      <c r="L493" s="13">
        <f t="shared" si="96"/>
        <v>6.7288884958882305</v>
      </c>
      <c r="M493" s="13">
        <f t="shared" si="97"/>
        <v>28.838093553806704</v>
      </c>
      <c r="N493" t="b">
        <f t="shared" si="98"/>
        <v>1</v>
      </c>
      <c r="O493">
        <f t="shared" si="99"/>
        <v>3</v>
      </c>
      <c r="P493" s="13">
        <f t="shared" si="100"/>
        <v>0.95628982773147886</v>
      </c>
      <c r="Q493" s="13">
        <f t="shared" si="101"/>
        <v>0.95193344172087491</v>
      </c>
      <c r="R493" s="15" t="str">
        <f t="shared" si="102"/>
        <v>STRAIN</v>
      </c>
      <c r="S493" s="13">
        <f t="shared" si="103"/>
        <v>2.9622424617561233E-2</v>
      </c>
    </row>
    <row r="494" spans="1:19" x14ac:dyDescent="0.3">
      <c r="A494" s="4">
        <v>45673</v>
      </c>
      <c r="B494" s="2">
        <v>56</v>
      </c>
      <c r="C494" s="2">
        <v>82</v>
      </c>
      <c r="D494" s="2">
        <v>68</v>
      </c>
      <c r="E494">
        <v>11217</v>
      </c>
      <c r="F494">
        <v>288</v>
      </c>
      <c r="G494" s="2">
        <f t="shared" si="91"/>
        <v>11299</v>
      </c>
      <c r="H494">
        <f t="shared" si="92"/>
        <v>10929</v>
      </c>
      <c r="I494" s="13">
        <f t="shared" si="93"/>
        <v>-1.2077957727147955E-2</v>
      </c>
      <c r="J494" t="str">
        <f t="shared" si="94"/>
        <v>No Backlog</v>
      </c>
      <c r="K494" s="13">
        <f t="shared" si="95"/>
        <v>0.96725373926896185</v>
      </c>
      <c r="L494" s="13">
        <f t="shared" si="96"/>
        <v>6.7707761748827329</v>
      </c>
      <c r="M494" s="13">
        <f t="shared" si="97"/>
        <v>29.017612178068855</v>
      </c>
      <c r="N494" t="b">
        <f t="shared" si="98"/>
        <v>1</v>
      </c>
      <c r="O494">
        <f t="shared" si="99"/>
        <v>3</v>
      </c>
      <c r="P494" s="13">
        <f t="shared" si="100"/>
        <v>0.95558285117512698</v>
      </c>
      <c r="Q494" s="13">
        <f t="shared" si="101"/>
        <v>0.952267358447492</v>
      </c>
      <c r="R494" s="15" t="b">
        <f t="shared" si="102"/>
        <v>0</v>
      </c>
      <c r="S494" s="13">
        <f t="shared" si="103"/>
        <v>2.5488981325781042E-2</v>
      </c>
    </row>
    <row r="495" spans="1:19" x14ac:dyDescent="0.3">
      <c r="A495" s="4">
        <v>45676</v>
      </c>
      <c r="B495" s="2">
        <v>90</v>
      </c>
      <c r="C495" s="2">
        <v>196</v>
      </c>
      <c r="D495" s="2">
        <v>205</v>
      </c>
      <c r="E495">
        <v>11144</v>
      </c>
      <c r="F495">
        <v>347</v>
      </c>
      <c r="G495" s="2">
        <f t="shared" si="91"/>
        <v>11340</v>
      </c>
      <c r="H495">
        <f t="shared" si="92"/>
        <v>10797</v>
      </c>
      <c r="I495" s="13">
        <f t="shared" si="93"/>
        <v>7.5020839121978326E-3</v>
      </c>
      <c r="J495" t="str">
        <f t="shared" si="94"/>
        <v>Backlog</v>
      </c>
      <c r="K495" s="13">
        <f t="shared" si="95"/>
        <v>0.95211640211640214</v>
      </c>
      <c r="L495" s="13">
        <f t="shared" si="96"/>
        <v>6.6648148148148145</v>
      </c>
      <c r="M495" s="13">
        <f t="shared" si="97"/>
        <v>28.563492063492063</v>
      </c>
      <c r="N495" t="b">
        <f t="shared" si="98"/>
        <v>0</v>
      </c>
      <c r="O495">
        <f t="shared" si="99"/>
        <v>4</v>
      </c>
      <c r="P495" s="13">
        <f t="shared" si="100"/>
        <v>0.95180168732892656</v>
      </c>
      <c r="Q495" s="13">
        <f t="shared" si="101"/>
        <v>0.94853899635869809</v>
      </c>
      <c r="R495" s="15" t="str">
        <f t="shared" si="102"/>
        <v>STRAIN</v>
      </c>
      <c r="S495" s="13">
        <f t="shared" si="103"/>
        <v>3.0599647266313933E-2</v>
      </c>
    </row>
    <row r="496" spans="1:19" x14ac:dyDescent="0.3">
      <c r="A496" s="4">
        <v>45677</v>
      </c>
      <c r="B496" s="2">
        <v>128</v>
      </c>
      <c r="C496" s="2">
        <v>228</v>
      </c>
      <c r="D496" s="2">
        <v>177</v>
      </c>
      <c r="E496">
        <v>11375</v>
      </c>
      <c r="F496">
        <v>497</v>
      </c>
      <c r="G496" s="2">
        <f t="shared" si="91"/>
        <v>11603</v>
      </c>
      <c r="H496">
        <f t="shared" si="92"/>
        <v>10878</v>
      </c>
      <c r="I496" s="13">
        <f t="shared" si="93"/>
        <v>2.2798308512594227E-2</v>
      </c>
      <c r="J496" t="str">
        <f t="shared" si="94"/>
        <v>Backlog</v>
      </c>
      <c r="K496" s="13">
        <f t="shared" si="95"/>
        <v>0.93751615961389301</v>
      </c>
      <c r="L496" s="13">
        <f t="shared" si="96"/>
        <v>6.5626131172972508</v>
      </c>
      <c r="M496" s="13">
        <f t="shared" si="97"/>
        <v>28.125484788416792</v>
      </c>
      <c r="N496" t="b">
        <f t="shared" si="98"/>
        <v>1</v>
      </c>
      <c r="O496">
        <f t="shared" si="99"/>
        <v>4</v>
      </c>
      <c r="P496" s="13">
        <f t="shared" si="100"/>
        <v>0.9460727725001673</v>
      </c>
      <c r="Q496" s="13">
        <f t="shared" si="101"/>
        <v>0.94642162270568186</v>
      </c>
      <c r="R496" s="15" t="str">
        <f t="shared" si="102"/>
        <v>STRAIN</v>
      </c>
      <c r="S496" s="13">
        <f t="shared" si="103"/>
        <v>4.2833749892269242E-2</v>
      </c>
    </row>
    <row r="497" spans="1:19" x14ac:dyDescent="0.3">
      <c r="A497" s="4">
        <v>45678</v>
      </c>
      <c r="B497" s="2">
        <v>136</v>
      </c>
      <c r="C497" s="2">
        <v>246</v>
      </c>
      <c r="D497" s="2">
        <v>123</v>
      </c>
      <c r="E497">
        <v>11516</v>
      </c>
      <c r="F497">
        <v>390</v>
      </c>
      <c r="G497" s="2">
        <f t="shared" si="91"/>
        <v>11762</v>
      </c>
      <c r="H497">
        <f t="shared" si="92"/>
        <v>11126</v>
      </c>
      <c r="I497" s="13">
        <f t="shared" si="93"/>
        <v>-9.6171130684882256E-3</v>
      </c>
      <c r="J497" t="str">
        <f t="shared" si="94"/>
        <v>No Backlog</v>
      </c>
      <c r="K497" s="13">
        <f t="shared" si="95"/>
        <v>0.94592756333956807</v>
      </c>
      <c r="L497" s="13">
        <f t="shared" si="96"/>
        <v>6.6214929433769765</v>
      </c>
      <c r="M497" s="13">
        <f t="shared" si="97"/>
        <v>28.377826900187042</v>
      </c>
      <c r="N497" t="b">
        <f t="shared" si="98"/>
        <v>1</v>
      </c>
      <c r="O497">
        <f t="shared" si="99"/>
        <v>4</v>
      </c>
      <c r="P497" s="13">
        <f t="shared" si="100"/>
        <v>0.95376378166978404</v>
      </c>
      <c r="Q497" s="13">
        <f t="shared" si="101"/>
        <v>0.95078357324038265</v>
      </c>
      <c r="R497" s="15" t="b">
        <f t="shared" si="102"/>
        <v>0</v>
      </c>
      <c r="S497" s="13">
        <f t="shared" si="103"/>
        <v>3.3157626254038432E-2</v>
      </c>
    </row>
    <row r="498" spans="1:19" x14ac:dyDescent="0.3">
      <c r="A498" s="4">
        <v>45679</v>
      </c>
      <c r="B498" s="2">
        <v>105</v>
      </c>
      <c r="C498" s="2">
        <v>185</v>
      </c>
      <c r="D498" s="2">
        <v>158</v>
      </c>
      <c r="E498">
        <v>11291</v>
      </c>
      <c r="F498">
        <v>272</v>
      </c>
      <c r="G498" s="2">
        <f t="shared" si="91"/>
        <v>11476</v>
      </c>
      <c r="H498">
        <f t="shared" si="92"/>
        <v>11019</v>
      </c>
      <c r="I498" s="13">
        <f t="shared" si="93"/>
        <v>-2.1236046828205825E-2</v>
      </c>
      <c r="J498" t="str">
        <f t="shared" si="94"/>
        <v>No Backlog</v>
      </c>
      <c r="K498" s="13">
        <f t="shared" si="95"/>
        <v>0.96017776228651097</v>
      </c>
      <c r="L498" s="13">
        <f t="shared" si="96"/>
        <v>6.7212443360055767</v>
      </c>
      <c r="M498" s="13">
        <f t="shared" si="97"/>
        <v>28.805332868595329</v>
      </c>
      <c r="N498" t="b">
        <f t="shared" si="98"/>
        <v>1</v>
      </c>
      <c r="O498">
        <f t="shared" si="99"/>
        <v>4</v>
      </c>
      <c r="P498" s="13">
        <f t="shared" si="100"/>
        <v>0.9592966244664316</v>
      </c>
      <c r="Q498" s="13">
        <f t="shared" si="101"/>
        <v>0.94994277424479057</v>
      </c>
      <c r="R498" s="15" t="b">
        <f t="shared" si="102"/>
        <v>0</v>
      </c>
      <c r="S498" s="13">
        <f t="shared" si="103"/>
        <v>2.3701638201463926E-2</v>
      </c>
    </row>
    <row r="499" spans="1:19" x14ac:dyDescent="0.3">
      <c r="A499" s="4">
        <v>45680</v>
      </c>
      <c r="B499" s="2">
        <v>116</v>
      </c>
      <c r="C499" s="2">
        <v>188</v>
      </c>
      <c r="D499" s="2">
        <v>164</v>
      </c>
      <c r="E499">
        <v>11149</v>
      </c>
      <c r="F499">
        <v>364</v>
      </c>
      <c r="G499" s="2">
        <f t="shared" si="91"/>
        <v>11337</v>
      </c>
      <c r="H499">
        <f t="shared" si="92"/>
        <v>10785</v>
      </c>
      <c r="I499" s="13">
        <f t="shared" si="93"/>
        <v>-1.3815484469170143E-2</v>
      </c>
      <c r="J499" t="str">
        <f t="shared" si="94"/>
        <v>No Backlog</v>
      </c>
      <c r="K499" s="13">
        <f t="shared" si="95"/>
        <v>0.95130987033606773</v>
      </c>
      <c r="L499" s="13">
        <f t="shared" si="96"/>
        <v>6.6591690923524745</v>
      </c>
      <c r="M499" s="13">
        <f t="shared" si="97"/>
        <v>28.539296110082031</v>
      </c>
      <c r="N499" t="b">
        <f t="shared" si="98"/>
        <v>1</v>
      </c>
      <c r="O499">
        <f t="shared" si="99"/>
        <v>4</v>
      </c>
      <c r="P499" s="13">
        <f t="shared" si="100"/>
        <v>0.94695348432546378</v>
      </c>
      <c r="Q499" s="13">
        <f t="shared" si="101"/>
        <v>0.95482941922056663</v>
      </c>
      <c r="R499" s="15" t="b">
        <f t="shared" si="102"/>
        <v>0</v>
      </c>
      <c r="S499" s="13">
        <f t="shared" si="103"/>
        <v>3.2107259416071274E-2</v>
      </c>
    </row>
    <row r="500" spans="1:19" x14ac:dyDescent="0.3">
      <c r="A500" s="4">
        <v>45683</v>
      </c>
      <c r="B500" s="2">
        <v>80</v>
      </c>
      <c r="C500" s="2">
        <v>176</v>
      </c>
      <c r="D500" s="2">
        <v>125</v>
      </c>
      <c r="E500">
        <v>11092</v>
      </c>
      <c r="F500">
        <v>456</v>
      </c>
      <c r="G500" s="2">
        <f t="shared" si="91"/>
        <v>11268</v>
      </c>
      <c r="H500">
        <f t="shared" si="92"/>
        <v>10636</v>
      </c>
      <c r="I500" s="13">
        <f t="shared" si="93"/>
        <v>1.9744264761188415E-2</v>
      </c>
      <c r="J500" t="str">
        <f t="shared" si="94"/>
        <v>Backlog</v>
      </c>
      <c r="K500" s="13">
        <f t="shared" si="95"/>
        <v>0.9439119630812921</v>
      </c>
      <c r="L500" s="13">
        <f t="shared" si="96"/>
        <v>6.6073837415690448</v>
      </c>
      <c r="M500" s="13">
        <f t="shared" si="97"/>
        <v>28.317358892438762</v>
      </c>
      <c r="N500" t="b">
        <f t="shared" si="98"/>
        <v>1</v>
      </c>
      <c r="O500">
        <f t="shared" si="99"/>
        <v>5</v>
      </c>
      <c r="P500" s="13">
        <f t="shared" si="100"/>
        <v>0.94059647035365712</v>
      </c>
      <c r="Q500" s="13">
        <f t="shared" si="101"/>
        <v>0.95334579591475355</v>
      </c>
      <c r="R500" s="15" t="str">
        <f t="shared" si="102"/>
        <v>STRAIN</v>
      </c>
      <c r="S500" s="13">
        <f t="shared" si="103"/>
        <v>4.0468583599574018E-2</v>
      </c>
    </row>
    <row r="501" spans="1:19" x14ac:dyDescent="0.3">
      <c r="A501" s="4">
        <v>45684</v>
      </c>
      <c r="B501" s="2">
        <v>150</v>
      </c>
      <c r="C501" s="2">
        <v>157</v>
      </c>
      <c r="D501" s="2">
        <v>201</v>
      </c>
      <c r="E501">
        <v>11242</v>
      </c>
      <c r="F501">
        <v>396</v>
      </c>
      <c r="G501" s="2">
        <f t="shared" si="91"/>
        <v>11399</v>
      </c>
      <c r="H501">
        <f t="shared" si="92"/>
        <v>10846</v>
      </c>
      <c r="I501" s="13">
        <f t="shared" si="93"/>
        <v>1.0141987829614604E-3</v>
      </c>
      <c r="J501" t="str">
        <f t="shared" si="94"/>
        <v>Backlog</v>
      </c>
      <c r="K501" s="13">
        <f t="shared" si="95"/>
        <v>0.95148697254145098</v>
      </c>
      <c r="L501" s="13">
        <f t="shared" si="96"/>
        <v>6.6604088077901569</v>
      </c>
      <c r="M501" s="13">
        <f t="shared" si="97"/>
        <v>28.544609176243529</v>
      </c>
      <c r="N501" t="b">
        <f t="shared" si="98"/>
        <v>0</v>
      </c>
      <c r="O501">
        <f t="shared" si="99"/>
        <v>5</v>
      </c>
      <c r="P501" s="13">
        <f t="shared" si="100"/>
        <v>0.94822428157122252</v>
      </c>
      <c r="Q501" s="13">
        <f t="shared" si="101"/>
        <v>0.95995809018317946</v>
      </c>
      <c r="R501" s="15" t="str">
        <f t="shared" si="102"/>
        <v>STRAIN</v>
      </c>
      <c r="S501" s="13">
        <f t="shared" si="103"/>
        <v>3.4739889463988066E-2</v>
      </c>
    </row>
    <row r="502" spans="1:19" x14ac:dyDescent="0.3">
      <c r="A502" s="4">
        <v>45685</v>
      </c>
      <c r="B502" s="2">
        <v>116</v>
      </c>
      <c r="C502" s="2">
        <v>181</v>
      </c>
      <c r="D502" s="2">
        <v>182</v>
      </c>
      <c r="E502">
        <v>11192</v>
      </c>
      <c r="F502">
        <v>335</v>
      </c>
      <c r="G502" s="2">
        <f t="shared" si="91"/>
        <v>11373</v>
      </c>
      <c r="H502">
        <f t="shared" si="92"/>
        <v>10857</v>
      </c>
      <c r="I502" s="13">
        <f t="shared" si="93"/>
        <v>-3.592152528322741E-3</v>
      </c>
      <c r="J502" t="str">
        <f t="shared" si="94"/>
        <v>No Backlog</v>
      </c>
      <c r="K502" s="13">
        <f t="shared" si="95"/>
        <v>0.9546293853864416</v>
      </c>
      <c r="L502" s="13">
        <f t="shared" si="96"/>
        <v>6.6824056977050912</v>
      </c>
      <c r="M502" s="13">
        <f t="shared" si="97"/>
        <v>28.638881561593248</v>
      </c>
      <c r="N502" t="b">
        <f t="shared" si="98"/>
        <v>0</v>
      </c>
      <c r="O502">
        <f t="shared" si="99"/>
        <v>5</v>
      </c>
      <c r="P502" s="13">
        <f t="shared" si="100"/>
        <v>0.95497823559195605</v>
      </c>
      <c r="Q502" s="13">
        <f t="shared" si="101"/>
        <v>0.96281199793574901</v>
      </c>
      <c r="R502" s="15" t="b">
        <f t="shared" si="102"/>
        <v>0</v>
      </c>
      <c r="S502" s="13">
        <f t="shared" si="103"/>
        <v>2.9455728479732702E-2</v>
      </c>
    </row>
    <row r="503" spans="1:19" x14ac:dyDescent="0.3">
      <c r="A503" s="4">
        <v>45686</v>
      </c>
      <c r="B503" s="2">
        <v>141</v>
      </c>
      <c r="C503" s="2">
        <v>173</v>
      </c>
      <c r="D503" s="2">
        <v>129</v>
      </c>
      <c r="E503">
        <v>11077</v>
      </c>
      <c r="F503">
        <v>259</v>
      </c>
      <c r="G503" s="2">
        <f t="shared" si="91"/>
        <v>11250</v>
      </c>
      <c r="H503">
        <f t="shared" si="92"/>
        <v>10818</v>
      </c>
      <c r="I503" s="13">
        <f t="shared" si="93"/>
        <v>-1.1462377518949898E-2</v>
      </c>
      <c r="J503" t="str">
        <f t="shared" si="94"/>
        <v>No Backlog</v>
      </c>
      <c r="K503" s="13">
        <f t="shared" si="95"/>
        <v>0.96160000000000001</v>
      </c>
      <c r="L503" s="13">
        <f t="shared" si="96"/>
        <v>6.7312000000000003</v>
      </c>
      <c r="M503" s="13">
        <f t="shared" si="97"/>
        <v>28.847999999999999</v>
      </c>
      <c r="N503" t="b">
        <f t="shared" si="98"/>
        <v>1</v>
      </c>
      <c r="O503">
        <f t="shared" si="99"/>
        <v>5</v>
      </c>
      <c r="P503" s="13">
        <f t="shared" si="100"/>
        <v>0.95861979157059851</v>
      </c>
      <c r="Q503" s="13">
        <f t="shared" si="101"/>
        <v>0.95550371476944529</v>
      </c>
      <c r="R503" s="15" t="b">
        <f t="shared" si="102"/>
        <v>0</v>
      </c>
      <c r="S503" s="13">
        <f t="shared" si="103"/>
        <v>2.3022222222222222E-2</v>
      </c>
    </row>
    <row r="504" spans="1:19" x14ac:dyDescent="0.3">
      <c r="A504" s="4">
        <v>45687</v>
      </c>
      <c r="B504" s="2">
        <v>96</v>
      </c>
      <c r="C504" s="2">
        <v>160</v>
      </c>
      <c r="D504" s="2">
        <v>233</v>
      </c>
      <c r="E504">
        <v>10998</v>
      </c>
      <c r="F504">
        <v>304</v>
      </c>
      <c r="G504" s="2">
        <f t="shared" si="91"/>
        <v>11158</v>
      </c>
      <c r="H504">
        <f t="shared" si="92"/>
        <v>10694</v>
      </c>
      <c r="I504" s="13">
        <f t="shared" si="93"/>
        <v>-2.1881428838601086E-2</v>
      </c>
      <c r="J504" t="str">
        <f t="shared" si="94"/>
        <v>No Backlog</v>
      </c>
      <c r="K504" s="13">
        <f t="shared" si="95"/>
        <v>0.95841548664635234</v>
      </c>
      <c r="L504" s="13">
        <f t="shared" si="96"/>
        <v>6.7089084065244666</v>
      </c>
      <c r="M504" s="13">
        <f t="shared" si="97"/>
        <v>28.752464599390571</v>
      </c>
      <c r="N504" t="b">
        <f t="shared" si="98"/>
        <v>0</v>
      </c>
      <c r="O504">
        <f t="shared" si="99"/>
        <v>5</v>
      </c>
      <c r="P504" s="13">
        <f t="shared" si="100"/>
        <v>0.9490616364247112</v>
      </c>
      <c r="Q504" s="13">
        <f t="shared" si="101"/>
        <v>0.95382526766253639</v>
      </c>
      <c r="R504" s="15" t="b">
        <f t="shared" si="102"/>
        <v>0</v>
      </c>
      <c r="S504" s="13">
        <f t="shared" si="103"/>
        <v>2.7245025990320845E-2</v>
      </c>
    </row>
    <row r="505" spans="1:19" x14ac:dyDescent="0.3">
      <c r="A505" s="4">
        <v>45690</v>
      </c>
      <c r="B505" s="2">
        <v>158</v>
      </c>
      <c r="C505" s="2">
        <v>226</v>
      </c>
      <c r="D505" s="2">
        <v>191</v>
      </c>
      <c r="E505">
        <v>10871</v>
      </c>
      <c r="F505">
        <v>411</v>
      </c>
      <c r="G505" s="2">
        <f t="shared" si="91"/>
        <v>11097</v>
      </c>
      <c r="H505">
        <f t="shared" si="92"/>
        <v>10460</v>
      </c>
      <c r="I505" s="13">
        <f t="shared" si="93"/>
        <v>-2.7724665391969409E-3</v>
      </c>
      <c r="J505" t="str">
        <f t="shared" si="94"/>
        <v>No Backlog</v>
      </c>
      <c r="K505" s="13">
        <f t="shared" si="95"/>
        <v>0.94259709831485983</v>
      </c>
      <c r="L505" s="13">
        <f t="shared" si="96"/>
        <v>6.5981796882040191</v>
      </c>
      <c r="M505" s="13">
        <f t="shared" si="97"/>
        <v>28.277912949445795</v>
      </c>
      <c r="N505" t="b">
        <f t="shared" si="98"/>
        <v>1</v>
      </c>
      <c r="O505">
        <f t="shared" si="99"/>
        <v>6</v>
      </c>
      <c r="P505" s="13">
        <f t="shared" si="100"/>
        <v>0.95047303320996268</v>
      </c>
      <c r="Q505" s="13">
        <f t="shared" si="101"/>
        <v>0.94662193224200708</v>
      </c>
      <c r="R505" s="15" t="b">
        <f t="shared" si="102"/>
        <v>0</v>
      </c>
      <c r="S505" s="13">
        <f t="shared" si="103"/>
        <v>3.7037037037037035E-2</v>
      </c>
    </row>
    <row r="506" spans="1:19" x14ac:dyDescent="0.3">
      <c r="A506" s="4">
        <v>45691</v>
      </c>
      <c r="B506" s="2">
        <v>141</v>
      </c>
      <c r="C506" s="2">
        <v>232</v>
      </c>
      <c r="D506" s="2">
        <v>188</v>
      </c>
      <c r="E506">
        <v>10897</v>
      </c>
      <c r="F506">
        <v>466</v>
      </c>
      <c r="G506" s="2">
        <f t="shared" si="91"/>
        <v>11129</v>
      </c>
      <c r="H506">
        <f t="shared" si="92"/>
        <v>10431</v>
      </c>
      <c r="I506" s="13">
        <f t="shared" si="93"/>
        <v>2.3967021378583069E-3</v>
      </c>
      <c r="J506" t="str">
        <f t="shared" si="94"/>
        <v>Backlog</v>
      </c>
      <c r="K506" s="13">
        <f t="shared" si="95"/>
        <v>0.93728097762602214</v>
      </c>
      <c r="L506" s="13">
        <f t="shared" si="96"/>
        <v>6.5609668433821549</v>
      </c>
      <c r="M506" s="13">
        <f t="shared" si="97"/>
        <v>28.118429328780664</v>
      </c>
      <c r="N506" t="b">
        <f t="shared" si="98"/>
        <v>1</v>
      </c>
      <c r="O506">
        <f t="shared" si="99"/>
        <v>6</v>
      </c>
      <c r="P506" s="13">
        <f t="shared" si="100"/>
        <v>0.95003030318711867</v>
      </c>
      <c r="Q506" s="13">
        <f t="shared" si="101"/>
        <v>0.94405533152908561</v>
      </c>
      <c r="R506" s="15" t="str">
        <f t="shared" si="102"/>
        <v>STRAIN</v>
      </c>
      <c r="S506" s="13">
        <f t="shared" si="103"/>
        <v>4.1872585137927937E-2</v>
      </c>
    </row>
    <row r="507" spans="1:19" x14ac:dyDescent="0.3">
      <c r="A507" s="4">
        <v>45692</v>
      </c>
      <c r="B507" s="2">
        <v>123</v>
      </c>
      <c r="C507" s="2">
        <v>233</v>
      </c>
      <c r="D507" s="2">
        <v>159</v>
      </c>
      <c r="E507">
        <v>10832</v>
      </c>
      <c r="F507">
        <v>376</v>
      </c>
      <c r="G507" s="2">
        <f t="shared" si="91"/>
        <v>11065</v>
      </c>
      <c r="H507">
        <f t="shared" si="92"/>
        <v>10456</v>
      </c>
      <c r="I507" s="13">
        <f t="shared" si="93"/>
        <v>4.2081101759755164E-3</v>
      </c>
      <c r="J507" t="str">
        <f t="shared" si="94"/>
        <v>Backlog</v>
      </c>
      <c r="K507" s="13">
        <f t="shared" si="95"/>
        <v>0.94496159060099416</v>
      </c>
      <c r="L507" s="13">
        <f t="shared" si="96"/>
        <v>6.6147311342069592</v>
      </c>
      <c r="M507" s="13">
        <f t="shared" si="97"/>
        <v>28.348847718029823</v>
      </c>
      <c r="N507" t="b">
        <f t="shared" si="98"/>
        <v>1</v>
      </c>
      <c r="O507">
        <f t="shared" si="99"/>
        <v>6</v>
      </c>
      <c r="P507" s="13">
        <f t="shared" si="100"/>
        <v>0.9566953992129511</v>
      </c>
      <c r="Q507" s="13">
        <f t="shared" si="101"/>
        <v>0.94056808143921233</v>
      </c>
      <c r="R507" s="15" t="str">
        <f t="shared" si="102"/>
        <v>STRAIN</v>
      </c>
      <c r="S507" s="13">
        <f t="shared" si="103"/>
        <v>3.3981021238138273E-2</v>
      </c>
    </row>
    <row r="508" spans="1:19" x14ac:dyDescent="0.3">
      <c r="A508" s="4">
        <v>45693</v>
      </c>
      <c r="B508" s="2">
        <v>123</v>
      </c>
      <c r="C508" s="2">
        <v>230</v>
      </c>
      <c r="D508" s="2">
        <v>167</v>
      </c>
      <c r="E508">
        <v>10761</v>
      </c>
      <c r="F508">
        <v>261</v>
      </c>
      <c r="G508" s="2">
        <f t="shared" si="91"/>
        <v>10991</v>
      </c>
      <c r="H508">
        <f t="shared" si="92"/>
        <v>10500</v>
      </c>
      <c r="I508" s="13">
        <f t="shared" si="93"/>
        <v>-1.3142857142857144E-2</v>
      </c>
      <c r="J508" t="str">
        <f t="shared" si="94"/>
        <v>No Backlog</v>
      </c>
      <c r="K508" s="13">
        <f t="shared" si="95"/>
        <v>0.95532708579747061</v>
      </c>
      <c r="L508" s="13">
        <f t="shared" si="96"/>
        <v>6.6872896005822939</v>
      </c>
      <c r="M508" s="13">
        <f t="shared" si="97"/>
        <v>28.659812573924118</v>
      </c>
      <c r="N508" t="b">
        <f t="shared" si="98"/>
        <v>1</v>
      </c>
      <c r="O508">
        <f t="shared" si="99"/>
        <v>6</v>
      </c>
      <c r="P508" s="13">
        <f t="shared" si="100"/>
        <v>0.96316084814126346</v>
      </c>
      <c r="Q508" s="13">
        <f t="shared" si="101"/>
        <v>0.94999197920382694</v>
      </c>
      <c r="R508" s="15" t="b">
        <f t="shared" si="102"/>
        <v>0</v>
      </c>
      <c r="S508" s="13">
        <f t="shared" si="103"/>
        <v>2.3746701846965697E-2</v>
      </c>
    </row>
    <row r="509" spans="1:19" x14ac:dyDescent="0.3">
      <c r="A509" s="4">
        <v>45694</v>
      </c>
      <c r="B509" s="2">
        <v>174</v>
      </c>
      <c r="C509" s="2">
        <v>208</v>
      </c>
      <c r="D509" s="2">
        <v>256</v>
      </c>
      <c r="E509">
        <v>10635</v>
      </c>
      <c r="F509">
        <v>273</v>
      </c>
      <c r="G509" s="2">
        <f t="shared" si="91"/>
        <v>10843</v>
      </c>
      <c r="H509">
        <f t="shared" si="92"/>
        <v>10362</v>
      </c>
      <c r="I509" s="13">
        <f t="shared" si="93"/>
        <v>-1.9301293186643507E-2</v>
      </c>
      <c r="J509" t="str">
        <f t="shared" si="94"/>
        <v>No Backlog</v>
      </c>
      <c r="K509" s="13">
        <f t="shared" si="95"/>
        <v>0.95563958314119712</v>
      </c>
      <c r="L509" s="13">
        <f t="shared" si="96"/>
        <v>6.6894770819883798</v>
      </c>
      <c r="M509" s="13">
        <f t="shared" si="97"/>
        <v>28.669187494235914</v>
      </c>
      <c r="N509" t="b">
        <f t="shared" si="98"/>
        <v>0</v>
      </c>
      <c r="O509">
        <f t="shared" si="99"/>
        <v>6</v>
      </c>
      <c r="P509" s="13">
        <f t="shared" si="100"/>
        <v>0.9525235063400439</v>
      </c>
      <c r="Q509" s="13">
        <f t="shared" si="101"/>
        <v>0.95397666222288202</v>
      </c>
      <c r="R509" s="15" t="b">
        <f t="shared" si="102"/>
        <v>0</v>
      </c>
      <c r="S509" s="13">
        <f t="shared" si="103"/>
        <v>2.5177533892834086E-2</v>
      </c>
    </row>
    <row r="510" spans="1:19" x14ac:dyDescent="0.3">
      <c r="A510" s="4">
        <v>45697</v>
      </c>
      <c r="B510" s="2">
        <v>132</v>
      </c>
      <c r="C510" s="2">
        <v>235</v>
      </c>
      <c r="D510" s="2">
        <v>197</v>
      </c>
      <c r="E510">
        <v>10579</v>
      </c>
      <c r="F510">
        <v>417</v>
      </c>
      <c r="G510" s="2">
        <f t="shared" si="91"/>
        <v>10814</v>
      </c>
      <c r="H510">
        <f t="shared" si="92"/>
        <v>10162</v>
      </c>
      <c r="I510" s="13">
        <f t="shared" si="93"/>
        <v>5.3139145837433578E-3</v>
      </c>
      <c r="J510" t="str">
        <f t="shared" si="94"/>
        <v>Backlog</v>
      </c>
      <c r="K510" s="13">
        <f t="shared" si="95"/>
        <v>0.93970778620307005</v>
      </c>
      <c r="L510" s="13">
        <f t="shared" si="96"/>
        <v>6.5779545034214904</v>
      </c>
      <c r="M510" s="13">
        <f t="shared" si="97"/>
        <v>28.191233586092103</v>
      </c>
      <c r="N510" t="b">
        <f t="shared" si="98"/>
        <v>1</v>
      </c>
      <c r="O510">
        <f t="shared" si="99"/>
        <v>7</v>
      </c>
      <c r="P510" s="13">
        <f t="shared" si="100"/>
        <v>0.94447141744089524</v>
      </c>
      <c r="Q510" s="13">
        <f t="shared" si="101"/>
        <v>0.94811917849661931</v>
      </c>
      <c r="R510" s="15" t="str">
        <f t="shared" si="102"/>
        <v>STRAIN</v>
      </c>
      <c r="S510" s="13">
        <f t="shared" si="103"/>
        <v>3.856112446828186E-2</v>
      </c>
    </row>
    <row r="511" spans="1:19" x14ac:dyDescent="0.3">
      <c r="A511" s="4">
        <v>45698</v>
      </c>
      <c r="B511" s="2">
        <v>92</v>
      </c>
      <c r="C511" s="2">
        <v>124</v>
      </c>
      <c r="D511" s="2">
        <v>93</v>
      </c>
      <c r="E511">
        <v>10536</v>
      </c>
      <c r="F511">
        <v>320</v>
      </c>
      <c r="G511" s="2">
        <f t="shared" si="91"/>
        <v>10660</v>
      </c>
      <c r="H511">
        <f t="shared" si="92"/>
        <v>10216</v>
      </c>
      <c r="I511" s="13">
        <f t="shared" si="93"/>
        <v>-9.9843382928739236E-3</v>
      </c>
      <c r="J511" t="str">
        <f t="shared" si="94"/>
        <v>No Backlog</v>
      </c>
      <c r="K511" s="13">
        <f t="shared" si="95"/>
        <v>0.95834896810506565</v>
      </c>
      <c r="L511" s="13">
        <f t="shared" si="96"/>
        <v>6.7084427767354597</v>
      </c>
      <c r="M511" s="13">
        <f t="shared" si="97"/>
        <v>28.75046904315197</v>
      </c>
      <c r="N511" t="b">
        <f t="shared" si="98"/>
        <v>1</v>
      </c>
      <c r="O511">
        <f t="shared" si="99"/>
        <v>7</v>
      </c>
      <c r="P511" s="13">
        <f t="shared" si="100"/>
        <v>0.95449786713710993</v>
      </c>
      <c r="Q511" s="13">
        <f t="shared" si="101"/>
        <v>0.95542151493139271</v>
      </c>
      <c r="R511" s="15" t="b">
        <f t="shared" si="102"/>
        <v>0</v>
      </c>
      <c r="S511" s="13">
        <f t="shared" si="103"/>
        <v>3.0018761726078799E-2</v>
      </c>
    </row>
    <row r="512" spans="1:19" x14ac:dyDescent="0.3">
      <c r="A512" s="4">
        <v>45699</v>
      </c>
      <c r="B512" s="2">
        <v>68</v>
      </c>
      <c r="C512" s="2">
        <v>107</v>
      </c>
      <c r="D512" s="2">
        <v>102</v>
      </c>
      <c r="E512">
        <v>10398</v>
      </c>
      <c r="F512">
        <v>284</v>
      </c>
      <c r="G512" s="2">
        <f t="shared" si="91"/>
        <v>10505</v>
      </c>
      <c r="H512">
        <f t="shared" si="92"/>
        <v>10114</v>
      </c>
      <c r="I512" s="13">
        <f t="shared" si="93"/>
        <v>-1.1271504844769626E-2</v>
      </c>
      <c r="J512" t="str">
        <f t="shared" si="94"/>
        <v>No Backlog</v>
      </c>
      <c r="K512" s="13">
        <f t="shared" si="95"/>
        <v>0.9627796287482151</v>
      </c>
      <c r="L512" s="13">
        <f t="shared" si="96"/>
        <v>6.7394574012375053</v>
      </c>
      <c r="M512" s="13">
        <f t="shared" si="97"/>
        <v>28.883388862446452</v>
      </c>
      <c r="N512" t="b">
        <f t="shared" si="98"/>
        <v>1</v>
      </c>
      <c r="O512">
        <f t="shared" si="99"/>
        <v>7</v>
      </c>
      <c r="P512" s="13">
        <f t="shared" si="100"/>
        <v>0.95680465709018203</v>
      </c>
      <c r="Q512" s="13">
        <f t="shared" si="101"/>
        <v>0.95684898216491376</v>
      </c>
      <c r="R512" s="15" t="b">
        <f t="shared" si="102"/>
        <v>0</v>
      </c>
      <c r="S512" s="13">
        <f t="shared" si="103"/>
        <v>2.7034745359352689E-2</v>
      </c>
    </row>
    <row r="513" spans="1:19" x14ac:dyDescent="0.3">
      <c r="A513" s="4">
        <v>45700</v>
      </c>
      <c r="B513" s="2">
        <v>74</v>
      </c>
      <c r="C513" s="2">
        <v>103</v>
      </c>
      <c r="D513" s="2">
        <v>80</v>
      </c>
      <c r="E513">
        <v>10223</v>
      </c>
      <c r="F513">
        <v>223</v>
      </c>
      <c r="G513" s="2">
        <f t="shared" si="91"/>
        <v>10326</v>
      </c>
      <c r="H513">
        <f t="shared" si="92"/>
        <v>10000</v>
      </c>
      <c r="I513" s="13">
        <f t="shared" si="93"/>
        <v>-9.1000000000000004E-3</v>
      </c>
      <c r="J513" t="str">
        <f t="shared" si="94"/>
        <v>No Backlog</v>
      </c>
      <c r="K513" s="13">
        <f t="shared" si="95"/>
        <v>0.96842920782490804</v>
      </c>
      <c r="L513" s="13">
        <f t="shared" si="96"/>
        <v>6.7790044547743564</v>
      </c>
      <c r="M513" s="13">
        <f t="shared" si="97"/>
        <v>29.052876234747242</v>
      </c>
      <c r="N513" t="b">
        <f t="shared" si="98"/>
        <v>1</v>
      </c>
      <c r="O513">
        <f t="shared" si="99"/>
        <v>7</v>
      </c>
      <c r="P513" s="13">
        <f t="shared" si="100"/>
        <v>0.95230189005116928</v>
      </c>
      <c r="Q513" s="13">
        <f t="shared" si="101"/>
        <v>0.9570340765290869</v>
      </c>
      <c r="R513" s="15" t="b">
        <f t="shared" si="102"/>
        <v>0</v>
      </c>
      <c r="S513" s="13">
        <f t="shared" si="103"/>
        <v>2.1595971334495447E-2</v>
      </c>
    </row>
    <row r="514" spans="1:19" x14ac:dyDescent="0.3">
      <c r="A514" s="4">
        <v>45701</v>
      </c>
      <c r="B514" s="2">
        <v>56</v>
      </c>
      <c r="C514" s="2">
        <v>82</v>
      </c>
      <c r="D514" s="2">
        <v>68</v>
      </c>
      <c r="E514">
        <v>10123</v>
      </c>
      <c r="F514">
        <v>214</v>
      </c>
      <c r="G514" s="2">
        <f t="shared" si="91"/>
        <v>10205</v>
      </c>
      <c r="H514">
        <f t="shared" si="92"/>
        <v>9909</v>
      </c>
      <c r="I514" s="13">
        <f t="shared" si="93"/>
        <v>-3.794530225047936E-2</v>
      </c>
      <c r="J514" t="str">
        <f t="shared" si="94"/>
        <v>No Backlog</v>
      </c>
      <c r="K514" s="13">
        <f t="shared" si="95"/>
        <v>0.97099461048505631</v>
      </c>
      <c r="L514" s="13">
        <f t="shared" si="96"/>
        <v>6.796962273395394</v>
      </c>
      <c r="M514" s="13">
        <f t="shared" si="97"/>
        <v>29.129838314551691</v>
      </c>
      <c r="N514" t="b">
        <f t="shared" si="98"/>
        <v>1</v>
      </c>
      <c r="O514">
        <f t="shared" si="99"/>
        <v>7</v>
      </c>
      <c r="P514" s="13">
        <f t="shared" si="100"/>
        <v>0.95782574154761968</v>
      </c>
      <c r="Q514" s="13">
        <f t="shared" si="101"/>
        <v>0.96166817503151425</v>
      </c>
      <c r="R514" s="15" t="b">
        <f t="shared" si="102"/>
        <v>0</v>
      </c>
      <c r="S514" s="13">
        <f t="shared" si="103"/>
        <v>2.0970112689857913E-2</v>
      </c>
    </row>
    <row r="515" spans="1:19" x14ac:dyDescent="0.3">
      <c r="A515" s="4">
        <v>45705</v>
      </c>
      <c r="B515" s="2">
        <v>90</v>
      </c>
      <c r="C515" s="2">
        <v>196</v>
      </c>
      <c r="D515" s="2">
        <v>205</v>
      </c>
      <c r="E515">
        <v>9845</v>
      </c>
      <c r="F515">
        <v>312</v>
      </c>
      <c r="G515" s="2">
        <f t="shared" ref="G515:G578" si="104">C515+E515</f>
        <v>10041</v>
      </c>
      <c r="H515">
        <f t="shared" ref="H515:H578" si="105">E515-F515</f>
        <v>9533</v>
      </c>
      <c r="I515" s="13">
        <f t="shared" ref="I515:I578" si="106">(H516-H515)/H515</f>
        <v>2.307772999055911E-3</v>
      </c>
      <c r="J515" t="str">
        <f t="shared" ref="J515:J578" si="107">IF(I515&gt;0,"Backlog","No Backlog")</f>
        <v>Backlog</v>
      </c>
      <c r="K515" s="13">
        <f t="shared" ref="K515:K578" si="108">H515/G515</f>
        <v>0.94940742953889057</v>
      </c>
      <c r="L515" s="13">
        <f t="shared" ref="L515:L578" si="109">K515*7</f>
        <v>6.645852006772234</v>
      </c>
      <c r="M515" s="13">
        <f t="shared" ref="M515:M578" si="110">K515*30</f>
        <v>28.482222886166717</v>
      </c>
      <c r="N515" t="b">
        <f t="shared" ref="N515:N578" si="111">IF(D515&lt;C515,F515&lt;E515)</f>
        <v>0</v>
      </c>
      <c r="O515">
        <f t="shared" ref="O515:O578" si="112">WEEKNUM(A515)</f>
        <v>8</v>
      </c>
      <c r="P515" s="13">
        <f t="shared" ref="P515:P578" si="113">AVERAGE(K515,K521)</f>
        <v>0.9508605854217288</v>
      </c>
      <c r="Q515" s="13">
        <f t="shared" ref="Q515:Q578" si="114">AVERAGE(K515,K527)</f>
        <v>0.94586665205277343</v>
      </c>
      <c r="R515" s="15" t="str">
        <f t="shared" ref="R515:R578" si="115">IF(I515&gt;0,"STRAIN")</f>
        <v>STRAIN</v>
      </c>
      <c r="S515" s="13">
        <f t="shared" ref="S515:S578" si="116">F515/G515</f>
        <v>3.1072602330445176E-2</v>
      </c>
    </row>
    <row r="516" spans="1:19" x14ac:dyDescent="0.3">
      <c r="A516" s="4">
        <v>45706</v>
      </c>
      <c r="B516" s="2">
        <v>128</v>
      </c>
      <c r="C516" s="2">
        <v>228</v>
      </c>
      <c r="D516" s="2">
        <v>177</v>
      </c>
      <c r="E516">
        <v>9838</v>
      </c>
      <c r="F516">
        <v>283</v>
      </c>
      <c r="G516" s="2">
        <f t="shared" si="104"/>
        <v>10066</v>
      </c>
      <c r="H516">
        <f t="shared" si="105"/>
        <v>9555</v>
      </c>
      <c r="I516" s="13">
        <f t="shared" si="106"/>
        <v>-1.0465724751439037E-4</v>
      </c>
      <c r="J516" t="str">
        <f t="shared" si="107"/>
        <v>No Backlog</v>
      </c>
      <c r="K516" s="13">
        <f t="shared" si="108"/>
        <v>0.94923504867872044</v>
      </c>
      <c r="L516" s="13">
        <f t="shared" si="109"/>
        <v>6.6446453407510431</v>
      </c>
      <c r="M516" s="13">
        <f t="shared" si="110"/>
        <v>28.477051460361615</v>
      </c>
      <c r="N516" t="b">
        <f t="shared" si="111"/>
        <v>1</v>
      </c>
      <c r="O516">
        <f t="shared" si="112"/>
        <v>8</v>
      </c>
      <c r="P516" s="13">
        <f t="shared" si="113"/>
        <v>0.9528828097344445</v>
      </c>
      <c r="Q516" s="13">
        <f t="shared" si="114"/>
        <v>0.94304854612195521</v>
      </c>
      <c r="R516" s="15" t="b">
        <f t="shared" si="115"/>
        <v>0</v>
      </c>
      <c r="S516" s="13">
        <f t="shared" si="116"/>
        <v>2.8114444665209615E-2</v>
      </c>
    </row>
    <row r="517" spans="1:19" x14ac:dyDescent="0.3">
      <c r="A517" s="4">
        <v>45707</v>
      </c>
      <c r="B517" s="2">
        <v>136</v>
      </c>
      <c r="C517" s="2">
        <v>246</v>
      </c>
      <c r="D517" s="2">
        <v>123</v>
      </c>
      <c r="E517">
        <v>9804</v>
      </c>
      <c r="F517">
        <v>250</v>
      </c>
      <c r="G517" s="2">
        <f t="shared" si="104"/>
        <v>10050</v>
      </c>
      <c r="H517">
        <f t="shared" si="105"/>
        <v>9554</v>
      </c>
      <c r="I517" s="13">
        <f t="shared" si="106"/>
        <v>-2.2398995185262716E-2</v>
      </c>
      <c r="J517" t="str">
        <f t="shared" si="107"/>
        <v>No Backlog</v>
      </c>
      <c r="K517" s="13">
        <f t="shared" si="108"/>
        <v>0.95064676616915422</v>
      </c>
      <c r="L517" s="13">
        <f t="shared" si="109"/>
        <v>6.65452736318408</v>
      </c>
      <c r="M517" s="13">
        <f t="shared" si="110"/>
        <v>28.519402985074628</v>
      </c>
      <c r="N517" t="b">
        <f t="shared" si="111"/>
        <v>1</v>
      </c>
      <c r="O517">
        <f t="shared" si="112"/>
        <v>8</v>
      </c>
      <c r="P517" s="13">
        <f t="shared" si="113"/>
        <v>0.95157041396343689</v>
      </c>
      <c r="Q517" s="13">
        <f t="shared" si="114"/>
        <v>0.94744773541618332</v>
      </c>
      <c r="R517" s="15" t="b">
        <f t="shared" si="115"/>
        <v>0</v>
      </c>
      <c r="S517" s="13">
        <f t="shared" si="116"/>
        <v>2.4875621890547265E-2</v>
      </c>
    </row>
    <row r="518" spans="1:19" x14ac:dyDescent="0.3">
      <c r="A518" s="4">
        <v>45708</v>
      </c>
      <c r="B518" s="2">
        <v>105</v>
      </c>
      <c r="C518" s="2">
        <v>185</v>
      </c>
      <c r="D518" s="2">
        <v>158</v>
      </c>
      <c r="E518">
        <v>9638</v>
      </c>
      <c r="F518">
        <v>298</v>
      </c>
      <c r="G518" s="2">
        <f t="shared" si="104"/>
        <v>9823</v>
      </c>
      <c r="H518">
        <f t="shared" si="105"/>
        <v>9340</v>
      </c>
      <c r="I518" s="13">
        <f t="shared" si="106"/>
        <v>-2.1627408993576017E-2</v>
      </c>
      <c r="J518" t="str">
        <f t="shared" si="107"/>
        <v>No Backlog</v>
      </c>
      <c r="K518" s="13">
        <f t="shared" si="108"/>
        <v>0.95082968543214907</v>
      </c>
      <c r="L518" s="13">
        <f t="shared" si="109"/>
        <v>6.6558077980250436</v>
      </c>
      <c r="M518" s="13">
        <f t="shared" si="110"/>
        <v>28.524890562964472</v>
      </c>
      <c r="N518" t="b">
        <f t="shared" si="111"/>
        <v>1</v>
      </c>
      <c r="O518">
        <f t="shared" si="112"/>
        <v>8</v>
      </c>
      <c r="P518" s="13">
        <f t="shared" si="113"/>
        <v>0.95087401050688081</v>
      </c>
      <c r="Q518" s="13">
        <f t="shared" si="114"/>
        <v>0.94831942890479359</v>
      </c>
      <c r="R518" s="15" t="b">
        <f t="shared" si="115"/>
        <v>0</v>
      </c>
      <c r="S518" s="13">
        <f t="shared" si="116"/>
        <v>3.0336964267535377E-2</v>
      </c>
    </row>
    <row r="519" spans="1:19" x14ac:dyDescent="0.3">
      <c r="A519" s="4">
        <v>45711</v>
      </c>
      <c r="B519" s="2">
        <v>116</v>
      </c>
      <c r="C519" s="2">
        <v>188</v>
      </c>
      <c r="D519" s="2">
        <v>164</v>
      </c>
      <c r="E519">
        <v>9573</v>
      </c>
      <c r="F519">
        <v>435</v>
      </c>
      <c r="G519" s="2">
        <f t="shared" si="104"/>
        <v>9761</v>
      </c>
      <c r="H519">
        <f t="shared" si="105"/>
        <v>9138</v>
      </c>
      <c r="I519" s="13">
        <f t="shared" si="106"/>
        <v>2.7358284088421975E-2</v>
      </c>
      <c r="J519" t="str">
        <f t="shared" si="107"/>
        <v>Backlog</v>
      </c>
      <c r="K519" s="13">
        <f t="shared" si="108"/>
        <v>0.93617457227743062</v>
      </c>
      <c r="L519" s="13">
        <f t="shared" si="109"/>
        <v>6.5532220059420148</v>
      </c>
      <c r="M519" s="13">
        <f t="shared" si="110"/>
        <v>28.085237168322919</v>
      </c>
      <c r="N519" t="b">
        <f t="shared" si="111"/>
        <v>1</v>
      </c>
      <c r="O519">
        <f t="shared" si="112"/>
        <v>9</v>
      </c>
      <c r="P519" s="13">
        <f t="shared" si="113"/>
        <v>0.94090675875534813</v>
      </c>
      <c r="Q519" s="13">
        <f t="shared" si="114"/>
        <v>0.94901879298803038</v>
      </c>
      <c r="R519" s="15" t="str">
        <f t="shared" si="115"/>
        <v>STRAIN</v>
      </c>
      <c r="S519" s="13">
        <f t="shared" si="116"/>
        <v>4.4565106034217802E-2</v>
      </c>
    </row>
    <row r="520" spans="1:19" x14ac:dyDescent="0.3">
      <c r="A520" s="4">
        <v>45712</v>
      </c>
      <c r="B520" s="2">
        <v>80</v>
      </c>
      <c r="C520" s="2">
        <v>176</v>
      </c>
      <c r="D520" s="2">
        <v>125</v>
      </c>
      <c r="E520">
        <v>9762</v>
      </c>
      <c r="F520">
        <v>374</v>
      </c>
      <c r="G520" s="2">
        <f t="shared" si="104"/>
        <v>9938</v>
      </c>
      <c r="H520">
        <f t="shared" si="105"/>
        <v>9388</v>
      </c>
      <c r="I520" s="13">
        <f t="shared" si="106"/>
        <v>6.1780997017469108E-3</v>
      </c>
      <c r="J520" t="str">
        <f t="shared" si="107"/>
        <v>Backlog</v>
      </c>
      <c r="K520" s="13">
        <f t="shared" si="108"/>
        <v>0.94465687261018316</v>
      </c>
      <c r="L520" s="13">
        <f t="shared" si="109"/>
        <v>6.6125981082712819</v>
      </c>
      <c r="M520" s="13">
        <f t="shared" si="110"/>
        <v>28.339706178305494</v>
      </c>
      <c r="N520" t="b">
        <f t="shared" si="111"/>
        <v>1</v>
      </c>
      <c r="O520">
        <f t="shared" si="112"/>
        <v>9</v>
      </c>
      <c r="P520" s="13">
        <f t="shared" si="113"/>
        <v>0.94849930609407762</v>
      </c>
      <c r="Q520" s="13">
        <f t="shared" si="114"/>
        <v>0.95420570853159814</v>
      </c>
      <c r="R520" s="15" t="str">
        <f t="shared" si="115"/>
        <v>STRAIN</v>
      </c>
      <c r="S520" s="13">
        <f t="shared" si="116"/>
        <v>3.7633326625075465E-2</v>
      </c>
    </row>
    <row r="521" spans="1:19" x14ac:dyDescent="0.3">
      <c r="A521" s="4">
        <v>45713</v>
      </c>
      <c r="B521" s="2">
        <v>150</v>
      </c>
      <c r="C521" s="2">
        <v>157</v>
      </c>
      <c r="D521" s="2">
        <v>201</v>
      </c>
      <c r="E521">
        <v>9762</v>
      </c>
      <c r="F521">
        <v>316</v>
      </c>
      <c r="G521" s="2">
        <f t="shared" si="104"/>
        <v>9919</v>
      </c>
      <c r="H521">
        <f t="shared" si="105"/>
        <v>9446</v>
      </c>
      <c r="I521" s="13">
        <f t="shared" si="106"/>
        <v>-2.9642176582680498E-3</v>
      </c>
      <c r="J521" t="str">
        <f t="shared" si="107"/>
        <v>No Backlog</v>
      </c>
      <c r="K521" s="13">
        <f t="shared" si="108"/>
        <v>0.95231374130456703</v>
      </c>
      <c r="L521" s="13">
        <f t="shared" si="109"/>
        <v>6.666196189131969</v>
      </c>
      <c r="M521" s="13">
        <f t="shared" si="110"/>
        <v>28.569412239137012</v>
      </c>
      <c r="N521" t="b">
        <f t="shared" si="111"/>
        <v>0</v>
      </c>
      <c r="O521">
        <f t="shared" si="112"/>
        <v>9</v>
      </c>
      <c r="P521" s="13">
        <f t="shared" si="113"/>
        <v>0.94731980793561155</v>
      </c>
      <c r="Q521" s="13">
        <f t="shared" si="114"/>
        <v>0.94876798176339461</v>
      </c>
      <c r="R521" s="15" t="b">
        <f t="shared" si="115"/>
        <v>0</v>
      </c>
      <c r="S521" s="13">
        <f t="shared" si="116"/>
        <v>3.1858050206674059E-2</v>
      </c>
    </row>
    <row r="522" spans="1:19" x14ac:dyDescent="0.3">
      <c r="A522" s="4">
        <v>45714</v>
      </c>
      <c r="B522" s="2">
        <v>116</v>
      </c>
      <c r="C522" s="2">
        <v>181</v>
      </c>
      <c r="D522" s="2">
        <v>182</v>
      </c>
      <c r="E522">
        <v>9665</v>
      </c>
      <c r="F522">
        <v>247</v>
      </c>
      <c r="G522" s="2">
        <f t="shared" si="104"/>
        <v>9846</v>
      </c>
      <c r="H522">
        <f t="shared" si="105"/>
        <v>9418</v>
      </c>
      <c r="I522" s="13">
        <f t="shared" si="106"/>
        <v>-2.0705032915693353E-2</v>
      </c>
      <c r="J522" t="str">
        <f t="shared" si="107"/>
        <v>No Backlog</v>
      </c>
      <c r="K522" s="13">
        <f t="shared" si="108"/>
        <v>0.95653057079016857</v>
      </c>
      <c r="L522" s="13">
        <f t="shared" si="109"/>
        <v>6.6957139955311797</v>
      </c>
      <c r="M522" s="13">
        <f t="shared" si="110"/>
        <v>28.695917123705058</v>
      </c>
      <c r="N522" t="b">
        <f t="shared" si="111"/>
        <v>0</v>
      </c>
      <c r="O522">
        <f t="shared" si="112"/>
        <v>9</v>
      </c>
      <c r="P522" s="13">
        <f t="shared" si="113"/>
        <v>0.94669630717767927</v>
      </c>
      <c r="Q522" s="13">
        <f t="shared" si="114"/>
        <v>0.95217227210747168</v>
      </c>
      <c r="R522" s="15" t="b">
        <f t="shared" si="115"/>
        <v>0</v>
      </c>
      <c r="S522" s="13">
        <f t="shared" si="116"/>
        <v>2.5086329473898029E-2</v>
      </c>
    </row>
    <row r="523" spans="1:19" x14ac:dyDescent="0.3">
      <c r="A523" s="4">
        <v>45715</v>
      </c>
      <c r="B523" s="2">
        <v>141</v>
      </c>
      <c r="C523" s="2">
        <v>173</v>
      </c>
      <c r="D523" s="2">
        <v>129</v>
      </c>
      <c r="E523">
        <v>9510</v>
      </c>
      <c r="F523">
        <v>287</v>
      </c>
      <c r="G523" s="2">
        <f t="shared" si="104"/>
        <v>9683</v>
      </c>
      <c r="H523">
        <f t="shared" si="105"/>
        <v>9223</v>
      </c>
      <c r="I523" s="13">
        <f t="shared" si="106"/>
        <v>-6.3970508511330369E-3</v>
      </c>
      <c r="J523" t="str">
        <f t="shared" si="107"/>
        <v>No Backlog</v>
      </c>
      <c r="K523" s="13">
        <f t="shared" si="108"/>
        <v>0.95249406175771967</v>
      </c>
      <c r="L523" s="13">
        <f t="shared" si="109"/>
        <v>6.6674584323040378</v>
      </c>
      <c r="M523" s="13">
        <f t="shared" si="110"/>
        <v>28.574821852731588</v>
      </c>
      <c r="N523" t="b">
        <f t="shared" si="111"/>
        <v>1</v>
      </c>
      <c r="O523">
        <f t="shared" si="112"/>
        <v>9</v>
      </c>
      <c r="P523" s="13">
        <f t="shared" si="113"/>
        <v>0.9483713832104661</v>
      </c>
      <c r="Q523" s="13">
        <f t="shared" si="114"/>
        <v>0.95728792307216837</v>
      </c>
      <c r="R523" s="15" t="b">
        <f t="shared" si="115"/>
        <v>0</v>
      </c>
      <c r="S523" s="13">
        <f t="shared" si="116"/>
        <v>2.9639574512031395E-2</v>
      </c>
    </row>
    <row r="524" spans="1:19" x14ac:dyDescent="0.3">
      <c r="A524" s="4">
        <v>45718</v>
      </c>
      <c r="B524" s="2">
        <v>96</v>
      </c>
      <c r="C524" s="2">
        <v>160</v>
      </c>
      <c r="D524" s="2">
        <v>233</v>
      </c>
      <c r="E524">
        <v>9477</v>
      </c>
      <c r="F524">
        <v>313</v>
      </c>
      <c r="G524" s="2">
        <f t="shared" si="104"/>
        <v>9637</v>
      </c>
      <c r="H524">
        <f t="shared" si="105"/>
        <v>9164</v>
      </c>
      <c r="I524" s="13">
        <f t="shared" si="106"/>
        <v>1.7459624618070713E-2</v>
      </c>
      <c r="J524" t="str">
        <f t="shared" si="107"/>
        <v>Backlog</v>
      </c>
      <c r="K524" s="13">
        <f t="shared" si="108"/>
        <v>0.95091833558161254</v>
      </c>
      <c r="L524" s="13">
        <f t="shared" si="109"/>
        <v>6.6564283490712874</v>
      </c>
      <c r="M524" s="13">
        <f t="shared" si="110"/>
        <v>28.527550067448377</v>
      </c>
      <c r="N524" t="b">
        <f t="shared" si="111"/>
        <v>0</v>
      </c>
      <c r="O524">
        <f t="shared" si="112"/>
        <v>10</v>
      </c>
      <c r="P524" s="13">
        <f t="shared" si="113"/>
        <v>0.94836375397952533</v>
      </c>
      <c r="Q524" s="13">
        <f t="shared" si="114"/>
        <v>0.95349154113535117</v>
      </c>
      <c r="R524" s="15" t="str">
        <f t="shared" si="115"/>
        <v>STRAIN</v>
      </c>
      <c r="S524" s="13">
        <f t="shared" si="116"/>
        <v>3.2478987236691917E-2</v>
      </c>
    </row>
    <row r="525" spans="1:19" x14ac:dyDescent="0.3">
      <c r="A525" s="4">
        <v>45719</v>
      </c>
      <c r="B525" s="2">
        <v>158</v>
      </c>
      <c r="C525" s="2">
        <v>226</v>
      </c>
      <c r="D525" s="2">
        <v>191</v>
      </c>
      <c r="E525">
        <v>9634</v>
      </c>
      <c r="F525">
        <v>310</v>
      </c>
      <c r="G525" s="2">
        <f t="shared" si="104"/>
        <v>9860</v>
      </c>
      <c r="H525">
        <f t="shared" si="105"/>
        <v>9324</v>
      </c>
      <c r="I525" s="13">
        <f t="shared" si="106"/>
        <v>-7.7220077220077222E-3</v>
      </c>
      <c r="J525" t="str">
        <f t="shared" si="107"/>
        <v>No Backlog</v>
      </c>
      <c r="K525" s="13">
        <f t="shared" si="108"/>
        <v>0.94563894523326575</v>
      </c>
      <c r="L525" s="13">
        <f t="shared" si="109"/>
        <v>6.6194726166328604</v>
      </c>
      <c r="M525" s="13">
        <f t="shared" si="110"/>
        <v>28.369168356997971</v>
      </c>
      <c r="N525" t="b">
        <f t="shared" si="111"/>
        <v>1</v>
      </c>
      <c r="O525">
        <f t="shared" si="112"/>
        <v>10</v>
      </c>
      <c r="P525" s="13">
        <f t="shared" si="113"/>
        <v>0.953750979465948</v>
      </c>
      <c r="Q525" s="13">
        <f t="shared" si="114"/>
        <v>0.94784033202422568</v>
      </c>
      <c r="R525" s="15" t="b">
        <f t="shared" si="115"/>
        <v>0</v>
      </c>
      <c r="S525" s="13">
        <f t="shared" si="116"/>
        <v>3.1440162271805273E-2</v>
      </c>
    </row>
    <row r="526" spans="1:19" x14ac:dyDescent="0.3">
      <c r="A526" s="4">
        <v>45720</v>
      </c>
      <c r="B526" s="2">
        <v>141</v>
      </c>
      <c r="C526" s="2">
        <v>232</v>
      </c>
      <c r="D526" s="2">
        <v>188</v>
      </c>
      <c r="E526">
        <v>9483</v>
      </c>
      <c r="F526">
        <v>231</v>
      </c>
      <c r="G526" s="2">
        <f t="shared" si="104"/>
        <v>9715</v>
      </c>
      <c r="H526">
        <f t="shared" si="105"/>
        <v>9252</v>
      </c>
      <c r="I526" s="13">
        <f t="shared" si="106"/>
        <v>-3.0479896238651102E-2</v>
      </c>
      <c r="J526" t="str">
        <f t="shared" si="107"/>
        <v>No Backlog</v>
      </c>
      <c r="K526" s="13">
        <f t="shared" si="108"/>
        <v>0.95234173957797219</v>
      </c>
      <c r="L526" s="13">
        <f t="shared" si="109"/>
        <v>6.6663921770458057</v>
      </c>
      <c r="M526" s="13">
        <f t="shared" si="110"/>
        <v>28.570252187339165</v>
      </c>
      <c r="N526" t="b">
        <f t="shared" si="111"/>
        <v>1</v>
      </c>
      <c r="O526">
        <f t="shared" si="112"/>
        <v>10</v>
      </c>
      <c r="P526" s="13">
        <f t="shared" si="113"/>
        <v>0.95804814201549271</v>
      </c>
      <c r="Q526" s="13">
        <f t="shared" si="114"/>
        <v>0.94267262200502411</v>
      </c>
      <c r="R526" s="15" t="b">
        <f t="shared" si="115"/>
        <v>0</v>
      </c>
      <c r="S526" s="13">
        <f t="shared" si="116"/>
        <v>2.3777663407102419E-2</v>
      </c>
    </row>
    <row r="527" spans="1:19" x14ac:dyDescent="0.3">
      <c r="A527" s="4">
        <v>45721</v>
      </c>
      <c r="B527" s="2">
        <v>123</v>
      </c>
      <c r="C527" s="2">
        <v>233</v>
      </c>
      <c r="D527" s="2">
        <v>159</v>
      </c>
      <c r="E527">
        <v>9286</v>
      </c>
      <c r="F527">
        <v>316</v>
      </c>
      <c r="G527" s="2">
        <f t="shared" si="104"/>
        <v>9519</v>
      </c>
      <c r="H527">
        <f t="shared" si="105"/>
        <v>8970</v>
      </c>
      <c r="I527" s="13">
        <f t="shared" si="106"/>
        <v>-7.4693422519509474E-3</v>
      </c>
      <c r="J527" t="str">
        <f t="shared" si="107"/>
        <v>No Backlog</v>
      </c>
      <c r="K527" s="13">
        <f t="shared" si="108"/>
        <v>0.94232587456665617</v>
      </c>
      <c r="L527" s="13">
        <f t="shared" si="109"/>
        <v>6.5962811219665936</v>
      </c>
      <c r="M527" s="13">
        <f t="shared" si="110"/>
        <v>28.269776236999686</v>
      </c>
      <c r="N527" t="b">
        <f t="shared" si="111"/>
        <v>1</v>
      </c>
      <c r="O527">
        <f t="shared" si="112"/>
        <v>10</v>
      </c>
      <c r="P527" s="13">
        <f t="shared" si="113"/>
        <v>0.94377404839443924</v>
      </c>
      <c r="Q527" s="13">
        <f t="shared" si="114"/>
        <v>0.9440662862004161</v>
      </c>
      <c r="R527" s="15" t="b">
        <f t="shared" si="115"/>
        <v>0</v>
      </c>
      <c r="S527" s="13">
        <f t="shared" si="116"/>
        <v>3.3196764366004834E-2</v>
      </c>
    </row>
    <row r="528" spans="1:19" x14ac:dyDescent="0.3">
      <c r="A528" s="4">
        <v>45722</v>
      </c>
      <c r="B528" s="2">
        <v>123</v>
      </c>
      <c r="C528" s="2">
        <v>230</v>
      </c>
      <c r="D528" s="2">
        <v>167</v>
      </c>
      <c r="E528">
        <v>9273</v>
      </c>
      <c r="F528">
        <v>370</v>
      </c>
      <c r="G528" s="2">
        <f t="shared" si="104"/>
        <v>9503</v>
      </c>
      <c r="H528">
        <f t="shared" si="105"/>
        <v>8903</v>
      </c>
      <c r="I528" s="13">
        <f t="shared" si="106"/>
        <v>2.3475233067505336E-2</v>
      </c>
      <c r="J528" t="str">
        <f t="shared" si="107"/>
        <v>Backlog</v>
      </c>
      <c r="K528" s="13">
        <f t="shared" si="108"/>
        <v>0.93686204356518998</v>
      </c>
      <c r="L528" s="13">
        <f t="shared" si="109"/>
        <v>6.5580343049563297</v>
      </c>
      <c r="M528" s="13">
        <f t="shared" si="110"/>
        <v>28.105861306955699</v>
      </c>
      <c r="N528" t="b">
        <f t="shared" si="111"/>
        <v>1</v>
      </c>
      <c r="O528">
        <f t="shared" si="112"/>
        <v>10</v>
      </c>
      <c r="P528" s="13">
        <f t="shared" si="113"/>
        <v>0.94233800849498239</v>
      </c>
      <c r="Q528" s="13">
        <f t="shared" si="114"/>
        <v>0.94412448675673699</v>
      </c>
      <c r="R528" s="15" t="str">
        <f t="shared" si="115"/>
        <v>STRAIN</v>
      </c>
      <c r="S528" s="13">
        <f t="shared" si="116"/>
        <v>3.893507313479954E-2</v>
      </c>
    </row>
    <row r="529" spans="1:19" x14ac:dyDescent="0.3">
      <c r="A529" s="4">
        <v>45725</v>
      </c>
      <c r="B529" s="2">
        <v>174</v>
      </c>
      <c r="C529" s="2">
        <v>208</v>
      </c>
      <c r="D529" s="2">
        <v>256</v>
      </c>
      <c r="E529">
        <v>9442</v>
      </c>
      <c r="F529">
        <v>330</v>
      </c>
      <c r="G529" s="2">
        <f t="shared" si="104"/>
        <v>9650</v>
      </c>
      <c r="H529">
        <f t="shared" si="105"/>
        <v>9112</v>
      </c>
      <c r="I529" s="13">
        <f t="shared" si="106"/>
        <v>-1.5474100087796313E-2</v>
      </c>
      <c r="J529" t="str">
        <f t="shared" si="107"/>
        <v>No Backlog</v>
      </c>
      <c r="K529" s="13">
        <f t="shared" si="108"/>
        <v>0.94424870466321242</v>
      </c>
      <c r="L529" s="13">
        <f t="shared" si="109"/>
        <v>6.6097409326424872</v>
      </c>
      <c r="M529" s="13">
        <f t="shared" si="110"/>
        <v>28.327461139896371</v>
      </c>
      <c r="N529" t="b">
        <f t="shared" si="111"/>
        <v>0</v>
      </c>
      <c r="O529">
        <f t="shared" si="112"/>
        <v>11</v>
      </c>
      <c r="P529" s="13">
        <f t="shared" si="113"/>
        <v>0.9531652445249148</v>
      </c>
      <c r="Q529" s="13">
        <f t="shared" si="114"/>
        <v>0.95247268054246592</v>
      </c>
      <c r="R529" s="15" t="b">
        <f t="shared" si="115"/>
        <v>0</v>
      </c>
      <c r="S529" s="13">
        <f t="shared" si="116"/>
        <v>3.4196891191709843E-2</v>
      </c>
    </row>
    <row r="530" spans="1:19" x14ac:dyDescent="0.3">
      <c r="A530" s="4">
        <v>45726</v>
      </c>
      <c r="B530" s="2">
        <v>132</v>
      </c>
      <c r="C530" s="2">
        <v>235</v>
      </c>
      <c r="D530" s="2">
        <v>197</v>
      </c>
      <c r="E530">
        <v>9250</v>
      </c>
      <c r="F530">
        <v>279</v>
      </c>
      <c r="G530" s="2">
        <f t="shared" si="104"/>
        <v>9485</v>
      </c>
      <c r="H530">
        <f t="shared" si="105"/>
        <v>8971</v>
      </c>
      <c r="I530" s="13">
        <f t="shared" si="106"/>
        <v>-2.1625236874372979E-2</v>
      </c>
      <c r="J530" t="str">
        <f t="shared" si="107"/>
        <v>No Backlog</v>
      </c>
      <c r="K530" s="13">
        <f t="shared" si="108"/>
        <v>0.94580917237743811</v>
      </c>
      <c r="L530" s="13">
        <f t="shared" si="109"/>
        <v>6.6206642066420667</v>
      </c>
      <c r="M530" s="13">
        <f t="shared" si="110"/>
        <v>28.374275171323145</v>
      </c>
      <c r="N530" t="b">
        <f t="shared" si="111"/>
        <v>1</v>
      </c>
      <c r="O530">
        <f t="shared" si="112"/>
        <v>11</v>
      </c>
      <c r="P530" s="13">
        <f t="shared" si="113"/>
        <v>0.95093695953326396</v>
      </c>
      <c r="Q530" s="13">
        <f t="shared" si="114"/>
        <v>0.95268468309516707</v>
      </c>
      <c r="R530" s="15" t="b">
        <f t="shared" si="115"/>
        <v>0</v>
      </c>
      <c r="S530" s="13">
        <f t="shared" si="116"/>
        <v>2.9414865577227202E-2</v>
      </c>
    </row>
    <row r="531" spans="1:19" x14ac:dyDescent="0.3">
      <c r="A531" s="4">
        <v>45727</v>
      </c>
      <c r="B531" s="2">
        <v>33</v>
      </c>
      <c r="C531" s="2">
        <v>53</v>
      </c>
      <c r="D531" s="2">
        <v>34</v>
      </c>
      <c r="E531">
        <v>9072</v>
      </c>
      <c r="F531">
        <v>295</v>
      </c>
      <c r="G531" s="2">
        <f t="shared" si="104"/>
        <v>9125</v>
      </c>
      <c r="H531">
        <f t="shared" si="105"/>
        <v>8777</v>
      </c>
      <c r="I531" s="13">
        <f t="shared" si="106"/>
        <v>-3.3040902358436822E-3</v>
      </c>
      <c r="J531" t="str">
        <f t="shared" si="107"/>
        <v>No Backlog</v>
      </c>
      <c r="K531" s="13">
        <f t="shared" si="108"/>
        <v>0.96186301369863014</v>
      </c>
      <c r="L531" s="13">
        <f t="shared" si="109"/>
        <v>6.7330410958904112</v>
      </c>
      <c r="M531" s="13">
        <f t="shared" si="110"/>
        <v>28.855890410958903</v>
      </c>
      <c r="N531" t="b">
        <f t="shared" si="111"/>
        <v>1</v>
      </c>
      <c r="O531">
        <f t="shared" si="112"/>
        <v>11</v>
      </c>
      <c r="P531" s="13">
        <f t="shared" si="113"/>
        <v>0.95595236625690783</v>
      </c>
      <c r="Q531" s="13">
        <f t="shared" si="114"/>
        <v>0.95671297685776335</v>
      </c>
      <c r="R531" s="15" t="b">
        <f t="shared" si="115"/>
        <v>0</v>
      </c>
      <c r="S531" s="13">
        <f t="shared" si="116"/>
        <v>3.2328767123287673E-2</v>
      </c>
    </row>
    <row r="532" spans="1:19" x14ac:dyDescent="0.3">
      <c r="A532" s="4">
        <v>45728</v>
      </c>
      <c r="B532" s="2">
        <v>29</v>
      </c>
      <c r="C532" s="2">
        <v>51</v>
      </c>
      <c r="D532" s="2">
        <v>11</v>
      </c>
      <c r="E532">
        <v>9026</v>
      </c>
      <c r="F532">
        <v>278</v>
      </c>
      <c r="G532" s="2">
        <f t="shared" si="104"/>
        <v>9077</v>
      </c>
      <c r="H532">
        <f t="shared" si="105"/>
        <v>8748</v>
      </c>
      <c r="I532" s="13">
        <f t="shared" si="106"/>
        <v>-2.754915409236397E-2</v>
      </c>
      <c r="J532" t="str">
        <f t="shared" si="107"/>
        <v>No Backlog</v>
      </c>
      <c r="K532" s="13">
        <f t="shared" si="108"/>
        <v>0.96375454445301312</v>
      </c>
      <c r="L532" s="13">
        <f t="shared" si="109"/>
        <v>6.7462818111710918</v>
      </c>
      <c r="M532" s="13">
        <f t="shared" si="110"/>
        <v>28.912636333590392</v>
      </c>
      <c r="N532" t="b">
        <f t="shared" si="111"/>
        <v>1</v>
      </c>
      <c r="O532">
        <f t="shared" si="112"/>
        <v>11</v>
      </c>
      <c r="P532" s="13">
        <f t="shared" si="113"/>
        <v>0.94837902444254452</v>
      </c>
      <c r="Q532" s="13">
        <f t="shared" si="114"/>
        <v>0.96029128956754706</v>
      </c>
      <c r="R532" s="15" t="b">
        <f t="shared" si="115"/>
        <v>0</v>
      </c>
      <c r="S532" s="13">
        <f t="shared" si="116"/>
        <v>3.0626859094414455E-2</v>
      </c>
    </row>
    <row r="533" spans="1:19" x14ac:dyDescent="0.3">
      <c r="A533" s="4">
        <v>45729</v>
      </c>
      <c r="B533" s="2">
        <v>91</v>
      </c>
      <c r="C533" s="2">
        <v>75</v>
      </c>
      <c r="D533" s="2">
        <v>97</v>
      </c>
      <c r="E533">
        <v>8925</v>
      </c>
      <c r="F533">
        <v>418</v>
      </c>
      <c r="G533" s="2">
        <f t="shared" si="104"/>
        <v>9000</v>
      </c>
      <c r="H533">
        <f t="shared" si="105"/>
        <v>8507</v>
      </c>
      <c r="I533" s="13">
        <f t="shared" si="106"/>
        <v>3.9731985423768663E-2</v>
      </c>
      <c r="J533" t="str">
        <f t="shared" si="107"/>
        <v>Backlog</v>
      </c>
      <c r="K533" s="13">
        <f t="shared" si="108"/>
        <v>0.94522222222222219</v>
      </c>
      <c r="L533" s="13">
        <f t="shared" si="109"/>
        <v>6.6165555555555553</v>
      </c>
      <c r="M533" s="13">
        <f t="shared" si="110"/>
        <v>28.356666666666666</v>
      </c>
      <c r="N533" t="b">
        <f t="shared" si="111"/>
        <v>0</v>
      </c>
      <c r="O533">
        <f t="shared" si="112"/>
        <v>11</v>
      </c>
      <c r="P533" s="13">
        <f t="shared" si="113"/>
        <v>0.94551446002819917</v>
      </c>
      <c r="Q533" s="13">
        <f t="shared" si="114"/>
        <v>0.95680924567599379</v>
      </c>
      <c r="R533" s="15" t="str">
        <f t="shared" si="115"/>
        <v>STRAIN</v>
      </c>
      <c r="S533" s="13">
        <f t="shared" si="116"/>
        <v>4.6444444444444441E-2</v>
      </c>
    </row>
    <row r="534" spans="1:19" x14ac:dyDescent="0.3">
      <c r="A534" s="4">
        <v>45732</v>
      </c>
      <c r="B534" s="2">
        <v>62</v>
      </c>
      <c r="C534" s="2">
        <v>97</v>
      </c>
      <c r="D534" s="2">
        <v>52</v>
      </c>
      <c r="E534">
        <v>9235</v>
      </c>
      <c r="F534">
        <v>390</v>
      </c>
      <c r="G534" s="2">
        <f t="shared" si="104"/>
        <v>9332</v>
      </c>
      <c r="H534">
        <f t="shared" si="105"/>
        <v>8845</v>
      </c>
      <c r="I534" s="13">
        <f t="shared" si="106"/>
        <v>2.4081401921989824E-2</v>
      </c>
      <c r="J534" t="str">
        <f t="shared" si="107"/>
        <v>Backlog</v>
      </c>
      <c r="K534" s="13">
        <f t="shared" si="108"/>
        <v>0.94781397342477491</v>
      </c>
      <c r="L534" s="13">
        <f t="shared" si="109"/>
        <v>6.6346978139734247</v>
      </c>
      <c r="M534" s="13">
        <f t="shared" si="110"/>
        <v>28.434419202743246</v>
      </c>
      <c r="N534" t="b">
        <f t="shared" si="111"/>
        <v>1</v>
      </c>
      <c r="O534">
        <f t="shared" si="112"/>
        <v>12</v>
      </c>
      <c r="P534" s="13">
        <f t="shared" si="113"/>
        <v>0.94960045168652951</v>
      </c>
      <c r="Q534" s="13">
        <f t="shared" si="114"/>
        <v>0.95945849081448409</v>
      </c>
      <c r="R534" s="15" t="str">
        <f t="shared" si="115"/>
        <v>STRAIN</v>
      </c>
      <c r="S534" s="13">
        <f t="shared" si="116"/>
        <v>4.1791684526360909E-2</v>
      </c>
    </row>
    <row r="535" spans="1:19" x14ac:dyDescent="0.3">
      <c r="A535" s="4">
        <v>45733</v>
      </c>
      <c r="B535" s="2">
        <v>59</v>
      </c>
      <c r="C535" s="2">
        <v>64</v>
      </c>
      <c r="D535" s="2">
        <v>117</v>
      </c>
      <c r="E535">
        <v>9351</v>
      </c>
      <c r="F535">
        <v>293</v>
      </c>
      <c r="G535" s="2">
        <f t="shared" si="104"/>
        <v>9415</v>
      </c>
      <c r="H535">
        <f t="shared" si="105"/>
        <v>9058</v>
      </c>
      <c r="I535" s="13">
        <f t="shared" si="106"/>
        <v>4.1951865754029588E-3</v>
      </c>
      <c r="J535" t="str">
        <f t="shared" si="107"/>
        <v>Backlog</v>
      </c>
      <c r="K535" s="13">
        <f t="shared" si="108"/>
        <v>0.96208178438661707</v>
      </c>
      <c r="L535" s="13">
        <f t="shared" si="109"/>
        <v>6.7345724907063191</v>
      </c>
      <c r="M535" s="13">
        <f t="shared" si="110"/>
        <v>28.862453531598511</v>
      </c>
      <c r="N535" t="b">
        <f t="shared" si="111"/>
        <v>0</v>
      </c>
      <c r="O535">
        <f t="shared" si="112"/>
        <v>12</v>
      </c>
      <c r="P535" s="13">
        <f t="shared" si="113"/>
        <v>0.96138922040416819</v>
      </c>
      <c r="Q535" s="13">
        <f t="shared" si="114"/>
        <v>0.96473854098096468</v>
      </c>
      <c r="R535" s="15" t="str">
        <f t="shared" si="115"/>
        <v>STRAIN</v>
      </c>
      <c r="S535" s="13">
        <f t="shared" si="116"/>
        <v>3.1120552310143389E-2</v>
      </c>
    </row>
    <row r="536" spans="1:19" x14ac:dyDescent="0.3">
      <c r="A536" s="4">
        <v>45734</v>
      </c>
      <c r="B536" s="2">
        <v>84</v>
      </c>
      <c r="C536" s="2">
        <v>118</v>
      </c>
      <c r="D536" s="2">
        <v>136</v>
      </c>
      <c r="E536">
        <v>9396</v>
      </c>
      <c r="F536">
        <v>300</v>
      </c>
      <c r="G536" s="2">
        <f t="shared" si="104"/>
        <v>9514</v>
      </c>
      <c r="H536">
        <f t="shared" si="105"/>
        <v>9096</v>
      </c>
      <c r="I536" s="13">
        <f t="shared" si="106"/>
        <v>1.4291996481970097E-3</v>
      </c>
      <c r="J536" t="str">
        <f t="shared" si="107"/>
        <v>Backlog</v>
      </c>
      <c r="K536" s="13">
        <f t="shared" si="108"/>
        <v>0.95606474668908981</v>
      </c>
      <c r="L536" s="13">
        <f t="shared" si="109"/>
        <v>6.6924532268236288</v>
      </c>
      <c r="M536" s="13">
        <f t="shared" si="110"/>
        <v>28.681942400672693</v>
      </c>
      <c r="N536" t="b">
        <f t="shared" si="111"/>
        <v>0</v>
      </c>
      <c r="O536">
        <f t="shared" si="112"/>
        <v>12</v>
      </c>
      <c r="P536" s="13">
        <f t="shared" si="113"/>
        <v>0.95781247025099292</v>
      </c>
      <c r="Q536" s="13">
        <f t="shared" si="114"/>
        <v>0.95584487334454482</v>
      </c>
      <c r="R536" s="15" t="str">
        <f t="shared" si="115"/>
        <v>STRAIN</v>
      </c>
      <c r="S536" s="13">
        <f t="shared" si="116"/>
        <v>3.1532478452806392E-2</v>
      </c>
    </row>
    <row r="537" spans="1:19" x14ac:dyDescent="0.3">
      <c r="A537" s="4">
        <v>45735</v>
      </c>
      <c r="B537" s="2">
        <v>86</v>
      </c>
      <c r="C537" s="2">
        <v>152</v>
      </c>
      <c r="D537" s="2">
        <v>168</v>
      </c>
      <c r="E537">
        <v>9436</v>
      </c>
      <c r="F537">
        <v>327</v>
      </c>
      <c r="G537" s="2">
        <f t="shared" si="104"/>
        <v>9588</v>
      </c>
      <c r="H537">
        <f t="shared" si="105"/>
        <v>9109</v>
      </c>
      <c r="I537" s="13">
        <f t="shared" si="106"/>
        <v>-6.2575474805137777E-3</v>
      </c>
      <c r="J537" t="str">
        <f t="shared" si="107"/>
        <v>No Backlog</v>
      </c>
      <c r="K537" s="13">
        <f t="shared" si="108"/>
        <v>0.95004171881518562</v>
      </c>
      <c r="L537" s="13">
        <f t="shared" si="109"/>
        <v>6.6502920317062992</v>
      </c>
      <c r="M537" s="13">
        <f t="shared" si="110"/>
        <v>28.501251564455568</v>
      </c>
      <c r="N537" t="b">
        <f t="shared" si="111"/>
        <v>0</v>
      </c>
      <c r="O537">
        <f t="shared" si="112"/>
        <v>12</v>
      </c>
      <c r="P537" s="13">
        <f t="shared" si="113"/>
        <v>0.95080232941604115</v>
      </c>
      <c r="Q537" s="13">
        <f t="shared" si="114"/>
        <v>0.9570681891745707</v>
      </c>
      <c r="R537" s="15" t="b">
        <f t="shared" si="115"/>
        <v>0</v>
      </c>
      <c r="S537" s="13">
        <f t="shared" si="116"/>
        <v>3.4105131414267832E-2</v>
      </c>
    </row>
    <row r="538" spans="1:19" x14ac:dyDescent="0.3">
      <c r="A538" s="4">
        <v>45736</v>
      </c>
      <c r="B538" s="2">
        <v>106</v>
      </c>
      <c r="C538" s="2">
        <v>196</v>
      </c>
      <c r="D538" s="2">
        <v>131</v>
      </c>
      <c r="E538">
        <v>9506</v>
      </c>
      <c r="F538">
        <v>454</v>
      </c>
      <c r="G538" s="2">
        <f t="shared" si="104"/>
        <v>9702</v>
      </c>
      <c r="H538">
        <f t="shared" si="105"/>
        <v>9052</v>
      </c>
      <c r="I538" s="13">
        <f t="shared" si="106"/>
        <v>9.5117101193106499E-2</v>
      </c>
      <c r="J538" t="str">
        <f t="shared" si="107"/>
        <v>Backlog</v>
      </c>
      <c r="K538" s="13">
        <f t="shared" si="108"/>
        <v>0.93300350443207591</v>
      </c>
      <c r="L538" s="13">
        <f t="shared" si="109"/>
        <v>6.5310245310245314</v>
      </c>
      <c r="M538" s="13">
        <f t="shared" si="110"/>
        <v>27.990105132962277</v>
      </c>
      <c r="N538" t="b">
        <f t="shared" si="111"/>
        <v>1</v>
      </c>
      <c r="O538">
        <f t="shared" si="112"/>
        <v>12</v>
      </c>
      <c r="P538" s="13">
        <f t="shared" si="113"/>
        <v>0.94491576955707846</v>
      </c>
      <c r="Q538" s="13">
        <f t="shared" si="114"/>
        <v>0.94631768077444867</v>
      </c>
      <c r="R538" s="15" t="str">
        <f t="shared" si="115"/>
        <v>STRAIN</v>
      </c>
      <c r="S538" s="13">
        <f t="shared" si="116"/>
        <v>4.6794475365903934E-2</v>
      </c>
    </row>
    <row r="539" spans="1:19" x14ac:dyDescent="0.3">
      <c r="A539" s="4">
        <v>45739</v>
      </c>
      <c r="B539" s="2">
        <v>113</v>
      </c>
      <c r="C539" s="2">
        <v>162</v>
      </c>
      <c r="D539" s="2">
        <v>107</v>
      </c>
      <c r="E539">
        <v>10319</v>
      </c>
      <c r="F539">
        <v>406</v>
      </c>
      <c r="G539" s="2">
        <f t="shared" si="104"/>
        <v>10481</v>
      </c>
      <c r="H539">
        <f t="shared" si="105"/>
        <v>9913</v>
      </c>
      <c r="I539" s="13">
        <f t="shared" si="106"/>
        <v>2.0679915262786241E-2</v>
      </c>
      <c r="J539" t="str">
        <f t="shared" si="107"/>
        <v>Backlog</v>
      </c>
      <c r="K539" s="13">
        <f t="shared" si="108"/>
        <v>0.94580669783417615</v>
      </c>
      <c r="L539" s="13">
        <f t="shared" si="109"/>
        <v>6.6206468848392328</v>
      </c>
      <c r="M539" s="13">
        <f t="shared" si="110"/>
        <v>28.374200935025286</v>
      </c>
      <c r="N539" t="b">
        <f t="shared" si="111"/>
        <v>1</v>
      </c>
      <c r="O539">
        <f t="shared" si="112"/>
        <v>13</v>
      </c>
      <c r="P539" s="13">
        <f t="shared" si="113"/>
        <v>0.95710148348197088</v>
      </c>
      <c r="Q539" s="13">
        <f t="shared" si="114"/>
        <v>0.95206619084842647</v>
      </c>
      <c r="R539" s="15" t="str">
        <f t="shared" si="115"/>
        <v>STRAIN</v>
      </c>
      <c r="S539" s="13">
        <f t="shared" si="116"/>
        <v>3.8736761759374107E-2</v>
      </c>
    </row>
    <row r="540" spans="1:19" x14ac:dyDescent="0.3">
      <c r="A540" s="4">
        <v>45740</v>
      </c>
      <c r="B540" s="2">
        <v>92</v>
      </c>
      <c r="C540" s="2">
        <v>124</v>
      </c>
      <c r="D540" s="2">
        <v>93</v>
      </c>
      <c r="E540">
        <v>10511</v>
      </c>
      <c r="F540">
        <v>393</v>
      </c>
      <c r="G540" s="2">
        <f t="shared" si="104"/>
        <v>10635</v>
      </c>
      <c r="H540">
        <f t="shared" si="105"/>
        <v>10118</v>
      </c>
      <c r="I540" s="13">
        <f t="shared" si="106"/>
        <v>1.9470251037754498E-2</v>
      </c>
      <c r="J540" t="str">
        <f t="shared" si="107"/>
        <v>Backlog</v>
      </c>
      <c r="K540" s="13">
        <f t="shared" si="108"/>
        <v>0.951386929948284</v>
      </c>
      <c r="L540" s="13">
        <f t="shared" si="109"/>
        <v>6.659708509637988</v>
      </c>
      <c r="M540" s="13">
        <f t="shared" si="110"/>
        <v>28.541607898448518</v>
      </c>
      <c r="N540" t="b">
        <f t="shared" si="111"/>
        <v>1</v>
      </c>
      <c r="O540">
        <f t="shared" si="112"/>
        <v>13</v>
      </c>
      <c r="P540" s="13">
        <f t="shared" si="113"/>
        <v>0.96124496907623858</v>
      </c>
      <c r="Q540" s="13">
        <f t="shared" si="114"/>
        <v>0.94700876348160468</v>
      </c>
      <c r="R540" s="15" t="str">
        <f t="shared" si="115"/>
        <v>STRAIN</v>
      </c>
      <c r="S540" s="13">
        <f t="shared" si="116"/>
        <v>3.6953455571227083E-2</v>
      </c>
    </row>
    <row r="541" spans="1:19" x14ac:dyDescent="0.3">
      <c r="A541" s="4">
        <v>45741</v>
      </c>
      <c r="B541" s="2">
        <v>68</v>
      </c>
      <c r="C541" s="2">
        <v>107</v>
      </c>
      <c r="D541" s="2">
        <v>102</v>
      </c>
      <c r="E541">
        <v>10630</v>
      </c>
      <c r="F541">
        <v>315</v>
      </c>
      <c r="G541" s="2">
        <f t="shared" si="104"/>
        <v>10737</v>
      </c>
      <c r="H541">
        <f t="shared" si="105"/>
        <v>10315</v>
      </c>
      <c r="I541" s="13">
        <f t="shared" si="106"/>
        <v>-1.6480853126514784E-3</v>
      </c>
      <c r="J541" t="str">
        <f t="shared" si="107"/>
        <v>No Backlog</v>
      </c>
      <c r="K541" s="13">
        <f t="shared" si="108"/>
        <v>0.96069665642171931</v>
      </c>
      <c r="L541" s="13">
        <f t="shared" si="109"/>
        <v>6.7248765949520353</v>
      </c>
      <c r="M541" s="13">
        <f t="shared" si="110"/>
        <v>28.820899692651579</v>
      </c>
      <c r="N541" t="b">
        <f t="shared" si="111"/>
        <v>1</v>
      </c>
      <c r="O541">
        <f t="shared" si="112"/>
        <v>13</v>
      </c>
      <c r="P541" s="13">
        <f t="shared" si="113"/>
        <v>0.9640459769985158</v>
      </c>
      <c r="Q541" s="13">
        <f t="shared" si="114"/>
        <v>0.95302911055430117</v>
      </c>
      <c r="R541" s="15" t="b">
        <f t="shared" si="115"/>
        <v>0</v>
      </c>
      <c r="S541" s="13">
        <f t="shared" si="116"/>
        <v>2.9337803855825649E-2</v>
      </c>
    </row>
    <row r="542" spans="1:19" x14ac:dyDescent="0.3">
      <c r="A542" s="4">
        <v>45742</v>
      </c>
      <c r="B542" s="2">
        <v>74</v>
      </c>
      <c r="C542" s="2">
        <v>103</v>
      </c>
      <c r="D542" s="2">
        <v>80</v>
      </c>
      <c r="E542">
        <v>10629</v>
      </c>
      <c r="F542">
        <v>331</v>
      </c>
      <c r="G542" s="2">
        <f t="shared" si="104"/>
        <v>10732</v>
      </c>
      <c r="H542">
        <f t="shared" si="105"/>
        <v>10298</v>
      </c>
      <c r="I542" s="13">
        <f t="shared" si="106"/>
        <v>-1.5634103709458148E-2</v>
      </c>
      <c r="J542" t="str">
        <f t="shared" si="107"/>
        <v>No Backlog</v>
      </c>
      <c r="K542" s="13">
        <f t="shared" si="108"/>
        <v>0.95956019381289603</v>
      </c>
      <c r="L542" s="13">
        <f t="shared" si="109"/>
        <v>6.7169213566902721</v>
      </c>
      <c r="M542" s="13">
        <f t="shared" si="110"/>
        <v>28.786805814386881</v>
      </c>
      <c r="N542" t="b">
        <f t="shared" si="111"/>
        <v>1</v>
      </c>
      <c r="O542">
        <f t="shared" si="112"/>
        <v>13</v>
      </c>
      <c r="P542" s="13">
        <f t="shared" si="113"/>
        <v>0.95759259690644805</v>
      </c>
      <c r="Q542" s="13">
        <f t="shared" si="114"/>
        <v>0.95173487121967115</v>
      </c>
      <c r="R542" s="15" t="b">
        <f t="shared" si="115"/>
        <v>0</v>
      </c>
      <c r="S542" s="13">
        <f t="shared" si="116"/>
        <v>3.0842340663436451E-2</v>
      </c>
    </row>
    <row r="543" spans="1:19" x14ac:dyDescent="0.3">
      <c r="A543" s="4">
        <v>45743</v>
      </c>
      <c r="B543" s="2">
        <v>56</v>
      </c>
      <c r="C543" s="2">
        <v>82</v>
      </c>
      <c r="D543" s="2">
        <v>68</v>
      </c>
      <c r="E543">
        <v>10571</v>
      </c>
      <c r="F543">
        <v>434</v>
      </c>
      <c r="G543" s="2">
        <f t="shared" si="104"/>
        <v>10653</v>
      </c>
      <c r="H543">
        <f t="shared" si="105"/>
        <v>10137</v>
      </c>
      <c r="I543" s="13">
        <f t="shared" si="106"/>
        <v>4.508237151030877E-2</v>
      </c>
      <c r="J543" t="str">
        <f t="shared" si="107"/>
        <v>Backlog</v>
      </c>
      <c r="K543" s="13">
        <f t="shared" si="108"/>
        <v>0.95156294001689667</v>
      </c>
      <c r="L543" s="13">
        <f t="shared" si="109"/>
        <v>6.6609405801182771</v>
      </c>
      <c r="M543" s="13">
        <f t="shared" si="110"/>
        <v>28.546888200506899</v>
      </c>
      <c r="N543" t="b">
        <f t="shared" si="111"/>
        <v>1</v>
      </c>
      <c r="O543">
        <f t="shared" si="112"/>
        <v>13</v>
      </c>
      <c r="P543" s="13">
        <f t="shared" si="113"/>
        <v>0.95782879977542623</v>
      </c>
      <c r="Q543" s="13">
        <f t="shared" si="114"/>
        <v>0.94801354949744765</v>
      </c>
      <c r="R543" s="15" t="str">
        <f t="shared" si="115"/>
        <v>STRAIN</v>
      </c>
      <c r="S543" s="13">
        <f t="shared" si="116"/>
        <v>4.0739697737726462E-2</v>
      </c>
    </row>
    <row r="544" spans="1:19" x14ac:dyDescent="0.3">
      <c r="A544" s="4">
        <v>45746</v>
      </c>
      <c r="B544" s="2">
        <v>38</v>
      </c>
      <c r="C544" s="2">
        <v>80</v>
      </c>
      <c r="D544" s="2">
        <v>82</v>
      </c>
      <c r="E544">
        <v>10992</v>
      </c>
      <c r="F544">
        <v>398</v>
      </c>
      <c r="G544" s="2">
        <f t="shared" si="104"/>
        <v>11072</v>
      </c>
      <c r="H544">
        <f t="shared" si="105"/>
        <v>10594</v>
      </c>
      <c r="I544" s="13">
        <f t="shared" si="106"/>
        <v>9.4393052671323391E-3</v>
      </c>
      <c r="J544" t="str">
        <f t="shared" si="107"/>
        <v>Backlog</v>
      </c>
      <c r="K544" s="13">
        <f t="shared" si="108"/>
        <v>0.95682803468208089</v>
      </c>
      <c r="L544" s="13">
        <f t="shared" si="109"/>
        <v>6.6977962427745661</v>
      </c>
      <c r="M544" s="13">
        <f t="shared" si="110"/>
        <v>28.704841040462426</v>
      </c>
      <c r="N544" t="b">
        <f t="shared" si="111"/>
        <v>0</v>
      </c>
      <c r="O544">
        <f t="shared" si="112"/>
        <v>14</v>
      </c>
      <c r="P544" s="13">
        <f t="shared" si="113"/>
        <v>0.95822994589945121</v>
      </c>
      <c r="Q544" s="13">
        <f t="shared" si="114"/>
        <v>0.9541281743204042</v>
      </c>
      <c r="R544" s="15" t="str">
        <f t="shared" si="115"/>
        <v>STRAIN</v>
      </c>
      <c r="S544" s="13">
        <f t="shared" si="116"/>
        <v>3.5946531791907516E-2</v>
      </c>
    </row>
    <row r="545" spans="1:19" x14ac:dyDescent="0.3">
      <c r="A545" s="4">
        <v>45747</v>
      </c>
      <c r="B545" s="2">
        <v>65</v>
      </c>
      <c r="C545" s="2">
        <v>83</v>
      </c>
      <c r="D545" s="2">
        <v>65</v>
      </c>
      <c r="E545">
        <v>10960</v>
      </c>
      <c r="F545">
        <v>266</v>
      </c>
      <c r="G545" s="2">
        <f t="shared" si="104"/>
        <v>11043</v>
      </c>
      <c r="H545">
        <f t="shared" si="105"/>
        <v>10694</v>
      </c>
      <c r="I545" s="13">
        <f t="shared" si="106"/>
        <v>-3.8339255657377971E-3</v>
      </c>
      <c r="J545" t="str">
        <f t="shared" si="107"/>
        <v>No Backlog</v>
      </c>
      <c r="K545" s="13">
        <f t="shared" si="108"/>
        <v>0.96839626912976551</v>
      </c>
      <c r="L545" s="13">
        <f t="shared" si="109"/>
        <v>6.7787738839083582</v>
      </c>
      <c r="M545" s="13">
        <f t="shared" si="110"/>
        <v>29.051888073892965</v>
      </c>
      <c r="N545" t="b">
        <f t="shared" si="111"/>
        <v>1</v>
      </c>
      <c r="O545">
        <f t="shared" si="112"/>
        <v>14</v>
      </c>
      <c r="P545" s="13">
        <f t="shared" si="113"/>
        <v>0.9633609764962211</v>
      </c>
      <c r="Q545" s="13">
        <f t="shared" si="114"/>
        <v>0.9476707053787945</v>
      </c>
      <c r="R545" s="15" t="b">
        <f t="shared" si="115"/>
        <v>0</v>
      </c>
      <c r="S545" s="13">
        <f t="shared" si="116"/>
        <v>2.408765733949108E-2</v>
      </c>
    </row>
    <row r="546" spans="1:19" x14ac:dyDescent="0.3">
      <c r="A546" s="4">
        <v>45748</v>
      </c>
      <c r="B546" s="2">
        <v>41</v>
      </c>
      <c r="C546" s="2">
        <v>60</v>
      </c>
      <c r="D546" s="2">
        <v>71</v>
      </c>
      <c r="E546">
        <v>10910</v>
      </c>
      <c r="F546">
        <v>257</v>
      </c>
      <c r="G546" s="2">
        <f t="shared" si="104"/>
        <v>10970</v>
      </c>
      <c r="H546">
        <f t="shared" si="105"/>
        <v>10653</v>
      </c>
      <c r="I546" s="13">
        <f t="shared" si="106"/>
        <v>-1.1264432554210082E-2</v>
      </c>
      <c r="J546" t="str">
        <f t="shared" si="107"/>
        <v>No Backlog</v>
      </c>
      <c r="K546" s="13">
        <f t="shared" si="108"/>
        <v>0.97110300820419326</v>
      </c>
      <c r="L546" s="13">
        <f t="shared" si="109"/>
        <v>6.797721057429353</v>
      </c>
      <c r="M546" s="13">
        <f t="shared" si="110"/>
        <v>29.133090246125796</v>
      </c>
      <c r="N546" t="b">
        <f t="shared" si="111"/>
        <v>0</v>
      </c>
      <c r="O546">
        <f t="shared" si="112"/>
        <v>14</v>
      </c>
      <c r="P546" s="13">
        <f t="shared" si="113"/>
        <v>0.95686680260955925</v>
      </c>
      <c r="Q546" s="13">
        <f t="shared" si="114"/>
        <v>0.95414734624445041</v>
      </c>
      <c r="R546" s="15" t="b">
        <f t="shared" si="115"/>
        <v>0</v>
      </c>
      <c r="S546" s="13">
        <f t="shared" si="116"/>
        <v>2.342752962625342E-2</v>
      </c>
    </row>
    <row r="547" spans="1:19" x14ac:dyDescent="0.3">
      <c r="A547" s="4">
        <v>45749</v>
      </c>
      <c r="B547" s="2">
        <v>43</v>
      </c>
      <c r="C547" s="2">
        <v>73</v>
      </c>
      <c r="D547" s="2">
        <v>64</v>
      </c>
      <c r="E547">
        <v>10815</v>
      </c>
      <c r="F547">
        <v>282</v>
      </c>
      <c r="G547" s="2">
        <f t="shared" si="104"/>
        <v>10888</v>
      </c>
      <c r="H547">
        <f t="shared" si="105"/>
        <v>10533</v>
      </c>
      <c r="I547" s="13">
        <f t="shared" si="106"/>
        <v>1.6139751257951199E-2</v>
      </c>
      <c r="J547" t="str">
        <f t="shared" si="107"/>
        <v>Backlog</v>
      </c>
      <c r="K547" s="13">
        <f t="shared" si="108"/>
        <v>0.96739529757531229</v>
      </c>
      <c r="L547" s="13">
        <f t="shared" si="109"/>
        <v>6.7717670830271857</v>
      </c>
      <c r="M547" s="13">
        <f t="shared" si="110"/>
        <v>29.02185892725937</v>
      </c>
      <c r="N547" t="b">
        <f t="shared" si="111"/>
        <v>1</v>
      </c>
      <c r="O547">
        <f t="shared" si="112"/>
        <v>14</v>
      </c>
      <c r="P547" s="13">
        <f t="shared" si="113"/>
        <v>0.95637843113109766</v>
      </c>
      <c r="Q547" s="13">
        <f t="shared" si="114"/>
        <v>0.95406867041593113</v>
      </c>
      <c r="R547" s="15" t="str">
        <f t="shared" si="115"/>
        <v>STRAIN</v>
      </c>
      <c r="S547" s="13">
        <f t="shared" si="116"/>
        <v>2.5900073475385747E-2</v>
      </c>
    </row>
    <row r="548" spans="1:19" x14ac:dyDescent="0.3">
      <c r="A548" s="4">
        <v>45750</v>
      </c>
      <c r="B548" s="2">
        <v>35</v>
      </c>
      <c r="C548" s="2">
        <v>70</v>
      </c>
      <c r="D548" s="2">
        <v>53</v>
      </c>
      <c r="E548">
        <v>11130</v>
      </c>
      <c r="F548">
        <v>427</v>
      </c>
      <c r="G548" s="2">
        <f t="shared" si="104"/>
        <v>11200</v>
      </c>
      <c r="H548">
        <f t="shared" si="105"/>
        <v>10703</v>
      </c>
      <c r="I548" s="13">
        <f t="shared" si="106"/>
        <v>-6.5402223675604968E-3</v>
      </c>
      <c r="J548" t="str">
        <f t="shared" si="107"/>
        <v>No Backlog</v>
      </c>
      <c r="K548" s="13">
        <f t="shared" si="108"/>
        <v>0.95562499999999995</v>
      </c>
      <c r="L548" s="13">
        <f t="shared" si="109"/>
        <v>6.6893750000000001</v>
      </c>
      <c r="M548" s="13">
        <f t="shared" si="110"/>
        <v>28.668749999999999</v>
      </c>
      <c r="N548" t="b">
        <f t="shared" si="111"/>
        <v>1</v>
      </c>
      <c r="O548">
        <f t="shared" si="112"/>
        <v>14</v>
      </c>
      <c r="P548" s="13">
        <f t="shared" si="113"/>
        <v>0.94976727431322316</v>
      </c>
      <c r="Q548" s="13">
        <f t="shared" si="114"/>
        <v>0.95378333113688285</v>
      </c>
      <c r="R548" s="15" t="b">
        <f t="shared" si="115"/>
        <v>0</v>
      </c>
      <c r="S548" s="13">
        <f t="shared" si="116"/>
        <v>3.8124999999999999E-2</v>
      </c>
    </row>
    <row r="549" spans="1:19" x14ac:dyDescent="0.3">
      <c r="A549" s="4">
        <v>45753</v>
      </c>
      <c r="B549" s="2">
        <v>25</v>
      </c>
      <c r="C549" s="2">
        <v>66</v>
      </c>
      <c r="D549" s="2">
        <v>94</v>
      </c>
      <c r="E549">
        <v>10963</v>
      </c>
      <c r="F549">
        <v>330</v>
      </c>
      <c r="G549" s="2">
        <f t="shared" si="104"/>
        <v>11029</v>
      </c>
      <c r="H549">
        <f t="shared" si="105"/>
        <v>10633</v>
      </c>
      <c r="I549" s="13">
        <f t="shared" si="106"/>
        <v>-9.5927772030471176E-3</v>
      </c>
      <c r="J549" t="str">
        <f t="shared" si="107"/>
        <v>No Backlog</v>
      </c>
      <c r="K549" s="13">
        <f t="shared" si="108"/>
        <v>0.9640946595339559</v>
      </c>
      <c r="L549" s="13">
        <f t="shared" si="109"/>
        <v>6.7486626167376915</v>
      </c>
      <c r="M549" s="13">
        <f t="shared" si="110"/>
        <v>28.922839786018677</v>
      </c>
      <c r="N549" t="b">
        <f t="shared" si="111"/>
        <v>0</v>
      </c>
      <c r="O549">
        <f t="shared" si="112"/>
        <v>15</v>
      </c>
      <c r="P549" s="13">
        <f t="shared" si="113"/>
        <v>0.95427940925597721</v>
      </c>
      <c r="Q549" s="13">
        <f t="shared" si="114"/>
        <v>0.95310441410218139</v>
      </c>
      <c r="R549" s="15" t="b">
        <f t="shared" si="115"/>
        <v>0</v>
      </c>
      <c r="S549" s="13">
        <f t="shared" si="116"/>
        <v>2.9921117055036722E-2</v>
      </c>
    </row>
    <row r="550" spans="1:19" x14ac:dyDescent="0.3">
      <c r="A550" s="4">
        <v>45754</v>
      </c>
      <c r="B550" s="2">
        <v>99</v>
      </c>
      <c r="C550" s="2">
        <v>156</v>
      </c>
      <c r="D550" s="2">
        <v>139</v>
      </c>
      <c r="E550">
        <v>10818</v>
      </c>
      <c r="F550">
        <v>287</v>
      </c>
      <c r="G550" s="2">
        <f t="shared" si="104"/>
        <v>10974</v>
      </c>
      <c r="H550">
        <f t="shared" si="105"/>
        <v>10531</v>
      </c>
      <c r="I550" s="13">
        <f t="shared" si="106"/>
        <v>-8.6411546861646562E-3</v>
      </c>
      <c r="J550" t="str">
        <f t="shared" si="107"/>
        <v>No Backlog</v>
      </c>
      <c r="K550" s="13">
        <f t="shared" si="108"/>
        <v>0.95963185711682153</v>
      </c>
      <c r="L550" s="13">
        <f t="shared" si="109"/>
        <v>6.7174229998177504</v>
      </c>
      <c r="M550" s="13">
        <f t="shared" si="110"/>
        <v>28.788955713504645</v>
      </c>
      <c r="N550" t="b">
        <f t="shared" si="111"/>
        <v>1</v>
      </c>
      <c r="O550">
        <f t="shared" si="112"/>
        <v>15</v>
      </c>
      <c r="P550" s="13">
        <f t="shared" si="113"/>
        <v>0.95553008553777463</v>
      </c>
      <c r="Q550" s="13">
        <f t="shared" si="114"/>
        <v>0.94905226587292391</v>
      </c>
      <c r="R550" s="15" t="b">
        <f t="shared" si="115"/>
        <v>0</v>
      </c>
      <c r="S550" s="13">
        <f t="shared" si="116"/>
        <v>2.6152724621833424E-2</v>
      </c>
    </row>
    <row r="551" spans="1:19" x14ac:dyDescent="0.3">
      <c r="A551" s="4">
        <v>45755</v>
      </c>
      <c r="B551" s="2">
        <v>107</v>
      </c>
      <c r="C551" s="2">
        <v>170</v>
      </c>
      <c r="D551" s="2">
        <v>133</v>
      </c>
      <c r="E551">
        <v>10724</v>
      </c>
      <c r="F551">
        <v>284</v>
      </c>
      <c r="G551" s="2">
        <f t="shared" si="104"/>
        <v>10894</v>
      </c>
      <c r="H551">
        <f t="shared" si="105"/>
        <v>10440</v>
      </c>
      <c r="I551" s="13">
        <f t="shared" si="106"/>
        <v>-3.2088122605363985E-2</v>
      </c>
      <c r="J551" t="str">
        <f t="shared" si="107"/>
        <v>No Backlog</v>
      </c>
      <c r="K551" s="13">
        <f t="shared" si="108"/>
        <v>0.95832568386267669</v>
      </c>
      <c r="L551" s="13">
        <f t="shared" si="109"/>
        <v>6.7082797870387365</v>
      </c>
      <c r="M551" s="13">
        <f t="shared" si="110"/>
        <v>28.7497705158803</v>
      </c>
      <c r="N551" t="b">
        <f t="shared" si="111"/>
        <v>1</v>
      </c>
      <c r="O551">
        <f t="shared" si="112"/>
        <v>15</v>
      </c>
      <c r="P551" s="13">
        <f t="shared" si="113"/>
        <v>0.94263541274525009</v>
      </c>
      <c r="Q551" s="13">
        <f t="shared" si="114"/>
        <v>0.94489117079639651</v>
      </c>
      <c r="R551" s="15" t="b">
        <f t="shared" si="115"/>
        <v>0</v>
      </c>
      <c r="S551" s="13">
        <f t="shared" si="116"/>
        <v>2.6069395997796951E-2</v>
      </c>
    </row>
    <row r="552" spans="1:19" x14ac:dyDescent="0.3">
      <c r="A552" s="4">
        <v>45756</v>
      </c>
      <c r="B552" s="2">
        <v>80</v>
      </c>
      <c r="C552" s="2">
        <v>122</v>
      </c>
      <c r="D552" s="2">
        <v>152</v>
      </c>
      <c r="E552">
        <v>10598</v>
      </c>
      <c r="F552">
        <v>493</v>
      </c>
      <c r="G552" s="2">
        <f t="shared" si="104"/>
        <v>10720</v>
      </c>
      <c r="H552">
        <f t="shared" si="105"/>
        <v>10105</v>
      </c>
      <c r="I552" s="13">
        <f t="shared" si="106"/>
        <v>4.2751113310242457E-2</v>
      </c>
      <c r="J552" t="str">
        <f t="shared" si="107"/>
        <v>Backlog</v>
      </c>
      <c r="K552" s="13">
        <f t="shared" si="108"/>
        <v>0.94263059701492535</v>
      </c>
      <c r="L552" s="13">
        <f t="shared" si="109"/>
        <v>6.598414179104477</v>
      </c>
      <c r="M552" s="13">
        <f t="shared" si="110"/>
        <v>28.27891791044776</v>
      </c>
      <c r="N552" t="b">
        <f t="shared" si="111"/>
        <v>0</v>
      </c>
      <c r="O552">
        <f t="shared" si="112"/>
        <v>15</v>
      </c>
      <c r="P552" s="13">
        <f t="shared" si="113"/>
        <v>0.9399111406498164</v>
      </c>
      <c r="Q552" s="13">
        <f t="shared" si="114"/>
        <v>0.94091726143003629</v>
      </c>
      <c r="R552" s="15" t="str">
        <f t="shared" si="115"/>
        <v>STRAIN</v>
      </c>
      <c r="S552" s="13">
        <f t="shared" si="116"/>
        <v>4.5988805970149253E-2</v>
      </c>
    </row>
    <row r="553" spans="1:19" x14ac:dyDescent="0.3">
      <c r="A553" s="4">
        <v>45757</v>
      </c>
      <c r="B553" s="2">
        <v>57</v>
      </c>
      <c r="C553" s="2">
        <v>162</v>
      </c>
      <c r="D553" s="2">
        <v>193</v>
      </c>
      <c r="E553">
        <v>10984</v>
      </c>
      <c r="F553">
        <v>447</v>
      </c>
      <c r="G553" s="2">
        <f t="shared" si="104"/>
        <v>11146</v>
      </c>
      <c r="H553">
        <f t="shared" si="105"/>
        <v>10537</v>
      </c>
      <c r="I553" s="13">
        <f t="shared" si="106"/>
        <v>1.4140647243048306E-2</v>
      </c>
      <c r="J553" t="str">
        <f t="shared" si="107"/>
        <v>Backlog</v>
      </c>
      <c r="K553" s="13">
        <f t="shared" si="108"/>
        <v>0.94536156468688315</v>
      </c>
      <c r="L553" s="13">
        <f t="shared" si="109"/>
        <v>6.617530952808182</v>
      </c>
      <c r="M553" s="13">
        <f t="shared" si="110"/>
        <v>28.360846940606493</v>
      </c>
      <c r="N553" t="b">
        <f t="shared" si="111"/>
        <v>0</v>
      </c>
      <c r="O553">
        <f t="shared" si="112"/>
        <v>15</v>
      </c>
      <c r="P553" s="13">
        <f t="shared" si="113"/>
        <v>0.94305180397171662</v>
      </c>
      <c r="Q553" s="13">
        <f t="shared" si="114"/>
        <v>0.94390478818072721</v>
      </c>
      <c r="R553" s="15" t="str">
        <f t="shared" si="115"/>
        <v>STRAIN</v>
      </c>
      <c r="S553" s="13">
        <f t="shared" si="116"/>
        <v>4.0104073210120224E-2</v>
      </c>
    </row>
    <row r="554" spans="1:19" x14ac:dyDescent="0.3">
      <c r="A554" s="4">
        <v>45758</v>
      </c>
      <c r="B554" s="2">
        <v>161</v>
      </c>
      <c r="C554" s="2">
        <v>304</v>
      </c>
      <c r="D554" s="2">
        <v>211</v>
      </c>
      <c r="E554">
        <v>11017</v>
      </c>
      <c r="F554">
        <v>331</v>
      </c>
      <c r="G554" s="2">
        <f t="shared" si="104"/>
        <v>11321</v>
      </c>
      <c r="H554">
        <f t="shared" si="105"/>
        <v>10686</v>
      </c>
      <c r="I554" s="13">
        <f t="shared" si="106"/>
        <v>-3.7432154220475387E-3</v>
      </c>
      <c r="J554" t="str">
        <f t="shared" si="107"/>
        <v>No Backlog</v>
      </c>
      <c r="K554" s="13">
        <f t="shared" si="108"/>
        <v>0.94390954862644638</v>
      </c>
      <c r="L554" s="13">
        <f t="shared" si="109"/>
        <v>6.6073668403851249</v>
      </c>
      <c r="M554" s="13">
        <f t="shared" si="110"/>
        <v>28.31728645879339</v>
      </c>
      <c r="N554" t="b">
        <f t="shared" si="111"/>
        <v>1</v>
      </c>
      <c r="O554">
        <f t="shared" si="112"/>
        <v>15</v>
      </c>
      <c r="P554" s="13">
        <f t="shared" si="113"/>
        <v>0.94792560545010596</v>
      </c>
      <c r="Q554" s="13">
        <f t="shared" si="114"/>
        <v>0.94773493267372622</v>
      </c>
      <c r="R554" s="15" t="b">
        <f t="shared" si="115"/>
        <v>0</v>
      </c>
      <c r="S554" s="13">
        <f t="shared" si="116"/>
        <v>2.9237699849836585E-2</v>
      </c>
    </row>
    <row r="555" spans="1:19" x14ac:dyDescent="0.3">
      <c r="A555" s="4">
        <v>45760</v>
      </c>
      <c r="B555" s="2">
        <v>205</v>
      </c>
      <c r="C555" s="2">
        <v>294</v>
      </c>
      <c r="D555" s="2">
        <v>177</v>
      </c>
      <c r="E555">
        <v>10978</v>
      </c>
      <c r="F555">
        <v>332</v>
      </c>
      <c r="G555" s="2">
        <f t="shared" si="104"/>
        <v>11272</v>
      </c>
      <c r="H555">
        <f t="shared" si="105"/>
        <v>10646</v>
      </c>
      <c r="I555" s="13">
        <f t="shared" si="106"/>
        <v>-8.2660154048468902E-3</v>
      </c>
      <c r="J555" t="str">
        <f t="shared" si="107"/>
        <v>No Backlog</v>
      </c>
      <c r="K555" s="13">
        <f t="shared" si="108"/>
        <v>0.94446415897799862</v>
      </c>
      <c r="L555" s="13">
        <f t="shared" si="109"/>
        <v>6.6112491128459903</v>
      </c>
      <c r="M555" s="13">
        <f t="shared" si="110"/>
        <v>28.333924769339959</v>
      </c>
      <c r="N555" t="b">
        <f t="shared" si="111"/>
        <v>1</v>
      </c>
      <c r="O555">
        <f t="shared" si="112"/>
        <v>16</v>
      </c>
      <c r="P555" s="13">
        <f t="shared" si="113"/>
        <v>0.9432891638242028</v>
      </c>
      <c r="Q555" s="13">
        <f t="shared" si="114"/>
        <v>0.94076023850461699</v>
      </c>
      <c r="R555" s="15" t="b">
        <f t="shared" si="115"/>
        <v>0</v>
      </c>
      <c r="S555" s="13">
        <f t="shared" si="116"/>
        <v>2.9453513129879347E-2</v>
      </c>
    </row>
    <row r="556" spans="1:19" x14ac:dyDescent="0.3">
      <c r="A556" s="4">
        <v>45761</v>
      </c>
      <c r="B556" s="2">
        <v>100</v>
      </c>
      <c r="C556" s="2">
        <v>255</v>
      </c>
      <c r="D556" s="2">
        <v>236</v>
      </c>
      <c r="E556">
        <v>10842</v>
      </c>
      <c r="F556">
        <v>284</v>
      </c>
      <c r="G556" s="2">
        <f t="shared" si="104"/>
        <v>11097</v>
      </c>
      <c r="H556">
        <f t="shared" si="105"/>
        <v>10558</v>
      </c>
      <c r="I556" s="13">
        <f t="shared" si="106"/>
        <v>-2.0553135063458988E-2</v>
      </c>
      <c r="J556" t="str">
        <f t="shared" si="107"/>
        <v>No Backlog</v>
      </c>
      <c r="K556" s="13">
        <f t="shared" si="108"/>
        <v>0.95142831395872762</v>
      </c>
      <c r="L556" s="13">
        <f t="shared" si="109"/>
        <v>6.6599981977110936</v>
      </c>
      <c r="M556" s="13">
        <f t="shared" si="110"/>
        <v>28.542849418761829</v>
      </c>
      <c r="N556" t="b">
        <f t="shared" si="111"/>
        <v>1</v>
      </c>
      <c r="O556">
        <f t="shared" si="112"/>
        <v>16</v>
      </c>
      <c r="P556" s="13">
        <f t="shared" si="113"/>
        <v>0.94495049429387701</v>
      </c>
      <c r="Q556" s="13">
        <f t="shared" si="114"/>
        <v>0.94556599493885374</v>
      </c>
      <c r="R556" s="15" t="b">
        <f t="shared" si="115"/>
        <v>0</v>
      </c>
      <c r="S556" s="13">
        <f t="shared" si="116"/>
        <v>2.5592502478147247E-2</v>
      </c>
    </row>
    <row r="557" spans="1:19" x14ac:dyDescent="0.3">
      <c r="A557" s="4">
        <v>45762</v>
      </c>
      <c r="B557" s="2">
        <v>269</v>
      </c>
      <c r="C557" s="2">
        <v>412</v>
      </c>
      <c r="D557" s="2">
        <v>204</v>
      </c>
      <c r="E557">
        <v>10744</v>
      </c>
      <c r="F557">
        <v>403</v>
      </c>
      <c r="G557" s="2">
        <f t="shared" si="104"/>
        <v>11156</v>
      </c>
      <c r="H557">
        <f t="shared" si="105"/>
        <v>10341</v>
      </c>
      <c r="I557" s="13">
        <f t="shared" si="106"/>
        <v>2.8817329078425685E-2</v>
      </c>
      <c r="J557" t="str">
        <f t="shared" si="107"/>
        <v>Backlog</v>
      </c>
      <c r="K557" s="13">
        <f t="shared" si="108"/>
        <v>0.9269451416278236</v>
      </c>
      <c r="L557" s="13">
        <f t="shared" si="109"/>
        <v>6.4886159913947647</v>
      </c>
      <c r="M557" s="13">
        <f t="shared" si="110"/>
        <v>27.808354248834707</v>
      </c>
      <c r="N557" t="b">
        <f t="shared" si="111"/>
        <v>1</v>
      </c>
      <c r="O557">
        <f t="shared" si="112"/>
        <v>16</v>
      </c>
      <c r="P557" s="13">
        <f t="shared" si="113"/>
        <v>0.9292008996789699</v>
      </c>
      <c r="Q557" s="13">
        <f t="shared" si="114"/>
        <v>0.93886459801965527</v>
      </c>
      <c r="R557" s="15" t="str">
        <f t="shared" si="115"/>
        <v>STRAIN</v>
      </c>
      <c r="S557" s="13">
        <f t="shared" si="116"/>
        <v>3.6124058802438151E-2</v>
      </c>
    </row>
    <row r="558" spans="1:19" x14ac:dyDescent="0.3">
      <c r="A558" s="4">
        <v>45763</v>
      </c>
      <c r="B558" s="2">
        <v>168</v>
      </c>
      <c r="C558" s="2">
        <v>285</v>
      </c>
      <c r="D558" s="2">
        <v>210</v>
      </c>
      <c r="E558">
        <v>11067</v>
      </c>
      <c r="F558">
        <v>428</v>
      </c>
      <c r="G558" s="2">
        <f t="shared" si="104"/>
        <v>11352</v>
      </c>
      <c r="H558">
        <f t="shared" si="105"/>
        <v>10639</v>
      </c>
      <c r="I558" s="13">
        <f t="shared" si="106"/>
        <v>5.733621580975656E-3</v>
      </c>
      <c r="J558" t="str">
        <f t="shared" si="107"/>
        <v>Backlog</v>
      </c>
      <c r="K558" s="13">
        <f t="shared" si="108"/>
        <v>0.93719168428470756</v>
      </c>
      <c r="L558" s="13">
        <f t="shared" si="109"/>
        <v>6.560341789992953</v>
      </c>
      <c r="M558" s="13">
        <f t="shared" si="110"/>
        <v>28.115750528541227</v>
      </c>
      <c r="N558" t="b">
        <f t="shared" si="111"/>
        <v>1</v>
      </c>
      <c r="O558">
        <f t="shared" si="112"/>
        <v>16</v>
      </c>
      <c r="P558" s="13">
        <f t="shared" si="113"/>
        <v>0.93819780506492734</v>
      </c>
      <c r="Q558" s="13">
        <f t="shared" si="114"/>
        <v>0.94123717140133012</v>
      </c>
      <c r="R558" s="15" t="str">
        <f t="shared" si="115"/>
        <v>STRAIN</v>
      </c>
      <c r="S558" s="13">
        <f t="shared" si="116"/>
        <v>3.7702607470049332E-2</v>
      </c>
    </row>
    <row r="559" spans="1:19" x14ac:dyDescent="0.3">
      <c r="A559" s="4">
        <v>45764</v>
      </c>
      <c r="B559" s="2">
        <v>187</v>
      </c>
      <c r="C559" s="2">
        <v>310</v>
      </c>
      <c r="D559" s="2">
        <v>247</v>
      </c>
      <c r="E559">
        <v>11064</v>
      </c>
      <c r="F559">
        <v>364</v>
      </c>
      <c r="G559" s="2">
        <f t="shared" si="104"/>
        <v>11374</v>
      </c>
      <c r="H559">
        <f t="shared" si="105"/>
        <v>10700</v>
      </c>
      <c r="I559" s="13">
        <f t="shared" si="106"/>
        <v>1.2616822429906542E-2</v>
      </c>
      <c r="J559" t="str">
        <f t="shared" si="107"/>
        <v>Backlog</v>
      </c>
      <c r="K559" s="13">
        <f t="shared" si="108"/>
        <v>0.94074204325654998</v>
      </c>
      <c r="L559" s="13">
        <f t="shared" si="109"/>
        <v>6.5851943027958502</v>
      </c>
      <c r="M559" s="13">
        <f t="shared" si="110"/>
        <v>28.222261297696498</v>
      </c>
      <c r="N559" t="b">
        <f t="shared" si="111"/>
        <v>1</v>
      </c>
      <c r="O559">
        <f t="shared" si="112"/>
        <v>16</v>
      </c>
      <c r="P559" s="13">
        <f t="shared" si="113"/>
        <v>0.94159502746556067</v>
      </c>
      <c r="Q559" s="13">
        <f t="shared" si="114"/>
        <v>0.94127640340406671</v>
      </c>
      <c r="R559" s="15" t="str">
        <f t="shared" si="115"/>
        <v>STRAIN</v>
      </c>
      <c r="S559" s="13">
        <f t="shared" si="116"/>
        <v>3.2002813434148056E-2</v>
      </c>
    </row>
    <row r="560" spans="1:19" x14ac:dyDescent="0.3">
      <c r="A560" s="4">
        <v>45767</v>
      </c>
      <c r="B560" s="2">
        <v>133</v>
      </c>
      <c r="C560" s="2">
        <v>287</v>
      </c>
      <c r="D560" s="2">
        <v>189</v>
      </c>
      <c r="E560">
        <v>11095</v>
      </c>
      <c r="F560">
        <v>260</v>
      </c>
      <c r="G560" s="2">
        <f t="shared" si="104"/>
        <v>11382</v>
      </c>
      <c r="H560">
        <f t="shared" si="105"/>
        <v>10835</v>
      </c>
      <c r="I560" s="13">
        <f t="shared" si="106"/>
        <v>-2.3627134287032763E-2</v>
      </c>
      <c r="J560" t="str">
        <f t="shared" si="107"/>
        <v>No Backlog</v>
      </c>
      <c r="K560" s="13">
        <f t="shared" si="108"/>
        <v>0.95194166227376564</v>
      </c>
      <c r="L560" s="13">
        <f t="shared" si="109"/>
        <v>6.6635916359163598</v>
      </c>
      <c r="M560" s="13">
        <f t="shared" si="110"/>
        <v>28.558249868212968</v>
      </c>
      <c r="N560" t="b">
        <f t="shared" si="111"/>
        <v>1</v>
      </c>
      <c r="O560">
        <f t="shared" si="112"/>
        <v>17</v>
      </c>
      <c r="P560" s="13">
        <f t="shared" si="113"/>
        <v>0.9517509894973859</v>
      </c>
      <c r="Q560" s="13">
        <f t="shared" si="114"/>
        <v>0.93830288487968505</v>
      </c>
      <c r="R560" s="15" t="b">
        <f t="shared" si="115"/>
        <v>0</v>
      </c>
      <c r="S560" s="13">
        <f t="shared" si="116"/>
        <v>2.2843085573712878E-2</v>
      </c>
    </row>
    <row r="561" spans="1:19" x14ac:dyDescent="0.3">
      <c r="A561" s="4">
        <v>45768</v>
      </c>
      <c r="B561" s="2">
        <v>180</v>
      </c>
      <c r="C561" s="2">
        <v>337</v>
      </c>
      <c r="D561" s="2">
        <v>219</v>
      </c>
      <c r="E561">
        <v>10892</v>
      </c>
      <c r="F561">
        <v>313</v>
      </c>
      <c r="G561" s="2">
        <f t="shared" si="104"/>
        <v>11229</v>
      </c>
      <c r="H561">
        <f t="shared" si="105"/>
        <v>10579</v>
      </c>
      <c r="I561" s="13">
        <f t="shared" si="106"/>
        <v>-1.9567066830513281E-2</v>
      </c>
      <c r="J561" t="str">
        <f t="shared" si="107"/>
        <v>No Backlog</v>
      </c>
      <c r="K561" s="13">
        <f t="shared" si="108"/>
        <v>0.94211416867040698</v>
      </c>
      <c r="L561" s="13">
        <f t="shared" si="109"/>
        <v>6.5947991806928492</v>
      </c>
      <c r="M561" s="13">
        <f t="shared" si="110"/>
        <v>28.263425060112208</v>
      </c>
      <c r="N561" t="b">
        <f t="shared" si="111"/>
        <v>1</v>
      </c>
      <c r="O561">
        <f t="shared" si="112"/>
        <v>17</v>
      </c>
      <c r="P561" s="13">
        <f t="shared" si="113"/>
        <v>0.93958524335082116</v>
      </c>
      <c r="Q561" s="13">
        <f t="shared" si="114"/>
        <v>0.93663424222005376</v>
      </c>
      <c r="R561" s="15" t="b">
        <f t="shared" si="115"/>
        <v>0</v>
      </c>
      <c r="S561" s="13">
        <f t="shared" si="116"/>
        <v>2.7874254163327099E-2</v>
      </c>
    </row>
    <row r="562" spans="1:19" x14ac:dyDescent="0.3">
      <c r="A562" s="4">
        <v>45769</v>
      </c>
      <c r="B562" s="2">
        <v>153</v>
      </c>
      <c r="C562" s="2">
        <v>253</v>
      </c>
      <c r="D562" s="2">
        <v>286</v>
      </c>
      <c r="E562">
        <v>10799</v>
      </c>
      <c r="F562">
        <v>427</v>
      </c>
      <c r="G562" s="2">
        <f t="shared" si="104"/>
        <v>11052</v>
      </c>
      <c r="H562">
        <f t="shared" si="105"/>
        <v>10372</v>
      </c>
      <c r="I562" s="13">
        <f t="shared" si="106"/>
        <v>4.9170844581565756E-3</v>
      </c>
      <c r="J562" t="str">
        <f t="shared" si="107"/>
        <v>Backlog</v>
      </c>
      <c r="K562" s="13">
        <f t="shared" si="108"/>
        <v>0.93847267462902639</v>
      </c>
      <c r="L562" s="13">
        <f t="shared" si="109"/>
        <v>6.5693087224031848</v>
      </c>
      <c r="M562" s="13">
        <f t="shared" si="110"/>
        <v>28.154180238870794</v>
      </c>
      <c r="N562" t="b">
        <f t="shared" si="111"/>
        <v>0</v>
      </c>
      <c r="O562">
        <f t="shared" si="112"/>
        <v>17</v>
      </c>
      <c r="P562" s="13">
        <f t="shared" si="113"/>
        <v>0.93908817527400301</v>
      </c>
      <c r="Q562" s="13">
        <f t="shared" si="114"/>
        <v>0.94254288151657972</v>
      </c>
      <c r="R562" s="15" t="str">
        <f t="shared" si="115"/>
        <v>STRAIN</v>
      </c>
      <c r="S562" s="13">
        <f t="shared" si="116"/>
        <v>3.8635541078537824E-2</v>
      </c>
    </row>
    <row r="563" spans="1:19" x14ac:dyDescent="0.3">
      <c r="A563" s="4">
        <v>45770</v>
      </c>
      <c r="B563" s="2">
        <v>209</v>
      </c>
      <c r="C563" s="2">
        <v>353</v>
      </c>
      <c r="D563" s="2">
        <v>232</v>
      </c>
      <c r="E563">
        <v>10837</v>
      </c>
      <c r="F563">
        <v>414</v>
      </c>
      <c r="G563" s="2">
        <f t="shared" si="104"/>
        <v>11190</v>
      </c>
      <c r="H563">
        <f t="shared" si="105"/>
        <v>10423</v>
      </c>
      <c r="I563" s="13">
        <f t="shared" si="106"/>
        <v>-8.4428667370238901E-3</v>
      </c>
      <c r="J563" t="str">
        <f t="shared" si="107"/>
        <v>No Backlog</v>
      </c>
      <c r="K563" s="13">
        <f t="shared" si="108"/>
        <v>0.93145665773011621</v>
      </c>
      <c r="L563" s="13">
        <f t="shared" si="109"/>
        <v>6.5201966041108133</v>
      </c>
      <c r="M563" s="13">
        <f t="shared" si="110"/>
        <v>27.943699731903486</v>
      </c>
      <c r="N563" t="b">
        <f t="shared" si="111"/>
        <v>1</v>
      </c>
      <c r="O563">
        <f t="shared" si="112"/>
        <v>17</v>
      </c>
      <c r="P563" s="13">
        <f t="shared" si="113"/>
        <v>0.94112035607080147</v>
      </c>
      <c r="Q563" s="13">
        <f t="shared" si="114"/>
        <v>0.93250493183333827</v>
      </c>
      <c r="R563" s="15" t="b">
        <f t="shared" si="115"/>
        <v>0</v>
      </c>
      <c r="S563" s="13">
        <f t="shared" si="116"/>
        <v>3.6997319034852545E-2</v>
      </c>
    </row>
    <row r="564" spans="1:19" x14ac:dyDescent="0.3">
      <c r="A564" s="4">
        <v>45771</v>
      </c>
      <c r="B564" s="2">
        <v>167</v>
      </c>
      <c r="C564" s="2">
        <v>326</v>
      </c>
      <c r="D564" s="2">
        <v>213</v>
      </c>
      <c r="E564">
        <v>10678</v>
      </c>
      <c r="F564">
        <v>343</v>
      </c>
      <c r="G564" s="2">
        <f t="shared" si="104"/>
        <v>11004</v>
      </c>
      <c r="H564">
        <f t="shared" si="105"/>
        <v>10335</v>
      </c>
      <c r="I564" s="13">
        <f t="shared" si="106"/>
        <v>-1.9351717464925012E-4</v>
      </c>
      <c r="J564" t="str">
        <f t="shared" si="107"/>
        <v>No Backlog</v>
      </c>
      <c r="K564" s="13">
        <f t="shared" si="108"/>
        <v>0.93920392584514723</v>
      </c>
      <c r="L564" s="13">
        <f t="shared" si="109"/>
        <v>6.5744274809160306</v>
      </c>
      <c r="M564" s="13">
        <f t="shared" si="110"/>
        <v>28.176117775354417</v>
      </c>
      <c r="N564" t="b">
        <f t="shared" si="111"/>
        <v>1</v>
      </c>
      <c r="O564">
        <f t="shared" si="112"/>
        <v>17</v>
      </c>
      <c r="P564" s="13">
        <f t="shared" si="113"/>
        <v>0.94224329218155001</v>
      </c>
      <c r="Q564" s="13">
        <f t="shared" si="114"/>
        <v>0.93164410549839083</v>
      </c>
      <c r="R564" s="15" t="b">
        <f t="shared" si="115"/>
        <v>0</v>
      </c>
      <c r="S564" s="13">
        <f t="shared" si="116"/>
        <v>3.1170483460559797E-2</v>
      </c>
    </row>
    <row r="565" spans="1:19" x14ac:dyDescent="0.3">
      <c r="A565" s="4">
        <v>45774</v>
      </c>
      <c r="B565" s="2">
        <v>224</v>
      </c>
      <c r="C565" s="2">
        <v>315</v>
      </c>
      <c r="D565" s="2">
        <v>152</v>
      </c>
      <c r="E565">
        <v>10649</v>
      </c>
      <c r="F565">
        <v>316</v>
      </c>
      <c r="G565" s="2">
        <f t="shared" si="104"/>
        <v>10964</v>
      </c>
      <c r="H565">
        <f t="shared" si="105"/>
        <v>10333</v>
      </c>
      <c r="I565" s="13">
        <f t="shared" si="106"/>
        <v>-1.1419723216877963E-2</v>
      </c>
      <c r="J565" t="str">
        <f t="shared" si="107"/>
        <v>No Backlog</v>
      </c>
      <c r="K565" s="13">
        <f t="shared" si="108"/>
        <v>0.94244801167457137</v>
      </c>
      <c r="L565" s="13">
        <f t="shared" si="109"/>
        <v>6.5971360817219997</v>
      </c>
      <c r="M565" s="13">
        <f t="shared" si="110"/>
        <v>28.273440350237141</v>
      </c>
      <c r="N565" t="b">
        <f t="shared" si="111"/>
        <v>1</v>
      </c>
      <c r="O565">
        <f t="shared" si="112"/>
        <v>18</v>
      </c>
      <c r="P565" s="13">
        <f t="shared" si="113"/>
        <v>0.94212938761307741</v>
      </c>
      <c r="Q565" s="13">
        <f t="shared" si="114"/>
        <v>0.93914392771228572</v>
      </c>
      <c r="R565" s="15" t="b">
        <f t="shared" si="115"/>
        <v>0</v>
      </c>
      <c r="S565" s="13">
        <f t="shared" si="116"/>
        <v>2.8821597956950017E-2</v>
      </c>
    </row>
    <row r="566" spans="1:19" x14ac:dyDescent="0.3">
      <c r="A566" s="4">
        <v>45775</v>
      </c>
      <c r="B566" s="2">
        <v>132</v>
      </c>
      <c r="C566" s="2">
        <v>243</v>
      </c>
      <c r="D566" s="2">
        <v>183</v>
      </c>
      <c r="E566">
        <v>10492</v>
      </c>
      <c r="F566">
        <v>277</v>
      </c>
      <c r="G566" s="2">
        <f t="shared" si="104"/>
        <v>10735</v>
      </c>
      <c r="H566">
        <f t="shared" si="105"/>
        <v>10215</v>
      </c>
      <c r="I566" s="13">
        <f t="shared" si="106"/>
        <v>-3.0837004405286344E-2</v>
      </c>
      <c r="J566" t="str">
        <f t="shared" si="107"/>
        <v>No Backlog</v>
      </c>
      <c r="K566" s="13">
        <f t="shared" si="108"/>
        <v>0.95156031672100605</v>
      </c>
      <c r="L566" s="13">
        <f t="shared" si="109"/>
        <v>6.6609222170470428</v>
      </c>
      <c r="M566" s="13">
        <f t="shared" si="110"/>
        <v>28.546809501630182</v>
      </c>
      <c r="N566" t="b">
        <f t="shared" si="111"/>
        <v>1</v>
      </c>
      <c r="O566">
        <f t="shared" si="112"/>
        <v>18</v>
      </c>
      <c r="P566" s="13">
        <f t="shared" si="113"/>
        <v>0.93811221210330531</v>
      </c>
      <c r="Q566" s="13">
        <f t="shared" si="114"/>
        <v>0.95161405897316476</v>
      </c>
      <c r="R566" s="15" t="b">
        <f t="shared" si="115"/>
        <v>0</v>
      </c>
      <c r="S566" s="13">
        <f t="shared" si="116"/>
        <v>2.5803446669771773E-2</v>
      </c>
    </row>
    <row r="567" spans="1:19" x14ac:dyDescent="0.3">
      <c r="A567" s="4">
        <v>45776</v>
      </c>
      <c r="B567" s="2">
        <v>218</v>
      </c>
      <c r="C567" s="2">
        <v>283</v>
      </c>
      <c r="D567" s="2">
        <v>208</v>
      </c>
      <c r="E567">
        <v>10282</v>
      </c>
      <c r="F567">
        <v>382</v>
      </c>
      <c r="G567" s="2">
        <f t="shared" si="104"/>
        <v>10565</v>
      </c>
      <c r="H567">
        <f t="shared" si="105"/>
        <v>9900</v>
      </c>
      <c r="I567" s="13">
        <f t="shared" si="106"/>
        <v>1.2222222222222223E-2</v>
      </c>
      <c r="J567" t="str">
        <f t="shared" si="107"/>
        <v>Backlog</v>
      </c>
      <c r="K567" s="13">
        <f t="shared" si="108"/>
        <v>0.93705631803123524</v>
      </c>
      <c r="L567" s="13">
        <f t="shared" si="109"/>
        <v>6.5593942262186467</v>
      </c>
      <c r="M567" s="13">
        <f t="shared" si="110"/>
        <v>28.111689540937057</v>
      </c>
      <c r="N567" t="b">
        <f t="shared" si="111"/>
        <v>1</v>
      </c>
      <c r="O567">
        <f t="shared" si="112"/>
        <v>18</v>
      </c>
      <c r="P567" s="13">
        <f t="shared" si="113"/>
        <v>0.93410531690046783</v>
      </c>
      <c r="Q567" s="13">
        <f t="shared" si="114"/>
        <v>0.94685984707089899</v>
      </c>
      <c r="R567" s="15" t="str">
        <f t="shared" si="115"/>
        <v>STRAIN</v>
      </c>
      <c r="S567" s="13">
        <f t="shared" si="116"/>
        <v>3.6157122574538569E-2</v>
      </c>
    </row>
    <row r="568" spans="1:19" x14ac:dyDescent="0.3">
      <c r="A568" s="4">
        <v>45777</v>
      </c>
      <c r="B568" s="2">
        <v>118</v>
      </c>
      <c r="C568" s="2">
        <v>245</v>
      </c>
      <c r="D568" s="2">
        <v>160</v>
      </c>
      <c r="E568">
        <v>10419</v>
      </c>
      <c r="F568">
        <v>398</v>
      </c>
      <c r="G568" s="2">
        <f t="shared" si="104"/>
        <v>10664</v>
      </c>
      <c r="H568">
        <f t="shared" si="105"/>
        <v>10021</v>
      </c>
      <c r="I568" s="13">
        <f t="shared" si="106"/>
        <v>4.3907793633369925E-3</v>
      </c>
      <c r="J568" t="str">
        <f t="shared" si="107"/>
        <v>Backlog</v>
      </c>
      <c r="K568" s="13">
        <f t="shared" si="108"/>
        <v>0.93970367591897974</v>
      </c>
      <c r="L568" s="13">
        <f t="shared" si="109"/>
        <v>6.5779257314328579</v>
      </c>
      <c r="M568" s="13">
        <f t="shared" si="110"/>
        <v>28.191110277569393</v>
      </c>
      <c r="N568" t="b">
        <f t="shared" si="111"/>
        <v>1</v>
      </c>
      <c r="O568">
        <f t="shared" si="112"/>
        <v>18</v>
      </c>
      <c r="P568" s="13">
        <f t="shared" si="113"/>
        <v>0.94315838216155645</v>
      </c>
      <c r="Q568" s="13">
        <f t="shared" si="114"/>
        <v>0.94533557820870473</v>
      </c>
      <c r="R568" s="15" t="str">
        <f t="shared" si="115"/>
        <v>STRAIN</v>
      </c>
      <c r="S568" s="13">
        <f t="shared" si="116"/>
        <v>3.7321830457614405E-2</v>
      </c>
    </row>
    <row r="569" spans="1:19" x14ac:dyDescent="0.3">
      <c r="A569" s="4">
        <v>45778</v>
      </c>
      <c r="B569" s="2">
        <v>81</v>
      </c>
      <c r="C569" s="2">
        <v>230</v>
      </c>
      <c r="D569" s="2">
        <v>242</v>
      </c>
      <c r="E569">
        <v>10356</v>
      </c>
      <c r="F569">
        <v>291</v>
      </c>
      <c r="G569" s="2">
        <f t="shared" si="104"/>
        <v>10586</v>
      </c>
      <c r="H569">
        <f t="shared" si="105"/>
        <v>10065</v>
      </c>
      <c r="I569" s="13">
        <f t="shared" si="106"/>
        <v>-1.6492796820665675E-2</v>
      </c>
      <c r="J569" t="str">
        <f t="shared" si="107"/>
        <v>No Backlog</v>
      </c>
      <c r="K569" s="13">
        <f t="shared" si="108"/>
        <v>0.95078405441148683</v>
      </c>
      <c r="L569" s="13">
        <f t="shared" si="109"/>
        <v>6.6554883808804082</v>
      </c>
      <c r="M569" s="13">
        <f t="shared" si="110"/>
        <v>28.523521632344604</v>
      </c>
      <c r="N569" t="b">
        <f t="shared" si="111"/>
        <v>0</v>
      </c>
      <c r="O569">
        <f t="shared" si="112"/>
        <v>18</v>
      </c>
      <c r="P569" s="13">
        <f t="shared" si="113"/>
        <v>0.94216863017402352</v>
      </c>
      <c r="Q569" s="13">
        <f t="shared" si="114"/>
        <v>0.9444418569798072</v>
      </c>
      <c r="R569" s="15" t="b">
        <f t="shared" si="115"/>
        <v>0</v>
      </c>
      <c r="S569" s="13">
        <f t="shared" si="116"/>
        <v>2.7489136595503495E-2</v>
      </c>
    </row>
    <row r="570" spans="1:19" x14ac:dyDescent="0.3">
      <c r="A570" s="4">
        <v>45781</v>
      </c>
      <c r="B570" s="2">
        <v>236</v>
      </c>
      <c r="C570" s="2">
        <v>330</v>
      </c>
      <c r="D570" s="2">
        <v>222</v>
      </c>
      <c r="E570">
        <v>10142</v>
      </c>
      <c r="F570">
        <v>243</v>
      </c>
      <c r="G570" s="2">
        <f t="shared" si="104"/>
        <v>10472</v>
      </c>
      <c r="H570">
        <f t="shared" si="105"/>
        <v>9899</v>
      </c>
      <c r="I570" s="13">
        <f t="shared" si="106"/>
        <v>-2.0608142236589553E-2</v>
      </c>
      <c r="J570" t="str">
        <f t="shared" si="107"/>
        <v>No Backlog</v>
      </c>
      <c r="K570" s="13">
        <f t="shared" si="108"/>
        <v>0.94528265851795268</v>
      </c>
      <c r="L570" s="13">
        <f t="shared" si="109"/>
        <v>6.6169786096256686</v>
      </c>
      <c r="M570" s="13">
        <f t="shared" si="110"/>
        <v>28.358479755538582</v>
      </c>
      <c r="N570" t="b">
        <f t="shared" si="111"/>
        <v>1</v>
      </c>
      <c r="O570">
        <f t="shared" si="112"/>
        <v>19</v>
      </c>
      <c r="P570" s="13">
        <f t="shared" si="113"/>
        <v>0.93468347183479361</v>
      </c>
      <c r="Q570" s="13">
        <f t="shared" si="114"/>
        <v>0.94106662936994168</v>
      </c>
      <c r="R570" s="15" t="b">
        <f t="shared" si="115"/>
        <v>0</v>
      </c>
      <c r="S570" s="13">
        <f t="shared" si="116"/>
        <v>2.3204736440030557E-2</v>
      </c>
    </row>
    <row r="571" spans="1:19" x14ac:dyDescent="0.3">
      <c r="A571" s="4">
        <v>45782</v>
      </c>
      <c r="B571" s="2">
        <v>196</v>
      </c>
      <c r="C571" s="2">
        <v>306</v>
      </c>
      <c r="D571" s="2">
        <v>187</v>
      </c>
      <c r="E571">
        <v>9988</v>
      </c>
      <c r="F571">
        <v>293</v>
      </c>
      <c r="G571" s="2">
        <f t="shared" si="104"/>
        <v>10294</v>
      </c>
      <c r="H571">
        <f t="shared" si="105"/>
        <v>9695</v>
      </c>
      <c r="I571" s="13">
        <f t="shared" si="106"/>
        <v>-6.1887570912841673E-3</v>
      </c>
      <c r="J571" t="str">
        <f t="shared" si="107"/>
        <v>No Backlog</v>
      </c>
      <c r="K571" s="13">
        <f t="shared" si="108"/>
        <v>0.94181076355158344</v>
      </c>
      <c r="L571" s="13">
        <f t="shared" si="109"/>
        <v>6.5926753448610844</v>
      </c>
      <c r="M571" s="13">
        <f t="shared" si="110"/>
        <v>28.254322906547504</v>
      </c>
      <c r="N571" t="b">
        <f t="shared" si="111"/>
        <v>1</v>
      </c>
      <c r="O571">
        <f t="shared" si="112"/>
        <v>19</v>
      </c>
      <c r="P571" s="13">
        <f t="shared" si="113"/>
        <v>0.93882530365079164</v>
      </c>
      <c r="Q571" s="13">
        <f t="shared" si="114"/>
        <v>0.94392896715892771</v>
      </c>
      <c r="R571" s="15" t="b">
        <f t="shared" si="115"/>
        <v>0</v>
      </c>
      <c r="S571" s="13">
        <f t="shared" si="116"/>
        <v>2.84631824363707E-2</v>
      </c>
    </row>
    <row r="572" spans="1:19" x14ac:dyDescent="0.3">
      <c r="A572" s="4">
        <v>45783</v>
      </c>
      <c r="B572" s="2">
        <v>113</v>
      </c>
      <c r="C572" s="2">
        <v>280</v>
      </c>
      <c r="D572" s="2">
        <v>237</v>
      </c>
      <c r="E572">
        <v>10140</v>
      </c>
      <c r="F572">
        <v>505</v>
      </c>
      <c r="G572" s="2">
        <f t="shared" si="104"/>
        <v>10420</v>
      </c>
      <c r="H572">
        <f t="shared" si="105"/>
        <v>9635</v>
      </c>
      <c r="I572" s="13">
        <f t="shared" si="106"/>
        <v>2.8956927867151011E-2</v>
      </c>
      <c r="J572" t="str">
        <f t="shared" si="107"/>
        <v>Backlog</v>
      </c>
      <c r="K572" s="13">
        <f t="shared" si="108"/>
        <v>0.92466410748560457</v>
      </c>
      <c r="L572" s="13">
        <f t="shared" si="109"/>
        <v>6.4726487523992322</v>
      </c>
      <c r="M572" s="13">
        <f t="shared" si="110"/>
        <v>27.739923224568138</v>
      </c>
      <c r="N572" t="b">
        <f t="shared" si="111"/>
        <v>1</v>
      </c>
      <c r="O572">
        <f t="shared" si="112"/>
        <v>19</v>
      </c>
      <c r="P572" s="13">
        <f t="shared" si="113"/>
        <v>0.9381659543554639</v>
      </c>
      <c r="Q572" s="13">
        <f t="shared" si="114"/>
        <v>0.93019739421717107</v>
      </c>
      <c r="R572" s="15" t="str">
        <f t="shared" si="115"/>
        <v>STRAIN</v>
      </c>
      <c r="S572" s="13">
        <f t="shared" si="116"/>
        <v>4.8464491362763915E-2</v>
      </c>
    </row>
    <row r="573" spans="1:19" x14ac:dyDescent="0.3">
      <c r="A573" s="4">
        <v>45784</v>
      </c>
      <c r="B573" s="2">
        <v>239</v>
      </c>
      <c r="C573" s="2">
        <v>367</v>
      </c>
      <c r="D573" s="2">
        <v>224</v>
      </c>
      <c r="E573">
        <v>10280</v>
      </c>
      <c r="F573">
        <v>366</v>
      </c>
      <c r="G573" s="2">
        <f t="shared" si="104"/>
        <v>10647</v>
      </c>
      <c r="H573">
        <f t="shared" si="105"/>
        <v>9914</v>
      </c>
      <c r="I573" s="13">
        <f t="shared" si="106"/>
        <v>-2.0173492031470646E-3</v>
      </c>
      <c r="J573" t="str">
        <f t="shared" si="107"/>
        <v>No Backlog</v>
      </c>
      <c r="K573" s="13">
        <f t="shared" si="108"/>
        <v>0.93115431576970042</v>
      </c>
      <c r="L573" s="13">
        <f t="shared" si="109"/>
        <v>6.518080210387903</v>
      </c>
      <c r="M573" s="13">
        <f t="shared" si="110"/>
        <v>27.934629473091015</v>
      </c>
      <c r="N573" t="b">
        <f t="shared" si="111"/>
        <v>1</v>
      </c>
      <c r="O573">
        <f t="shared" si="112"/>
        <v>19</v>
      </c>
      <c r="P573" s="13">
        <f t="shared" si="113"/>
        <v>0.94390884594013158</v>
      </c>
      <c r="Q573" s="13">
        <f t="shared" si="114"/>
        <v>0.94397529680143377</v>
      </c>
      <c r="R573" s="15" t="b">
        <f t="shared" si="115"/>
        <v>0</v>
      </c>
      <c r="S573" s="13">
        <f t="shared" si="116"/>
        <v>3.4375880529726684E-2</v>
      </c>
    </row>
    <row r="574" spans="1:19" x14ac:dyDescent="0.3">
      <c r="A574" s="4">
        <v>45785</v>
      </c>
      <c r="B574" s="2">
        <v>152</v>
      </c>
      <c r="C574" s="2">
        <v>272</v>
      </c>
      <c r="D574" s="2">
        <v>214</v>
      </c>
      <c r="E574">
        <v>10180</v>
      </c>
      <c r="F574">
        <v>286</v>
      </c>
      <c r="G574" s="2">
        <f t="shared" si="104"/>
        <v>10452</v>
      </c>
      <c r="H574">
        <f t="shared" si="105"/>
        <v>9894</v>
      </c>
      <c r="I574" s="13">
        <f t="shared" si="106"/>
        <v>-2.7289266221952699E-2</v>
      </c>
      <c r="J574" t="str">
        <f t="shared" si="107"/>
        <v>No Backlog</v>
      </c>
      <c r="K574" s="13">
        <f t="shared" si="108"/>
        <v>0.94661308840413316</v>
      </c>
      <c r="L574" s="13">
        <f t="shared" si="109"/>
        <v>6.6262916188289323</v>
      </c>
      <c r="M574" s="13">
        <f t="shared" si="110"/>
        <v>28.398392652123995</v>
      </c>
      <c r="N574" t="b">
        <f t="shared" si="111"/>
        <v>1</v>
      </c>
      <c r="O574">
        <f t="shared" si="112"/>
        <v>19</v>
      </c>
      <c r="P574" s="13">
        <f t="shared" si="113"/>
        <v>0.94879028445128144</v>
      </c>
      <c r="Q574" s="13">
        <f t="shared" si="114"/>
        <v>0.94880057122004136</v>
      </c>
      <c r="R574" s="15" t="b">
        <f t="shared" si="115"/>
        <v>0</v>
      </c>
      <c r="S574" s="13">
        <f t="shared" si="116"/>
        <v>2.736318407960199E-2</v>
      </c>
    </row>
    <row r="575" spans="1:19" x14ac:dyDescent="0.3">
      <c r="A575" s="4">
        <v>45788</v>
      </c>
      <c r="B575" s="2">
        <v>170</v>
      </c>
      <c r="C575" s="2">
        <v>297</v>
      </c>
      <c r="D575" s="2">
        <v>196</v>
      </c>
      <c r="E575">
        <v>10012</v>
      </c>
      <c r="F575">
        <v>388</v>
      </c>
      <c r="G575" s="2">
        <f t="shared" si="104"/>
        <v>10309</v>
      </c>
      <c r="H575">
        <f t="shared" si="105"/>
        <v>9624</v>
      </c>
      <c r="I575" s="13">
        <f t="shared" si="106"/>
        <v>-2.4833748960931004E-2</v>
      </c>
      <c r="J575" t="str">
        <f t="shared" si="107"/>
        <v>No Backlog</v>
      </c>
      <c r="K575" s="13">
        <f t="shared" si="108"/>
        <v>0.93355320593656033</v>
      </c>
      <c r="L575" s="13">
        <f t="shared" si="109"/>
        <v>6.5348724415559225</v>
      </c>
      <c r="M575" s="13">
        <f t="shared" si="110"/>
        <v>28.00659617809681</v>
      </c>
      <c r="N575" t="b">
        <f t="shared" si="111"/>
        <v>1</v>
      </c>
      <c r="O575">
        <f t="shared" si="112"/>
        <v>20</v>
      </c>
      <c r="P575" s="13">
        <f t="shared" si="113"/>
        <v>0.93582643274234389</v>
      </c>
      <c r="Q575" s="13">
        <f t="shared" si="114"/>
        <v>0.94060218303457344</v>
      </c>
      <c r="R575" s="15" t="b">
        <f t="shared" si="115"/>
        <v>0</v>
      </c>
      <c r="S575" s="13">
        <f t="shared" si="116"/>
        <v>3.7637016199437386E-2</v>
      </c>
    </row>
    <row r="576" spans="1:19" x14ac:dyDescent="0.3">
      <c r="A576" s="4">
        <v>45789</v>
      </c>
      <c r="B576" s="2">
        <v>191</v>
      </c>
      <c r="C576" s="2">
        <v>283</v>
      </c>
      <c r="D576" s="2">
        <v>192</v>
      </c>
      <c r="E576">
        <v>9873</v>
      </c>
      <c r="F576">
        <v>488</v>
      </c>
      <c r="G576" s="2">
        <f t="shared" si="104"/>
        <v>10156</v>
      </c>
      <c r="H576">
        <f t="shared" si="105"/>
        <v>9385</v>
      </c>
      <c r="I576" s="13">
        <f t="shared" si="106"/>
        <v>2.1097496004262119E-2</v>
      </c>
      <c r="J576" t="str">
        <f t="shared" si="107"/>
        <v>Backlog</v>
      </c>
      <c r="K576" s="13">
        <f t="shared" si="108"/>
        <v>0.92408428515163454</v>
      </c>
      <c r="L576" s="13">
        <f t="shared" si="109"/>
        <v>6.4685899960614419</v>
      </c>
      <c r="M576" s="13">
        <f t="shared" si="110"/>
        <v>27.722528554549037</v>
      </c>
      <c r="N576" t="b">
        <f t="shared" si="111"/>
        <v>1</v>
      </c>
      <c r="O576">
        <f t="shared" si="112"/>
        <v>20</v>
      </c>
      <c r="P576" s="13">
        <f t="shared" si="113"/>
        <v>0.93046744268678272</v>
      </c>
      <c r="Q576" s="13">
        <f t="shared" si="114"/>
        <v>0.9288570787808974</v>
      </c>
      <c r="R576" s="15" t="str">
        <f t="shared" si="115"/>
        <v>STRAIN</v>
      </c>
      <c r="S576" s="13">
        <f t="shared" si="116"/>
        <v>4.8050413548641195E-2</v>
      </c>
    </row>
    <row r="577" spans="1:19" x14ac:dyDescent="0.3">
      <c r="A577" s="4">
        <v>45790</v>
      </c>
      <c r="B577" s="2">
        <v>109</v>
      </c>
      <c r="C577" s="2">
        <v>214</v>
      </c>
      <c r="D577" s="2">
        <v>173</v>
      </c>
      <c r="E577">
        <v>10026</v>
      </c>
      <c r="F577">
        <v>443</v>
      </c>
      <c r="G577" s="2">
        <f t="shared" si="104"/>
        <v>10240</v>
      </c>
      <c r="H577">
        <f t="shared" si="105"/>
        <v>9583</v>
      </c>
      <c r="I577" s="13">
        <f t="shared" si="106"/>
        <v>2.1183345507669833E-2</v>
      </c>
      <c r="J577" t="str">
        <f t="shared" si="107"/>
        <v>Backlog</v>
      </c>
      <c r="K577" s="13">
        <f t="shared" si="108"/>
        <v>0.93583984374999996</v>
      </c>
      <c r="L577" s="13">
        <f t="shared" si="109"/>
        <v>6.5508789062499995</v>
      </c>
      <c r="M577" s="13">
        <f t="shared" si="110"/>
        <v>28.0751953125</v>
      </c>
      <c r="N577" t="b">
        <f t="shared" si="111"/>
        <v>1</v>
      </c>
      <c r="O577">
        <f t="shared" si="112"/>
        <v>20</v>
      </c>
      <c r="P577" s="13">
        <f t="shared" si="113"/>
        <v>0.94094350725813591</v>
      </c>
      <c r="Q577" s="13">
        <f t="shared" si="114"/>
        <v>0.9356960009059303</v>
      </c>
      <c r="R577" s="15" t="str">
        <f t="shared" si="115"/>
        <v>STRAIN</v>
      </c>
      <c r="S577" s="13">
        <f t="shared" si="116"/>
        <v>4.3261718749999997E-2</v>
      </c>
    </row>
    <row r="578" spans="1:19" x14ac:dyDescent="0.3">
      <c r="A578" s="4">
        <v>45791</v>
      </c>
      <c r="B578" s="2">
        <v>155</v>
      </c>
      <c r="C578" s="2">
        <v>212</v>
      </c>
      <c r="D578" s="2">
        <v>181</v>
      </c>
      <c r="E578">
        <v>10071</v>
      </c>
      <c r="F578">
        <v>285</v>
      </c>
      <c r="G578" s="2">
        <f t="shared" si="104"/>
        <v>10283</v>
      </c>
      <c r="H578">
        <f t="shared" si="105"/>
        <v>9786</v>
      </c>
      <c r="I578" s="13">
        <f t="shared" si="106"/>
        <v>-9.7077457592479044E-3</v>
      </c>
      <c r="J578" t="str">
        <f t="shared" si="107"/>
        <v>No Backlog</v>
      </c>
      <c r="K578" s="13">
        <f t="shared" si="108"/>
        <v>0.95166780122532335</v>
      </c>
      <c r="L578" s="13">
        <f t="shared" si="109"/>
        <v>6.6616746085772638</v>
      </c>
      <c r="M578" s="13">
        <f t="shared" si="110"/>
        <v>28.550034036759701</v>
      </c>
      <c r="N578" t="b">
        <f t="shared" si="111"/>
        <v>1</v>
      </c>
      <c r="O578">
        <f t="shared" si="112"/>
        <v>20</v>
      </c>
      <c r="P578" s="13">
        <f t="shared" si="113"/>
        <v>0.9436992410870304</v>
      </c>
      <c r="Q578" s="13">
        <f t="shared" si="114"/>
        <v>0.94962422319330686</v>
      </c>
      <c r="R578" s="15" t="b">
        <f t="shared" si="115"/>
        <v>0</v>
      </c>
      <c r="S578" s="13">
        <f t="shared" si="116"/>
        <v>2.7715647184673734E-2</v>
      </c>
    </row>
    <row r="579" spans="1:19" x14ac:dyDescent="0.3">
      <c r="A579" s="4">
        <v>45792</v>
      </c>
      <c r="B579" s="2">
        <v>119</v>
      </c>
      <c r="C579" s="2">
        <v>209</v>
      </c>
      <c r="D579" s="2">
        <v>152</v>
      </c>
      <c r="E579">
        <v>9921</v>
      </c>
      <c r="F579">
        <v>230</v>
      </c>
      <c r="G579" s="2">
        <f t="shared" ref="G579:G642" si="117">C579+E579</f>
        <v>10130</v>
      </c>
      <c r="H579">
        <f t="shared" ref="H579:H642" si="118">E579-F579</f>
        <v>9691</v>
      </c>
      <c r="I579" s="13">
        <f t="shared" ref="I579:I642" si="119">(H580-H579)/H579</f>
        <v>-3.1369311732535342E-2</v>
      </c>
      <c r="J579" t="str">
        <f t="shared" ref="J579:J642" si="120">IF(I579&gt;0,"Backlog","No Backlog")</f>
        <v>No Backlog</v>
      </c>
      <c r="K579" s="13">
        <f t="shared" ref="K579:K642" si="121">H579/G579</f>
        <v>0.95666337611056274</v>
      </c>
      <c r="L579" s="13">
        <f t="shared" ref="L579:L642" si="122">K579*7</f>
        <v>6.6966436327739389</v>
      </c>
      <c r="M579" s="13">
        <f t="shared" ref="M579:M642" si="123">K579*30</f>
        <v>28.699901283316883</v>
      </c>
      <c r="N579" t="b">
        <f t="shared" ref="N579:N642" si="124">IF(D579&lt;C579,F579&lt;E579)</f>
        <v>1</v>
      </c>
      <c r="O579">
        <f t="shared" ref="O579:O642" si="125">WEEKNUM(A579)</f>
        <v>20</v>
      </c>
      <c r="P579" s="13">
        <f t="shared" ref="P579:P642" si="126">AVERAGE(K579,K585)</f>
        <v>0.95672982697186493</v>
      </c>
      <c r="Q579" s="13">
        <f t="shared" ref="Q579:Q642" si="127">AVERAGE(K579,K591)</f>
        <v>0.95353829962552927</v>
      </c>
      <c r="R579" s="15" t="b">
        <f t="shared" ref="R579:R642" si="128">IF(I579&gt;0,"STRAIN")</f>
        <v>0</v>
      </c>
      <c r="S579" s="13">
        <f t="shared" ref="S579:S642" si="129">F579/G579</f>
        <v>2.2704837117472853E-2</v>
      </c>
    </row>
    <row r="580" spans="1:19" x14ac:dyDescent="0.3">
      <c r="A580" s="4">
        <v>45795</v>
      </c>
      <c r="B580" s="2">
        <v>143</v>
      </c>
      <c r="C580" s="2">
        <v>203</v>
      </c>
      <c r="D580" s="2">
        <v>163</v>
      </c>
      <c r="E580">
        <v>9668</v>
      </c>
      <c r="F580">
        <v>281</v>
      </c>
      <c r="G580" s="2">
        <f t="shared" si="117"/>
        <v>9871</v>
      </c>
      <c r="H580">
        <f t="shared" si="118"/>
        <v>9387</v>
      </c>
      <c r="I580" s="13">
        <f t="shared" si="119"/>
        <v>-3.1319910514541388E-2</v>
      </c>
      <c r="J580" t="str">
        <f t="shared" si="120"/>
        <v>No Backlog</v>
      </c>
      <c r="K580" s="13">
        <f t="shared" si="121"/>
        <v>0.95096748049842972</v>
      </c>
      <c r="L580" s="13">
        <f t="shared" si="122"/>
        <v>6.6567723634890079</v>
      </c>
      <c r="M580" s="13">
        <f t="shared" si="123"/>
        <v>28.529024414952893</v>
      </c>
      <c r="N580" t="b">
        <f t="shared" si="124"/>
        <v>1</v>
      </c>
      <c r="O580">
        <f t="shared" si="125"/>
        <v>21</v>
      </c>
      <c r="P580" s="13">
        <f t="shared" si="126"/>
        <v>0.95097776726718963</v>
      </c>
      <c r="Q580" s="13">
        <f t="shared" si="127"/>
        <v>0.94477546882771901</v>
      </c>
      <c r="R580" s="15" t="b">
        <f t="shared" si="128"/>
        <v>0</v>
      </c>
      <c r="S580" s="13">
        <f t="shared" si="129"/>
        <v>2.8467227231283559E-2</v>
      </c>
    </row>
    <row r="581" spans="1:19" x14ac:dyDescent="0.3">
      <c r="A581" s="4">
        <v>45796</v>
      </c>
      <c r="B581" s="2">
        <v>105</v>
      </c>
      <c r="C581" s="2">
        <v>210</v>
      </c>
      <c r="D581" s="2">
        <v>149</v>
      </c>
      <c r="E581">
        <v>9483</v>
      </c>
      <c r="F581">
        <v>390</v>
      </c>
      <c r="G581" s="2">
        <f t="shared" si="117"/>
        <v>9693</v>
      </c>
      <c r="H581">
        <f t="shared" si="118"/>
        <v>9093</v>
      </c>
      <c r="I581" s="13">
        <f t="shared" si="119"/>
        <v>2.1335092928626415E-2</v>
      </c>
      <c r="J581" t="str">
        <f t="shared" si="120"/>
        <v>Backlog</v>
      </c>
      <c r="K581" s="13">
        <f t="shared" si="121"/>
        <v>0.93809965954812746</v>
      </c>
      <c r="L581" s="13">
        <f t="shared" si="122"/>
        <v>6.5666976168368922</v>
      </c>
      <c r="M581" s="13">
        <f t="shared" si="123"/>
        <v>28.142989786443824</v>
      </c>
      <c r="N581" t="b">
        <f t="shared" si="124"/>
        <v>1</v>
      </c>
      <c r="O581">
        <f t="shared" si="125"/>
        <v>21</v>
      </c>
      <c r="P581" s="13">
        <f t="shared" si="126"/>
        <v>0.942875409840357</v>
      </c>
      <c r="Q581" s="13">
        <f t="shared" si="127"/>
        <v>0.93243684537547289</v>
      </c>
      <c r="R581" s="15" t="str">
        <f t="shared" si="128"/>
        <v>STRAIN</v>
      </c>
      <c r="S581" s="13">
        <f t="shared" si="129"/>
        <v>4.0235221293717115E-2</v>
      </c>
    </row>
    <row r="582" spans="1:19" x14ac:dyDescent="0.3">
      <c r="A582" s="4">
        <v>45798</v>
      </c>
      <c r="B582" s="2">
        <v>119</v>
      </c>
      <c r="C582" s="2">
        <v>219</v>
      </c>
      <c r="D582" s="2">
        <v>210</v>
      </c>
      <c r="E582">
        <v>9694</v>
      </c>
      <c r="F582">
        <v>407</v>
      </c>
      <c r="G582" s="2">
        <f t="shared" si="117"/>
        <v>9913</v>
      </c>
      <c r="H582">
        <f t="shared" si="118"/>
        <v>9287</v>
      </c>
      <c r="I582" s="13">
        <f t="shared" si="119"/>
        <v>6.3529665123290618E-3</v>
      </c>
      <c r="J582" t="str">
        <f t="shared" si="120"/>
        <v>Backlog</v>
      </c>
      <c r="K582" s="13">
        <f t="shared" si="121"/>
        <v>0.93685060022193078</v>
      </c>
      <c r="L582" s="13">
        <f t="shared" si="122"/>
        <v>6.5579542015535157</v>
      </c>
      <c r="M582" s="13">
        <f t="shared" si="123"/>
        <v>28.105518006657924</v>
      </c>
      <c r="N582" t="b">
        <f t="shared" si="124"/>
        <v>1</v>
      </c>
      <c r="O582">
        <f t="shared" si="125"/>
        <v>21</v>
      </c>
      <c r="P582" s="13">
        <f t="shared" si="126"/>
        <v>0.93524023631604558</v>
      </c>
      <c r="Q582" s="13">
        <f t="shared" si="127"/>
        <v>0.93534531007857069</v>
      </c>
      <c r="R582" s="15" t="str">
        <f t="shared" si="128"/>
        <v>STRAIN</v>
      </c>
      <c r="S582" s="13">
        <f t="shared" si="129"/>
        <v>4.1057197619287805E-2</v>
      </c>
    </row>
    <row r="583" spans="1:19" x14ac:dyDescent="0.3">
      <c r="A583" s="4">
        <v>45799</v>
      </c>
      <c r="B583" s="2">
        <v>148</v>
      </c>
      <c r="C583" s="2">
        <v>245</v>
      </c>
      <c r="D583" s="2">
        <v>175</v>
      </c>
      <c r="E583">
        <v>9634</v>
      </c>
      <c r="F583">
        <v>288</v>
      </c>
      <c r="G583" s="2">
        <f t="shared" si="117"/>
        <v>9879</v>
      </c>
      <c r="H583">
        <f t="shared" si="118"/>
        <v>9346</v>
      </c>
      <c r="I583" s="13">
        <f t="shared" si="119"/>
        <v>-8.3993152150652686E-2</v>
      </c>
      <c r="J583" t="str">
        <f t="shared" si="120"/>
        <v>No Backlog</v>
      </c>
      <c r="K583" s="13">
        <f t="shared" si="121"/>
        <v>0.94604717076627187</v>
      </c>
      <c r="L583" s="13">
        <f t="shared" si="122"/>
        <v>6.6223301953639027</v>
      </c>
      <c r="M583" s="13">
        <f t="shared" si="123"/>
        <v>28.381415122988155</v>
      </c>
      <c r="N583" t="b">
        <f t="shared" si="124"/>
        <v>1</v>
      </c>
      <c r="O583">
        <f t="shared" si="125"/>
        <v>21</v>
      </c>
      <c r="P583" s="13">
        <f t="shared" si="126"/>
        <v>0.94079966441406615</v>
      </c>
      <c r="Q583" s="13">
        <f t="shared" si="127"/>
        <v>0.9398577562374073</v>
      </c>
      <c r="R583" s="15" t="b">
        <f t="shared" si="128"/>
        <v>0</v>
      </c>
      <c r="S583" s="13">
        <f t="shared" si="129"/>
        <v>2.915274825387185E-2</v>
      </c>
    </row>
    <row r="584" spans="1:19" x14ac:dyDescent="0.3">
      <c r="A584" s="4">
        <v>45804</v>
      </c>
      <c r="B584" s="2">
        <v>142</v>
      </c>
      <c r="C584" s="2">
        <v>235</v>
      </c>
      <c r="D584" s="2">
        <v>139</v>
      </c>
      <c r="E584">
        <v>8914</v>
      </c>
      <c r="F584">
        <v>353</v>
      </c>
      <c r="G584" s="2">
        <f t="shared" si="117"/>
        <v>9149</v>
      </c>
      <c r="H584">
        <f t="shared" si="118"/>
        <v>8561</v>
      </c>
      <c r="I584" s="13">
        <f t="shared" si="119"/>
        <v>8.8774675855624336E-3</v>
      </c>
      <c r="J584" t="str">
        <f t="shared" si="120"/>
        <v>Backlog</v>
      </c>
      <c r="K584" s="13">
        <f t="shared" si="121"/>
        <v>0.93573068094873757</v>
      </c>
      <c r="L584" s="13">
        <f t="shared" si="122"/>
        <v>6.5501147666411628</v>
      </c>
      <c r="M584" s="13">
        <f t="shared" si="123"/>
        <v>28.071920428462128</v>
      </c>
      <c r="N584" t="b">
        <f t="shared" si="124"/>
        <v>1</v>
      </c>
      <c r="O584">
        <f t="shared" si="125"/>
        <v>22</v>
      </c>
      <c r="P584" s="13">
        <f t="shared" si="126"/>
        <v>0.94165566305501391</v>
      </c>
      <c r="Q584" s="13">
        <f t="shared" si="127"/>
        <v>0.94031536610225186</v>
      </c>
      <c r="R584" s="15" t="str">
        <f t="shared" si="128"/>
        <v>STRAIN</v>
      </c>
      <c r="S584" s="13">
        <f t="shared" si="129"/>
        <v>3.8583451743359927E-2</v>
      </c>
    </row>
    <row r="585" spans="1:19" x14ac:dyDescent="0.3">
      <c r="A585" s="4">
        <v>45805</v>
      </c>
      <c r="B585" s="2">
        <v>118</v>
      </c>
      <c r="C585" s="2">
        <v>139</v>
      </c>
      <c r="D585" s="2">
        <v>168</v>
      </c>
      <c r="E585">
        <v>8888</v>
      </c>
      <c r="F585">
        <v>251</v>
      </c>
      <c r="G585" s="2">
        <f t="shared" si="117"/>
        <v>9027</v>
      </c>
      <c r="H585">
        <f t="shared" si="118"/>
        <v>8637</v>
      </c>
      <c r="I585" s="13">
        <f t="shared" si="119"/>
        <v>-1.3777932152367721E-2</v>
      </c>
      <c r="J585" t="str">
        <f t="shared" si="120"/>
        <v>No Backlog</v>
      </c>
      <c r="K585" s="13">
        <f t="shared" si="121"/>
        <v>0.95679627783316712</v>
      </c>
      <c r="L585" s="13">
        <f t="shared" si="122"/>
        <v>6.6975739448321701</v>
      </c>
      <c r="M585" s="13">
        <f t="shared" si="123"/>
        <v>28.703888334995014</v>
      </c>
      <c r="N585" t="b">
        <f t="shared" si="124"/>
        <v>0</v>
      </c>
      <c r="O585">
        <f t="shared" si="125"/>
        <v>22</v>
      </c>
      <c r="P585" s="13">
        <f t="shared" si="126"/>
        <v>0.95360475048683147</v>
      </c>
      <c r="Q585" s="13">
        <f t="shared" si="127"/>
        <v>0.94726480558325021</v>
      </c>
      <c r="R585" s="15" t="b">
        <f t="shared" si="128"/>
        <v>0</v>
      </c>
      <c r="S585" s="13">
        <f t="shared" si="129"/>
        <v>2.7805472471474465E-2</v>
      </c>
    </row>
    <row r="586" spans="1:19" x14ac:dyDescent="0.3">
      <c r="A586" s="4">
        <v>45806</v>
      </c>
      <c r="B586" s="2">
        <v>125</v>
      </c>
      <c r="C586" s="2">
        <v>232</v>
      </c>
      <c r="D586" s="2">
        <v>192</v>
      </c>
      <c r="E586">
        <v>8725</v>
      </c>
      <c r="F586">
        <v>207</v>
      </c>
      <c r="G586" s="2">
        <f t="shared" si="117"/>
        <v>8957</v>
      </c>
      <c r="H586">
        <f t="shared" si="118"/>
        <v>8518</v>
      </c>
      <c r="I586" s="13">
        <f t="shared" si="119"/>
        <v>-2.66494482272834E-2</v>
      </c>
      <c r="J586" t="str">
        <f t="shared" si="120"/>
        <v>No Backlog</v>
      </c>
      <c r="K586" s="13">
        <f t="shared" si="121"/>
        <v>0.95098805403594955</v>
      </c>
      <c r="L586" s="13">
        <f t="shared" si="122"/>
        <v>6.6569163782516467</v>
      </c>
      <c r="M586" s="13">
        <f t="shared" si="123"/>
        <v>28.529641621078486</v>
      </c>
      <c r="N586" t="b">
        <f t="shared" si="124"/>
        <v>1</v>
      </c>
      <c r="O586">
        <f t="shared" si="125"/>
        <v>22</v>
      </c>
      <c r="P586" s="13">
        <f t="shared" si="126"/>
        <v>0.94478575559647893</v>
      </c>
      <c r="Q586" s="13">
        <f t="shared" si="127"/>
        <v>0.94139061667694068</v>
      </c>
      <c r="R586" s="15" t="b">
        <f t="shared" si="128"/>
        <v>0</v>
      </c>
      <c r="S586" s="13">
        <f t="shared" si="129"/>
        <v>2.3110416434073907E-2</v>
      </c>
    </row>
    <row r="587" spans="1:19" x14ac:dyDescent="0.3">
      <c r="A587" s="4">
        <v>45809</v>
      </c>
      <c r="B587" s="2">
        <v>156</v>
      </c>
      <c r="C587" s="2">
        <v>256</v>
      </c>
      <c r="D587" s="2">
        <v>176</v>
      </c>
      <c r="E587">
        <v>8493</v>
      </c>
      <c r="F587">
        <v>202</v>
      </c>
      <c r="G587" s="2">
        <f t="shared" si="117"/>
        <v>8749</v>
      </c>
      <c r="H587">
        <f t="shared" si="118"/>
        <v>8291</v>
      </c>
      <c r="I587" s="13">
        <f t="shared" si="119"/>
        <v>-3.7993004462670364E-2</v>
      </c>
      <c r="J587" t="str">
        <f t="shared" si="120"/>
        <v>No Backlog</v>
      </c>
      <c r="K587" s="13">
        <f t="shared" si="121"/>
        <v>0.94765116013258655</v>
      </c>
      <c r="L587" s="13">
        <f t="shared" si="122"/>
        <v>6.6335581209281056</v>
      </c>
      <c r="M587" s="13">
        <f t="shared" si="123"/>
        <v>28.429534803977596</v>
      </c>
      <c r="N587" t="b">
        <f t="shared" si="124"/>
        <v>1</v>
      </c>
      <c r="O587">
        <f t="shared" si="125"/>
        <v>23</v>
      </c>
      <c r="P587" s="13">
        <f t="shared" si="126"/>
        <v>0.93721259566770243</v>
      </c>
      <c r="Q587" s="13">
        <f t="shared" si="127"/>
        <v>0.93614971426542748</v>
      </c>
      <c r="R587" s="15" t="b">
        <f t="shared" si="128"/>
        <v>0</v>
      </c>
      <c r="S587" s="13">
        <f t="shared" si="129"/>
        <v>2.3088352954623387E-2</v>
      </c>
    </row>
    <row r="588" spans="1:19" x14ac:dyDescent="0.3">
      <c r="A588" s="4">
        <v>45810</v>
      </c>
      <c r="B588" s="2">
        <v>109</v>
      </c>
      <c r="C588" s="2">
        <v>245</v>
      </c>
      <c r="D588" s="2">
        <v>159</v>
      </c>
      <c r="E588">
        <v>8298</v>
      </c>
      <c r="F588">
        <v>322</v>
      </c>
      <c r="G588" s="2">
        <f t="shared" si="117"/>
        <v>8543</v>
      </c>
      <c r="H588">
        <f t="shared" si="118"/>
        <v>7976</v>
      </c>
      <c r="I588" s="13">
        <f t="shared" si="119"/>
        <v>-2.632898696088265E-3</v>
      </c>
      <c r="J588" t="str">
        <f t="shared" si="120"/>
        <v>No Backlog</v>
      </c>
      <c r="K588" s="13">
        <f t="shared" si="121"/>
        <v>0.93362987241016038</v>
      </c>
      <c r="L588" s="13">
        <f t="shared" si="122"/>
        <v>6.5354091068711231</v>
      </c>
      <c r="M588" s="13">
        <f t="shared" si="123"/>
        <v>28.008896172304812</v>
      </c>
      <c r="N588" t="b">
        <f t="shared" si="124"/>
        <v>1</v>
      </c>
      <c r="O588">
        <f t="shared" si="125"/>
        <v>23</v>
      </c>
      <c r="P588" s="13">
        <f t="shared" si="126"/>
        <v>0.93373494617268549</v>
      </c>
      <c r="Q588" s="13">
        <f t="shared" si="127"/>
        <v>0.93528402761705642</v>
      </c>
      <c r="R588" s="15" t="b">
        <f t="shared" si="128"/>
        <v>0</v>
      </c>
      <c r="S588" s="13">
        <f t="shared" si="129"/>
        <v>3.7691677396699048E-2</v>
      </c>
    </row>
    <row r="589" spans="1:19" x14ac:dyDescent="0.3">
      <c r="A589" s="4">
        <v>45811</v>
      </c>
      <c r="B589" s="2">
        <v>167</v>
      </c>
      <c r="C589" s="2">
        <v>209</v>
      </c>
      <c r="D589" s="2">
        <v>157</v>
      </c>
      <c r="E589">
        <v>8294</v>
      </c>
      <c r="F589">
        <v>339</v>
      </c>
      <c r="G589" s="2">
        <f t="shared" si="117"/>
        <v>8503</v>
      </c>
      <c r="H589">
        <f t="shared" si="118"/>
        <v>7955</v>
      </c>
      <c r="I589" s="13">
        <f t="shared" si="119"/>
        <v>4.3997485857950975E-3</v>
      </c>
      <c r="J589" t="str">
        <f t="shared" si="120"/>
        <v>Backlog</v>
      </c>
      <c r="K589" s="13">
        <f t="shared" si="121"/>
        <v>0.93555215806186054</v>
      </c>
      <c r="L589" s="13">
        <f t="shared" si="122"/>
        <v>6.5488651064330234</v>
      </c>
      <c r="M589" s="13">
        <f t="shared" si="123"/>
        <v>28.066564741855817</v>
      </c>
      <c r="N589" t="b">
        <f t="shared" si="124"/>
        <v>1</v>
      </c>
      <c r="O589">
        <f t="shared" si="125"/>
        <v>23</v>
      </c>
      <c r="P589" s="13">
        <f t="shared" si="126"/>
        <v>0.93461024988520158</v>
      </c>
      <c r="Q589" s="13">
        <f t="shared" si="127"/>
        <v>0.93522963399670767</v>
      </c>
      <c r="R589" s="15" t="str">
        <f t="shared" si="128"/>
        <v>STRAIN</v>
      </c>
      <c r="S589" s="13">
        <f t="shared" si="129"/>
        <v>3.9868281782900153E-2</v>
      </c>
    </row>
    <row r="590" spans="1:19" x14ac:dyDescent="0.3">
      <c r="A590" s="4">
        <v>45812</v>
      </c>
      <c r="B590" s="2">
        <v>84</v>
      </c>
      <c r="C590" s="2">
        <v>171</v>
      </c>
      <c r="D590" s="2">
        <v>157</v>
      </c>
      <c r="E590">
        <v>8261</v>
      </c>
      <c r="F590">
        <v>271</v>
      </c>
      <c r="G590" s="2">
        <f t="shared" si="117"/>
        <v>8432</v>
      </c>
      <c r="H590">
        <f t="shared" si="118"/>
        <v>7990</v>
      </c>
      <c r="I590" s="13">
        <f t="shared" si="119"/>
        <v>-6.8836045056320403E-3</v>
      </c>
      <c r="J590" t="str">
        <f t="shared" si="120"/>
        <v>No Backlog</v>
      </c>
      <c r="K590" s="13">
        <f t="shared" si="121"/>
        <v>0.94758064516129037</v>
      </c>
      <c r="L590" s="13">
        <f t="shared" si="122"/>
        <v>6.6330645161290329</v>
      </c>
      <c r="M590" s="13">
        <f t="shared" si="123"/>
        <v>28.427419354838712</v>
      </c>
      <c r="N590" t="b">
        <f t="shared" si="124"/>
        <v>1</v>
      </c>
      <c r="O590">
        <f t="shared" si="125"/>
        <v>23</v>
      </c>
      <c r="P590" s="13">
        <f t="shared" si="126"/>
        <v>0.94624034820852831</v>
      </c>
      <c r="Q590" s="13">
        <f t="shared" si="127"/>
        <v>0.94688973778532359</v>
      </c>
      <c r="R590" s="15" t="b">
        <f t="shared" si="128"/>
        <v>0</v>
      </c>
      <c r="S590" s="13">
        <f t="shared" si="129"/>
        <v>3.213946869070209E-2</v>
      </c>
    </row>
    <row r="591" spans="1:19" x14ac:dyDescent="0.3">
      <c r="A591" s="4">
        <v>45813</v>
      </c>
      <c r="B591" s="2">
        <v>87</v>
      </c>
      <c r="C591" s="2">
        <v>246</v>
      </c>
      <c r="D591" s="2">
        <v>173</v>
      </c>
      <c r="E591">
        <v>8103</v>
      </c>
      <c r="F591">
        <v>168</v>
      </c>
      <c r="G591" s="2">
        <f t="shared" si="117"/>
        <v>8349</v>
      </c>
      <c r="H591">
        <f t="shared" si="118"/>
        <v>7935</v>
      </c>
      <c r="I591" s="13">
        <f t="shared" si="119"/>
        <v>-4.4738500315059861E-2</v>
      </c>
      <c r="J591" t="str">
        <f t="shared" si="120"/>
        <v>No Backlog</v>
      </c>
      <c r="K591" s="13">
        <f t="shared" si="121"/>
        <v>0.95041322314049592</v>
      </c>
      <c r="L591" s="13">
        <f t="shared" si="122"/>
        <v>6.6528925619834718</v>
      </c>
      <c r="M591" s="13">
        <f t="shared" si="123"/>
        <v>28.512396694214878</v>
      </c>
      <c r="N591" t="b">
        <f t="shared" si="124"/>
        <v>1</v>
      </c>
      <c r="O591">
        <f t="shared" si="125"/>
        <v>23</v>
      </c>
      <c r="P591" s="13">
        <f t="shared" si="126"/>
        <v>0.94407327823691456</v>
      </c>
      <c r="Q591" s="13">
        <f t="shared" si="127"/>
        <v>0.94288096056755411</v>
      </c>
      <c r="R591" s="15" t="b">
        <f t="shared" si="128"/>
        <v>0</v>
      </c>
      <c r="S591" s="13">
        <f t="shared" si="129"/>
        <v>2.0122170319798779E-2</v>
      </c>
    </row>
    <row r="592" spans="1:19" x14ac:dyDescent="0.3">
      <c r="A592" s="4">
        <v>45816</v>
      </c>
      <c r="B592" s="2">
        <v>136</v>
      </c>
      <c r="C592" s="2">
        <v>276</v>
      </c>
      <c r="D592" s="2">
        <v>178</v>
      </c>
      <c r="E592">
        <v>7800</v>
      </c>
      <c r="F592">
        <v>220</v>
      </c>
      <c r="G592" s="2">
        <f t="shared" si="117"/>
        <v>8076</v>
      </c>
      <c r="H592">
        <f t="shared" si="118"/>
        <v>7580</v>
      </c>
      <c r="I592" s="13">
        <f t="shared" si="119"/>
        <v>-2.8232189973614777E-2</v>
      </c>
      <c r="J592" t="str">
        <f t="shared" si="120"/>
        <v>No Backlog</v>
      </c>
      <c r="K592" s="13">
        <f t="shared" si="121"/>
        <v>0.93858345715700842</v>
      </c>
      <c r="L592" s="13">
        <f t="shared" si="122"/>
        <v>6.5700842000990587</v>
      </c>
      <c r="M592" s="13">
        <f t="shared" si="123"/>
        <v>28.157503714710252</v>
      </c>
      <c r="N592" t="b">
        <f t="shared" si="124"/>
        <v>1</v>
      </c>
      <c r="O592">
        <f t="shared" si="125"/>
        <v>24</v>
      </c>
      <c r="P592" s="13">
        <f t="shared" si="126"/>
        <v>0.93518831823747006</v>
      </c>
      <c r="Q592" s="13">
        <f t="shared" si="127"/>
        <v>0.936134064986058</v>
      </c>
      <c r="R592" s="15" t="b">
        <f t="shared" si="128"/>
        <v>0</v>
      </c>
      <c r="S592" s="13">
        <f t="shared" si="129"/>
        <v>2.7241208519068846E-2</v>
      </c>
    </row>
    <row r="593" spans="1:19" x14ac:dyDescent="0.3">
      <c r="A593" s="4">
        <v>45817</v>
      </c>
      <c r="B593" s="2">
        <v>166</v>
      </c>
      <c r="C593" s="2">
        <v>277</v>
      </c>
      <c r="D593" s="2">
        <v>229</v>
      </c>
      <c r="E593">
        <v>7671</v>
      </c>
      <c r="F593">
        <v>305</v>
      </c>
      <c r="G593" s="2">
        <f t="shared" si="117"/>
        <v>7948</v>
      </c>
      <c r="H593">
        <f t="shared" si="118"/>
        <v>7366</v>
      </c>
      <c r="I593" s="13">
        <f t="shared" si="119"/>
        <v>1.7512897094759707E-2</v>
      </c>
      <c r="J593" t="str">
        <f t="shared" si="120"/>
        <v>Backlog</v>
      </c>
      <c r="K593" s="13">
        <f t="shared" si="121"/>
        <v>0.92677403120281832</v>
      </c>
      <c r="L593" s="13">
        <f t="shared" si="122"/>
        <v>6.4874182184197284</v>
      </c>
      <c r="M593" s="13">
        <f t="shared" si="123"/>
        <v>27.80322093608455</v>
      </c>
      <c r="N593" t="b">
        <f t="shared" si="124"/>
        <v>1</v>
      </c>
      <c r="O593">
        <f t="shared" si="125"/>
        <v>24</v>
      </c>
      <c r="P593" s="13">
        <f t="shared" si="126"/>
        <v>0.92571114980054336</v>
      </c>
      <c r="Q593" s="13">
        <f t="shared" si="127"/>
        <v>0.93583798131483931</v>
      </c>
      <c r="R593" s="15" t="str">
        <f t="shared" si="128"/>
        <v>STRAIN</v>
      </c>
      <c r="S593" s="13">
        <f t="shared" si="129"/>
        <v>3.8374433819828885E-2</v>
      </c>
    </row>
    <row r="594" spans="1:19" x14ac:dyDescent="0.3">
      <c r="A594" s="4">
        <v>45818</v>
      </c>
      <c r="B594" s="2">
        <v>110</v>
      </c>
      <c r="C594" s="2">
        <v>272</v>
      </c>
      <c r="D594" s="2">
        <v>193</v>
      </c>
      <c r="E594">
        <v>7754</v>
      </c>
      <c r="F594">
        <v>259</v>
      </c>
      <c r="G594" s="2">
        <f t="shared" si="117"/>
        <v>8026</v>
      </c>
      <c r="H594">
        <f t="shared" si="118"/>
        <v>7495</v>
      </c>
      <c r="I594" s="13">
        <f t="shared" si="119"/>
        <v>-8.4056037358238821E-3</v>
      </c>
      <c r="J594" t="str">
        <f t="shared" si="120"/>
        <v>No Backlog</v>
      </c>
      <c r="K594" s="13">
        <f t="shared" si="121"/>
        <v>0.9338400199352106</v>
      </c>
      <c r="L594" s="13">
        <f t="shared" si="122"/>
        <v>6.536880139546474</v>
      </c>
      <c r="M594" s="13">
        <f t="shared" si="123"/>
        <v>28.015200598056317</v>
      </c>
      <c r="N594" t="b">
        <f t="shared" si="124"/>
        <v>1</v>
      </c>
      <c r="O594">
        <f t="shared" si="125"/>
        <v>24</v>
      </c>
      <c r="P594" s="13">
        <f t="shared" si="126"/>
        <v>0.93538910137958153</v>
      </c>
      <c r="Q594" s="13">
        <f t="shared" si="127"/>
        <v>0.94018482974717044</v>
      </c>
      <c r="R594" s="15" t="b">
        <f t="shared" si="128"/>
        <v>0</v>
      </c>
      <c r="S594" s="13">
        <f t="shared" si="129"/>
        <v>3.2270122103164718E-2</v>
      </c>
    </row>
    <row r="595" spans="1:19" x14ac:dyDescent="0.3">
      <c r="A595" s="4">
        <v>45825</v>
      </c>
      <c r="B595" s="2">
        <v>202</v>
      </c>
      <c r="C595" s="2">
        <v>313</v>
      </c>
      <c r="D595" s="2">
        <v>158</v>
      </c>
      <c r="E595">
        <v>7647</v>
      </c>
      <c r="F595">
        <v>215</v>
      </c>
      <c r="G595" s="2">
        <f t="shared" si="117"/>
        <v>7960</v>
      </c>
      <c r="H595">
        <f t="shared" si="118"/>
        <v>7432</v>
      </c>
      <c r="I595" s="13">
        <f t="shared" si="119"/>
        <v>-7.8040904198062432E-3</v>
      </c>
      <c r="J595" t="str">
        <f t="shared" si="120"/>
        <v>No Backlog</v>
      </c>
      <c r="K595" s="13">
        <f t="shared" si="121"/>
        <v>0.93366834170854274</v>
      </c>
      <c r="L595" s="13">
        <f t="shared" si="122"/>
        <v>6.5356783919597987</v>
      </c>
      <c r="M595" s="13">
        <f t="shared" si="123"/>
        <v>28.010050251256281</v>
      </c>
      <c r="N595" t="b">
        <f t="shared" si="124"/>
        <v>1</v>
      </c>
      <c r="O595">
        <f t="shared" si="125"/>
        <v>25</v>
      </c>
      <c r="P595" s="13">
        <f t="shared" si="126"/>
        <v>0.93428772582004871</v>
      </c>
      <c r="Q595" s="13">
        <f t="shared" si="127"/>
        <v>0.93631025285882719</v>
      </c>
      <c r="R595" s="15" t="b">
        <f t="shared" si="128"/>
        <v>0</v>
      </c>
      <c r="S595" s="13">
        <f t="shared" si="129"/>
        <v>2.701005025125628E-2</v>
      </c>
    </row>
    <row r="596" spans="1:19" x14ac:dyDescent="0.3">
      <c r="A596" s="4">
        <v>45827</v>
      </c>
      <c r="B596" s="2">
        <v>134</v>
      </c>
      <c r="C596" s="2">
        <v>294</v>
      </c>
      <c r="D596" s="2">
        <v>186</v>
      </c>
      <c r="E596">
        <v>7510</v>
      </c>
      <c r="F596">
        <v>136</v>
      </c>
      <c r="G596" s="2">
        <f t="shared" si="117"/>
        <v>7804</v>
      </c>
      <c r="H596">
        <f t="shared" si="118"/>
        <v>7374</v>
      </c>
      <c r="I596" s="13">
        <f t="shared" si="119"/>
        <v>-4.62435584486032E-2</v>
      </c>
      <c r="J596" t="str">
        <f t="shared" si="120"/>
        <v>No Backlog</v>
      </c>
      <c r="K596" s="13">
        <f t="shared" si="121"/>
        <v>0.94490005125576626</v>
      </c>
      <c r="L596" s="13">
        <f t="shared" si="122"/>
        <v>6.6143003587903637</v>
      </c>
      <c r="M596" s="13">
        <f t="shared" si="123"/>
        <v>28.347001537672988</v>
      </c>
      <c r="N596" t="b">
        <f t="shared" si="124"/>
        <v>1</v>
      </c>
      <c r="O596">
        <f t="shared" si="125"/>
        <v>25</v>
      </c>
      <c r="P596" s="13">
        <f t="shared" si="126"/>
        <v>0.94554944083256154</v>
      </c>
      <c r="Q596" s="13">
        <f t="shared" si="127"/>
        <v>0.94231261151170576</v>
      </c>
      <c r="R596" s="15" t="b">
        <f t="shared" si="128"/>
        <v>0</v>
      </c>
      <c r="S596" s="13">
        <f t="shared" si="129"/>
        <v>1.7426960533059969E-2</v>
      </c>
    </row>
    <row r="597" spans="1:19" x14ac:dyDescent="0.3">
      <c r="A597" s="4">
        <v>45830</v>
      </c>
      <c r="B597" s="2">
        <v>180</v>
      </c>
      <c r="C597" s="2">
        <v>280</v>
      </c>
      <c r="D597" s="2">
        <v>146</v>
      </c>
      <c r="E597">
        <v>7220</v>
      </c>
      <c r="F597">
        <v>187</v>
      </c>
      <c r="G597" s="2">
        <f t="shared" si="117"/>
        <v>7500</v>
      </c>
      <c r="H597">
        <f t="shared" si="118"/>
        <v>7033</v>
      </c>
      <c r="I597" s="13">
        <f t="shared" si="119"/>
        <v>-3.6542016209299019E-2</v>
      </c>
      <c r="J597" t="str">
        <f t="shared" si="120"/>
        <v>No Backlog</v>
      </c>
      <c r="K597" s="13">
        <f t="shared" si="121"/>
        <v>0.93773333333333331</v>
      </c>
      <c r="L597" s="13">
        <f t="shared" si="122"/>
        <v>6.5641333333333334</v>
      </c>
      <c r="M597" s="13">
        <f t="shared" si="123"/>
        <v>28.131999999999998</v>
      </c>
      <c r="N597" t="b">
        <f t="shared" si="124"/>
        <v>1</v>
      </c>
      <c r="O597">
        <f t="shared" si="125"/>
        <v>26</v>
      </c>
      <c r="P597" s="13">
        <f t="shared" si="126"/>
        <v>0.93654101566397285</v>
      </c>
      <c r="Q597" s="13">
        <f t="shared" si="127"/>
        <v>0.94019927094724776</v>
      </c>
      <c r="R597" s="15" t="b">
        <f t="shared" si="128"/>
        <v>0</v>
      </c>
      <c r="S597" s="13">
        <f t="shared" si="129"/>
        <v>2.4933333333333332E-2</v>
      </c>
    </row>
    <row r="598" spans="1:19" x14ac:dyDescent="0.3">
      <c r="A598" s="4">
        <v>45831</v>
      </c>
      <c r="B598" s="2">
        <v>108</v>
      </c>
      <c r="C598" s="2">
        <v>220</v>
      </c>
      <c r="D598" s="2">
        <v>213</v>
      </c>
      <c r="E598">
        <v>7052</v>
      </c>
      <c r="F598">
        <v>276</v>
      </c>
      <c r="G598" s="2">
        <f t="shared" si="117"/>
        <v>7272</v>
      </c>
      <c r="H598">
        <f t="shared" si="118"/>
        <v>6776</v>
      </c>
      <c r="I598" s="13">
        <f t="shared" si="119"/>
        <v>8.7072018890200706E-3</v>
      </c>
      <c r="J598" t="str">
        <f t="shared" si="120"/>
        <v>Backlog</v>
      </c>
      <c r="K598" s="13">
        <f t="shared" si="121"/>
        <v>0.93179317931793182</v>
      </c>
      <c r="L598" s="13">
        <f t="shared" si="122"/>
        <v>6.5225522552255226</v>
      </c>
      <c r="M598" s="13">
        <f t="shared" si="123"/>
        <v>27.953795379537954</v>
      </c>
      <c r="N598" t="b">
        <f t="shared" si="124"/>
        <v>1</v>
      </c>
      <c r="O598">
        <f t="shared" si="125"/>
        <v>26</v>
      </c>
      <c r="P598" s="13">
        <f t="shared" si="126"/>
        <v>0.93273892606651976</v>
      </c>
      <c r="Q598" s="13">
        <f t="shared" si="127"/>
        <v>0.93609009777382235</v>
      </c>
      <c r="R598" s="15" t="str">
        <f t="shared" si="128"/>
        <v>STRAIN</v>
      </c>
      <c r="S598" s="13">
        <f t="shared" si="129"/>
        <v>3.7953795379537955E-2</v>
      </c>
    </row>
    <row r="599" spans="1:19" x14ac:dyDescent="0.3">
      <c r="A599" s="4">
        <v>45832</v>
      </c>
      <c r="B599" s="2">
        <v>147</v>
      </c>
      <c r="C599" s="2">
        <v>276</v>
      </c>
      <c r="D599" s="2">
        <v>214</v>
      </c>
      <c r="E599">
        <v>7116</v>
      </c>
      <c r="F599">
        <v>281</v>
      </c>
      <c r="G599" s="2">
        <f t="shared" si="117"/>
        <v>7392</v>
      </c>
      <c r="H599">
        <f t="shared" si="118"/>
        <v>6835</v>
      </c>
      <c r="I599" s="13">
        <f t="shared" si="119"/>
        <v>-8.778346744696415E-3</v>
      </c>
      <c r="J599" t="str">
        <f t="shared" si="120"/>
        <v>No Backlog</v>
      </c>
      <c r="K599" s="13">
        <f t="shared" si="121"/>
        <v>0.92464826839826841</v>
      </c>
      <c r="L599" s="13">
        <f t="shared" si="122"/>
        <v>6.4725378787878789</v>
      </c>
      <c r="M599" s="13">
        <f t="shared" si="123"/>
        <v>27.739448051948052</v>
      </c>
      <c r="N599" t="b">
        <f t="shared" si="124"/>
        <v>1</v>
      </c>
      <c r="O599">
        <f t="shared" si="125"/>
        <v>26</v>
      </c>
      <c r="P599" s="13">
        <f t="shared" si="126"/>
        <v>0.93477509991256436</v>
      </c>
      <c r="Q599" s="13">
        <f t="shared" si="127"/>
        <v>0.92832320266676338</v>
      </c>
      <c r="R599" s="15" t="b">
        <f t="shared" si="128"/>
        <v>0</v>
      </c>
      <c r="S599" s="13">
        <f t="shared" si="129"/>
        <v>3.8014069264069264E-2</v>
      </c>
    </row>
    <row r="600" spans="1:19" x14ac:dyDescent="0.3">
      <c r="A600" s="4">
        <v>45833</v>
      </c>
      <c r="B600" s="2">
        <v>104</v>
      </c>
      <c r="C600" s="2">
        <v>230</v>
      </c>
      <c r="D600" s="2">
        <v>206</v>
      </c>
      <c r="E600">
        <v>7001</v>
      </c>
      <c r="F600">
        <v>226</v>
      </c>
      <c r="G600" s="2">
        <f t="shared" si="117"/>
        <v>7231</v>
      </c>
      <c r="H600">
        <f t="shared" si="118"/>
        <v>6775</v>
      </c>
      <c r="I600" s="13">
        <f t="shared" si="119"/>
        <v>-1.2103321033210332E-2</v>
      </c>
      <c r="J600" t="str">
        <f t="shared" si="120"/>
        <v>No Backlog</v>
      </c>
      <c r="K600" s="13">
        <f t="shared" si="121"/>
        <v>0.93693818282395247</v>
      </c>
      <c r="L600" s="13">
        <f t="shared" si="122"/>
        <v>6.5585672797676668</v>
      </c>
      <c r="M600" s="13">
        <f t="shared" si="123"/>
        <v>28.108145484718573</v>
      </c>
      <c r="N600" t="b">
        <f t="shared" si="124"/>
        <v>1</v>
      </c>
      <c r="O600">
        <f t="shared" si="125"/>
        <v>26</v>
      </c>
      <c r="P600" s="13">
        <f t="shared" si="126"/>
        <v>0.94173391119154126</v>
      </c>
      <c r="Q600" s="13">
        <f t="shared" si="127"/>
        <v>0.92047296988644289</v>
      </c>
      <c r="R600" s="15" t="b">
        <f t="shared" si="128"/>
        <v>0</v>
      </c>
      <c r="S600" s="13">
        <f t="shared" si="129"/>
        <v>3.1254321670584978E-2</v>
      </c>
    </row>
    <row r="601" spans="1:19" x14ac:dyDescent="0.3">
      <c r="A601" s="4">
        <v>45834</v>
      </c>
      <c r="B601" s="2">
        <v>174</v>
      </c>
      <c r="C601" s="2">
        <v>285</v>
      </c>
      <c r="D601" s="2">
        <v>150</v>
      </c>
      <c r="E601">
        <v>6874</v>
      </c>
      <c r="F601">
        <v>181</v>
      </c>
      <c r="G601" s="2">
        <f t="shared" si="117"/>
        <v>7159</v>
      </c>
      <c r="H601">
        <f t="shared" si="118"/>
        <v>6693</v>
      </c>
      <c r="I601" s="13">
        <f t="shared" si="119"/>
        <v>-3.3019572687882866E-2</v>
      </c>
      <c r="J601" t="str">
        <f t="shared" si="120"/>
        <v>No Backlog</v>
      </c>
      <c r="K601" s="13">
        <f t="shared" si="121"/>
        <v>0.93490710993155468</v>
      </c>
      <c r="L601" s="13">
        <f t="shared" si="122"/>
        <v>6.544349769520883</v>
      </c>
      <c r="M601" s="13">
        <f t="shared" si="123"/>
        <v>28.047213297946641</v>
      </c>
      <c r="N601" t="b">
        <f t="shared" si="124"/>
        <v>1</v>
      </c>
      <c r="O601">
        <f t="shared" si="125"/>
        <v>26</v>
      </c>
      <c r="P601" s="13">
        <f t="shared" si="126"/>
        <v>0.93692963697033316</v>
      </c>
      <c r="Q601" s="13">
        <f t="shared" si="127"/>
        <v>0.9334876803046388</v>
      </c>
      <c r="R601" s="15" t="b">
        <f t="shared" si="128"/>
        <v>0</v>
      </c>
      <c r="S601" s="13">
        <f t="shared" si="129"/>
        <v>2.5282860734739489E-2</v>
      </c>
    </row>
    <row r="602" spans="1:19" x14ac:dyDescent="0.3">
      <c r="A602" s="4">
        <v>45837</v>
      </c>
      <c r="B602" s="2">
        <v>113</v>
      </c>
      <c r="C602" s="2">
        <v>208</v>
      </c>
      <c r="D602" s="2">
        <v>159</v>
      </c>
      <c r="E602">
        <v>6632</v>
      </c>
      <c r="F602">
        <v>160</v>
      </c>
      <c r="G602" s="2">
        <f t="shared" si="117"/>
        <v>6840</v>
      </c>
      <c r="H602">
        <f t="shared" si="118"/>
        <v>6472</v>
      </c>
      <c r="I602" s="13">
        <f t="shared" si="119"/>
        <v>-3.4301606922126082E-2</v>
      </c>
      <c r="J602" t="str">
        <f t="shared" si="120"/>
        <v>No Backlog</v>
      </c>
      <c r="K602" s="13">
        <f t="shared" si="121"/>
        <v>0.94619883040935671</v>
      </c>
      <c r="L602" s="13">
        <f t="shared" si="122"/>
        <v>6.6233918128654974</v>
      </c>
      <c r="M602" s="13">
        <f t="shared" si="123"/>
        <v>28.385964912280702</v>
      </c>
      <c r="N602" t="b">
        <f t="shared" si="124"/>
        <v>1</v>
      </c>
      <c r="O602">
        <f t="shared" si="125"/>
        <v>27</v>
      </c>
      <c r="P602" s="13">
        <f t="shared" si="126"/>
        <v>0.94296200108850092</v>
      </c>
      <c r="Q602" s="13">
        <f t="shared" si="127"/>
        <v>0.94300906347831503</v>
      </c>
      <c r="R602" s="15" t="b">
        <f t="shared" si="128"/>
        <v>0</v>
      </c>
      <c r="S602" s="13">
        <f t="shared" si="129"/>
        <v>2.3391812865497075E-2</v>
      </c>
    </row>
    <row r="603" spans="1:19" x14ac:dyDescent="0.3">
      <c r="A603" s="4">
        <v>45838</v>
      </c>
      <c r="B603" s="2">
        <v>88</v>
      </c>
      <c r="C603" s="2">
        <v>214</v>
      </c>
      <c r="D603" s="2">
        <v>160</v>
      </c>
      <c r="E603">
        <v>6468</v>
      </c>
      <c r="F603">
        <v>218</v>
      </c>
      <c r="G603" s="2">
        <f t="shared" si="117"/>
        <v>6682</v>
      </c>
      <c r="H603">
        <f t="shared" si="118"/>
        <v>6250</v>
      </c>
      <c r="I603" s="13">
        <f t="shared" si="119"/>
        <v>2.0480000000000002E-2</v>
      </c>
      <c r="J603" t="str">
        <f t="shared" si="120"/>
        <v>Backlog</v>
      </c>
      <c r="K603" s="13">
        <f t="shared" si="121"/>
        <v>0.9353486979946124</v>
      </c>
      <c r="L603" s="13">
        <f t="shared" si="122"/>
        <v>6.5474408859622866</v>
      </c>
      <c r="M603" s="13">
        <f t="shared" si="123"/>
        <v>28.060460939838372</v>
      </c>
      <c r="N603" t="b">
        <f t="shared" si="124"/>
        <v>1</v>
      </c>
      <c r="O603">
        <f t="shared" si="125"/>
        <v>27</v>
      </c>
      <c r="P603" s="13">
        <f t="shared" si="126"/>
        <v>0.9390069532778873</v>
      </c>
      <c r="Q603" s="13">
        <f t="shared" si="127"/>
        <v>0.93673979999046808</v>
      </c>
      <c r="R603" s="15" t="str">
        <f t="shared" si="128"/>
        <v>STRAIN</v>
      </c>
      <c r="S603" s="13">
        <f t="shared" si="129"/>
        <v>3.2624962586052082E-2</v>
      </c>
    </row>
    <row r="604" spans="1:19" x14ac:dyDescent="0.3">
      <c r="A604" s="4">
        <v>45839</v>
      </c>
      <c r="B604" s="2">
        <v>130</v>
      </c>
      <c r="C604" s="2">
        <v>227</v>
      </c>
      <c r="D604" s="2">
        <v>192</v>
      </c>
      <c r="E604">
        <v>6604</v>
      </c>
      <c r="F604">
        <v>226</v>
      </c>
      <c r="G604" s="2">
        <f t="shared" si="117"/>
        <v>6831</v>
      </c>
      <c r="H604">
        <f t="shared" si="118"/>
        <v>6378</v>
      </c>
      <c r="I604" s="13">
        <f t="shared" si="119"/>
        <v>-1.050486045782377E-2</v>
      </c>
      <c r="J604" t="str">
        <f t="shared" si="120"/>
        <v>No Backlog</v>
      </c>
      <c r="K604" s="13">
        <f t="shared" si="121"/>
        <v>0.93368467281510759</v>
      </c>
      <c r="L604" s="13">
        <f t="shared" si="122"/>
        <v>6.5357927097057527</v>
      </c>
      <c r="M604" s="13">
        <f t="shared" si="123"/>
        <v>28.010540184453227</v>
      </c>
      <c r="N604" t="b">
        <f t="shared" si="124"/>
        <v>1</v>
      </c>
      <c r="O604">
        <f t="shared" si="125"/>
        <v>27</v>
      </c>
      <c r="P604" s="13">
        <f t="shared" si="126"/>
        <v>0.93703584452241029</v>
      </c>
      <c r="Q604" s="13">
        <f t="shared" si="127"/>
        <v>0.93122206658195328</v>
      </c>
      <c r="R604" s="15" t="b">
        <f t="shared" si="128"/>
        <v>0</v>
      </c>
      <c r="S604" s="13">
        <f t="shared" si="129"/>
        <v>3.3084467867076563E-2</v>
      </c>
    </row>
    <row r="605" spans="1:19" x14ac:dyDescent="0.3">
      <c r="A605" s="4">
        <v>45840</v>
      </c>
      <c r="B605" s="2">
        <v>84</v>
      </c>
      <c r="C605" s="2">
        <v>158</v>
      </c>
      <c r="D605" s="2">
        <v>193</v>
      </c>
      <c r="E605">
        <v>6521</v>
      </c>
      <c r="F605">
        <v>210</v>
      </c>
      <c r="G605" s="2">
        <f t="shared" si="117"/>
        <v>6679</v>
      </c>
      <c r="H605">
        <f t="shared" si="118"/>
        <v>6311</v>
      </c>
      <c r="I605" s="13">
        <f t="shared" si="119"/>
        <v>6.9719537315797815E-3</v>
      </c>
      <c r="J605" t="str">
        <f t="shared" si="120"/>
        <v>Backlog</v>
      </c>
      <c r="K605" s="13">
        <f t="shared" si="121"/>
        <v>0.9449019314268603</v>
      </c>
      <c r="L605" s="13">
        <f t="shared" si="122"/>
        <v>6.6143135199880216</v>
      </c>
      <c r="M605" s="13">
        <f t="shared" si="123"/>
        <v>28.347057942805808</v>
      </c>
      <c r="N605" t="b">
        <f t="shared" si="124"/>
        <v>0</v>
      </c>
      <c r="O605">
        <f t="shared" si="125"/>
        <v>27</v>
      </c>
      <c r="P605" s="13">
        <f t="shared" si="126"/>
        <v>0.93845003418105932</v>
      </c>
      <c r="Q605" s="13">
        <f t="shared" si="127"/>
        <v>0.9334159514731889</v>
      </c>
      <c r="R605" s="15" t="str">
        <f t="shared" si="128"/>
        <v>STRAIN</v>
      </c>
      <c r="S605" s="13">
        <f t="shared" si="129"/>
        <v>3.1441832609672107E-2</v>
      </c>
    </row>
    <row r="606" spans="1:19" x14ac:dyDescent="0.3">
      <c r="A606" s="4">
        <v>45844</v>
      </c>
      <c r="B606" s="2">
        <v>115</v>
      </c>
      <c r="C606" s="2">
        <v>216</v>
      </c>
      <c r="D606" s="2">
        <v>169</v>
      </c>
      <c r="E606">
        <v>6498</v>
      </c>
      <c r="F606">
        <v>143</v>
      </c>
      <c r="G606" s="2">
        <f t="shared" si="117"/>
        <v>6714</v>
      </c>
      <c r="H606">
        <f t="shared" si="118"/>
        <v>6355</v>
      </c>
      <c r="I606" s="13">
        <f t="shared" si="119"/>
        <v>-2.7065302911093627E-2</v>
      </c>
      <c r="J606" t="str">
        <f t="shared" si="120"/>
        <v>No Backlog</v>
      </c>
      <c r="K606" s="13">
        <f t="shared" si="121"/>
        <v>0.94652963955913016</v>
      </c>
      <c r="L606" s="13">
        <f t="shared" si="122"/>
        <v>6.6257074769139113</v>
      </c>
      <c r="M606" s="13">
        <f t="shared" si="123"/>
        <v>28.395889186773903</v>
      </c>
      <c r="N606" t="b">
        <f t="shared" si="124"/>
        <v>1</v>
      </c>
      <c r="O606">
        <f t="shared" si="125"/>
        <v>28</v>
      </c>
      <c r="P606" s="13">
        <f t="shared" si="126"/>
        <v>0.9252686982540318</v>
      </c>
      <c r="Q606" s="13">
        <f t="shared" si="127"/>
        <v>0.93764284885872495</v>
      </c>
      <c r="R606" s="15" t="b">
        <f t="shared" si="128"/>
        <v>0</v>
      </c>
      <c r="S606" s="13">
        <f t="shared" si="129"/>
        <v>2.1298778671432827E-2</v>
      </c>
    </row>
    <row r="607" spans="1:19" x14ac:dyDescent="0.3">
      <c r="A607" s="4">
        <v>45845</v>
      </c>
      <c r="B607" s="2">
        <v>167</v>
      </c>
      <c r="C607" s="2">
        <v>239</v>
      </c>
      <c r="D607" s="2">
        <v>166</v>
      </c>
      <c r="E607">
        <v>6346</v>
      </c>
      <c r="F607">
        <v>163</v>
      </c>
      <c r="G607" s="2">
        <f t="shared" si="117"/>
        <v>6585</v>
      </c>
      <c r="H607">
        <f t="shared" si="118"/>
        <v>6183</v>
      </c>
      <c r="I607" s="13">
        <f t="shared" si="119"/>
        <v>-2.6686074721009218E-2</v>
      </c>
      <c r="J607" t="str">
        <f t="shared" si="120"/>
        <v>No Backlog</v>
      </c>
      <c r="K607" s="13">
        <f t="shared" si="121"/>
        <v>0.93895216400911163</v>
      </c>
      <c r="L607" s="13">
        <f t="shared" si="122"/>
        <v>6.5726651480637814</v>
      </c>
      <c r="M607" s="13">
        <f t="shared" si="123"/>
        <v>28.168564920273347</v>
      </c>
      <c r="N607" t="b">
        <f t="shared" si="124"/>
        <v>1</v>
      </c>
      <c r="O607">
        <f t="shared" si="125"/>
        <v>28</v>
      </c>
      <c r="P607" s="13">
        <f t="shared" si="126"/>
        <v>0.93551020734341717</v>
      </c>
      <c r="Q607" s="13">
        <f t="shared" si="127"/>
        <v>0.94128059328275127</v>
      </c>
      <c r="R607" s="15" t="b">
        <f t="shared" si="128"/>
        <v>0</v>
      </c>
      <c r="S607" s="13">
        <f t="shared" si="129"/>
        <v>2.4753227031131361E-2</v>
      </c>
    </row>
    <row r="608" spans="1:19" x14ac:dyDescent="0.3">
      <c r="A608" s="4">
        <v>45846</v>
      </c>
      <c r="B608" s="2">
        <v>99</v>
      </c>
      <c r="C608" s="2">
        <v>190</v>
      </c>
      <c r="D608" s="2">
        <v>176</v>
      </c>
      <c r="E608">
        <v>6214</v>
      </c>
      <c r="F608">
        <v>196</v>
      </c>
      <c r="G608" s="2">
        <f t="shared" si="117"/>
        <v>6404</v>
      </c>
      <c r="H608">
        <f t="shared" si="118"/>
        <v>6018</v>
      </c>
      <c r="I608" s="13">
        <f t="shared" si="119"/>
        <v>2.6586905948820204E-3</v>
      </c>
      <c r="J608" t="str">
        <f t="shared" si="120"/>
        <v>Backlog</v>
      </c>
      <c r="K608" s="13">
        <f t="shared" si="121"/>
        <v>0.93972517176764525</v>
      </c>
      <c r="L608" s="13">
        <f t="shared" si="122"/>
        <v>6.5780762023735164</v>
      </c>
      <c r="M608" s="13">
        <f t="shared" si="123"/>
        <v>28.191755153029359</v>
      </c>
      <c r="N608" t="b">
        <f t="shared" si="124"/>
        <v>1</v>
      </c>
      <c r="O608">
        <f t="shared" si="125"/>
        <v>28</v>
      </c>
      <c r="P608" s="13">
        <f t="shared" si="126"/>
        <v>0.93977223415745925</v>
      </c>
      <c r="Q608" s="13">
        <f t="shared" si="127"/>
        <v>0.95416676584017646</v>
      </c>
      <c r="R608" s="15" t="str">
        <f t="shared" si="128"/>
        <v>STRAIN</v>
      </c>
      <c r="S608" s="13">
        <f t="shared" si="129"/>
        <v>3.0605871330418487E-2</v>
      </c>
    </row>
    <row r="609" spans="1:19" x14ac:dyDescent="0.3">
      <c r="A609" s="4">
        <v>45847</v>
      </c>
      <c r="B609" s="2">
        <v>101</v>
      </c>
      <c r="C609" s="2">
        <v>162</v>
      </c>
      <c r="D609" s="2">
        <v>178</v>
      </c>
      <c r="E609">
        <v>6239</v>
      </c>
      <c r="F609">
        <v>205</v>
      </c>
      <c r="G609" s="2">
        <f t="shared" si="117"/>
        <v>6401</v>
      </c>
      <c r="H609">
        <f t="shared" si="118"/>
        <v>6034</v>
      </c>
      <c r="I609" s="13">
        <f t="shared" si="119"/>
        <v>-1.325820351342393E-3</v>
      </c>
      <c r="J609" t="str">
        <f t="shared" si="120"/>
        <v>No Backlog</v>
      </c>
      <c r="K609" s="13">
        <f t="shared" si="121"/>
        <v>0.94266520856116232</v>
      </c>
      <c r="L609" s="13">
        <f t="shared" si="122"/>
        <v>6.5986564599281365</v>
      </c>
      <c r="M609" s="13">
        <f t="shared" si="123"/>
        <v>28.279956256834868</v>
      </c>
      <c r="N609" t="b">
        <f t="shared" si="124"/>
        <v>0</v>
      </c>
      <c r="O609">
        <f t="shared" si="125"/>
        <v>28</v>
      </c>
      <c r="P609" s="13">
        <f t="shared" si="126"/>
        <v>0.94039805527374298</v>
      </c>
      <c r="Q609" s="13">
        <f t="shared" si="127"/>
        <v>0.95449141754410649</v>
      </c>
      <c r="R609" s="15" t="b">
        <f t="shared" si="128"/>
        <v>0</v>
      </c>
      <c r="S609" s="13">
        <f t="shared" si="129"/>
        <v>3.2026245899078272E-2</v>
      </c>
    </row>
    <row r="610" spans="1:19" x14ac:dyDescent="0.3">
      <c r="A610" s="4">
        <v>45848</v>
      </c>
      <c r="B610" s="2">
        <v>107</v>
      </c>
      <c r="C610" s="2">
        <v>215</v>
      </c>
      <c r="D610" s="2">
        <v>230</v>
      </c>
      <c r="E610">
        <v>6193</v>
      </c>
      <c r="F610">
        <v>167</v>
      </c>
      <c r="G610" s="2">
        <f t="shared" si="117"/>
        <v>6408</v>
      </c>
      <c r="H610">
        <f t="shared" si="118"/>
        <v>6026</v>
      </c>
      <c r="I610" s="13">
        <f t="shared" si="119"/>
        <v>-3.8167938931297708E-3</v>
      </c>
      <c r="J610" t="str">
        <f t="shared" si="120"/>
        <v>No Backlog</v>
      </c>
      <c r="K610" s="13">
        <f t="shared" si="121"/>
        <v>0.94038701622971288</v>
      </c>
      <c r="L610" s="13">
        <f t="shared" si="122"/>
        <v>6.58270911360799</v>
      </c>
      <c r="M610" s="13">
        <f t="shared" si="123"/>
        <v>28.211610486891388</v>
      </c>
      <c r="N610" t="b">
        <f t="shared" si="124"/>
        <v>0</v>
      </c>
      <c r="O610">
        <f t="shared" si="125"/>
        <v>28</v>
      </c>
      <c r="P610" s="13">
        <f t="shared" si="126"/>
        <v>0.93457323828925598</v>
      </c>
      <c r="Q610" s="13">
        <f t="shared" si="127"/>
        <v>0.94181137168429863</v>
      </c>
      <c r="R610" s="15" t="b">
        <f t="shared" si="128"/>
        <v>0</v>
      </c>
      <c r="S610" s="13">
        <f t="shared" si="129"/>
        <v>2.6061173533083647E-2</v>
      </c>
    </row>
    <row r="611" spans="1:19" x14ac:dyDescent="0.3">
      <c r="A611" s="4">
        <v>45851</v>
      </c>
      <c r="B611" s="2">
        <v>184</v>
      </c>
      <c r="C611" s="2">
        <v>314</v>
      </c>
      <c r="D611" s="2">
        <v>217</v>
      </c>
      <c r="E611">
        <v>6127</v>
      </c>
      <c r="F611">
        <v>124</v>
      </c>
      <c r="G611" s="2">
        <f t="shared" si="117"/>
        <v>6441</v>
      </c>
      <c r="H611">
        <f t="shared" si="118"/>
        <v>6003</v>
      </c>
      <c r="I611" s="13">
        <f t="shared" si="119"/>
        <v>-6.8132600366483428E-2</v>
      </c>
      <c r="J611" t="str">
        <f t="shared" si="120"/>
        <v>No Backlog</v>
      </c>
      <c r="K611" s="13">
        <f t="shared" si="121"/>
        <v>0.93199813693525846</v>
      </c>
      <c r="L611" s="13">
        <f t="shared" si="122"/>
        <v>6.5239869585468089</v>
      </c>
      <c r="M611" s="13">
        <f t="shared" si="123"/>
        <v>27.959944108057755</v>
      </c>
      <c r="N611" t="b">
        <f t="shared" si="124"/>
        <v>1</v>
      </c>
      <c r="O611">
        <f t="shared" si="125"/>
        <v>29</v>
      </c>
      <c r="P611" s="13">
        <f t="shared" si="126"/>
        <v>0.92696405422738803</v>
      </c>
      <c r="Q611" s="13">
        <f t="shared" si="127"/>
        <v>0.94457745210930399</v>
      </c>
      <c r="R611" s="15" t="b">
        <f t="shared" si="128"/>
        <v>0</v>
      </c>
      <c r="S611" s="13">
        <f t="shared" si="129"/>
        <v>1.9251668995497594E-2</v>
      </c>
    </row>
    <row r="612" spans="1:19" x14ac:dyDescent="0.3">
      <c r="A612" s="4">
        <v>45852</v>
      </c>
      <c r="B612" s="2">
        <v>209</v>
      </c>
      <c r="C612" s="2">
        <v>285</v>
      </c>
      <c r="D612" s="2">
        <v>184</v>
      </c>
      <c r="E612">
        <v>5903</v>
      </c>
      <c r="F612">
        <v>309</v>
      </c>
      <c r="G612" s="2">
        <f t="shared" si="117"/>
        <v>6188</v>
      </c>
      <c r="H612">
        <f t="shared" si="118"/>
        <v>5594</v>
      </c>
      <c r="I612" s="13">
        <f t="shared" si="119"/>
        <v>4.4869503038970325E-2</v>
      </c>
      <c r="J612" t="str">
        <f t="shared" si="120"/>
        <v>Backlog</v>
      </c>
      <c r="K612" s="13">
        <f t="shared" si="121"/>
        <v>0.90400775694893343</v>
      </c>
      <c r="L612" s="13">
        <f t="shared" si="122"/>
        <v>6.3280542986425337</v>
      </c>
      <c r="M612" s="13">
        <f t="shared" si="123"/>
        <v>27.120232708468002</v>
      </c>
      <c r="N612" t="b">
        <f t="shared" si="124"/>
        <v>1</v>
      </c>
      <c r="O612">
        <f t="shared" si="125"/>
        <v>29</v>
      </c>
      <c r="P612" s="13">
        <f t="shared" si="126"/>
        <v>0.91638190755362658</v>
      </c>
      <c r="Q612" s="13">
        <f t="shared" si="127"/>
        <v>0.93486102133160953</v>
      </c>
      <c r="R612" s="15" t="str">
        <f t="shared" si="128"/>
        <v>STRAIN</v>
      </c>
      <c r="S612" s="13">
        <f t="shared" si="129"/>
        <v>4.9935358758888174E-2</v>
      </c>
    </row>
    <row r="613" spans="1:19" x14ac:dyDescent="0.3">
      <c r="A613" s="4">
        <v>45853</v>
      </c>
      <c r="B613" s="2">
        <v>81</v>
      </c>
      <c r="C613" s="2">
        <v>213</v>
      </c>
      <c r="D613" s="2">
        <v>153</v>
      </c>
      <c r="E613">
        <v>6058</v>
      </c>
      <c r="F613">
        <v>213</v>
      </c>
      <c r="G613" s="2">
        <f t="shared" si="117"/>
        <v>6271</v>
      </c>
      <c r="H613">
        <f t="shared" si="118"/>
        <v>5845</v>
      </c>
      <c r="I613" s="13">
        <f t="shared" si="119"/>
        <v>-3.4217279726261761E-3</v>
      </c>
      <c r="J613" t="str">
        <f t="shared" si="120"/>
        <v>No Backlog</v>
      </c>
      <c r="K613" s="13">
        <f t="shared" si="121"/>
        <v>0.93206825067772281</v>
      </c>
      <c r="L613" s="13">
        <f t="shared" si="122"/>
        <v>6.5244777547440593</v>
      </c>
      <c r="M613" s="13">
        <f t="shared" si="123"/>
        <v>27.962047520331684</v>
      </c>
      <c r="N613" t="b">
        <f t="shared" si="124"/>
        <v>1</v>
      </c>
      <c r="O613">
        <f t="shared" si="125"/>
        <v>29</v>
      </c>
      <c r="P613" s="13">
        <f t="shared" si="126"/>
        <v>0.93783863661705691</v>
      </c>
      <c r="Q613" s="13">
        <f t="shared" si="127"/>
        <v>0.94200741089025408</v>
      </c>
      <c r="R613" s="15" t="b">
        <f t="shared" si="128"/>
        <v>0</v>
      </c>
      <c r="S613" s="13">
        <f t="shared" si="129"/>
        <v>3.3965874661138575E-2</v>
      </c>
    </row>
    <row r="614" spans="1:19" x14ac:dyDescent="0.3">
      <c r="A614" s="4">
        <v>45854</v>
      </c>
      <c r="B614" s="2">
        <v>91</v>
      </c>
      <c r="C614" s="2">
        <v>199</v>
      </c>
      <c r="D614" s="2">
        <v>172</v>
      </c>
      <c r="E614">
        <v>5999</v>
      </c>
      <c r="F614">
        <v>174</v>
      </c>
      <c r="G614" s="2">
        <f t="shared" si="117"/>
        <v>6198</v>
      </c>
      <c r="H614">
        <f t="shared" si="118"/>
        <v>5825</v>
      </c>
      <c r="I614" s="13">
        <f t="shared" si="119"/>
        <v>-1.0815450643776824E-2</v>
      </c>
      <c r="J614" t="str">
        <f t="shared" si="120"/>
        <v>No Backlog</v>
      </c>
      <c r="K614" s="13">
        <f t="shared" si="121"/>
        <v>0.93981929654727336</v>
      </c>
      <c r="L614" s="13">
        <f t="shared" si="122"/>
        <v>6.5787350758309131</v>
      </c>
      <c r="M614" s="13">
        <f t="shared" si="123"/>
        <v>28.1945788964182</v>
      </c>
      <c r="N614" t="b">
        <f t="shared" si="124"/>
        <v>1</v>
      </c>
      <c r="O614">
        <f t="shared" si="125"/>
        <v>29</v>
      </c>
      <c r="P614" s="13">
        <f t="shared" si="126"/>
        <v>0.95421382822999057</v>
      </c>
      <c r="Q614" s="13">
        <f t="shared" si="127"/>
        <v>0.93824866434767462</v>
      </c>
      <c r="R614" s="15" t="b">
        <f t="shared" si="128"/>
        <v>0</v>
      </c>
      <c r="S614" s="13">
        <f t="shared" si="129"/>
        <v>2.8073572120038724E-2</v>
      </c>
    </row>
    <row r="615" spans="1:19" x14ac:dyDescent="0.3">
      <c r="A615" s="4">
        <v>45855</v>
      </c>
      <c r="B615" s="2">
        <v>154</v>
      </c>
      <c r="C615" s="2">
        <v>225</v>
      </c>
      <c r="D615" s="2">
        <v>220</v>
      </c>
      <c r="E615">
        <v>5917</v>
      </c>
      <c r="F615">
        <v>155</v>
      </c>
      <c r="G615" s="2">
        <f t="shared" si="117"/>
        <v>6142</v>
      </c>
      <c r="H615">
        <f t="shared" si="118"/>
        <v>5762</v>
      </c>
      <c r="I615" s="13">
        <f t="shared" si="119"/>
        <v>-2.0305449496702533E-2</v>
      </c>
      <c r="J615" t="str">
        <f t="shared" si="120"/>
        <v>No Backlog</v>
      </c>
      <c r="K615" s="13">
        <f t="shared" si="121"/>
        <v>0.93813090198632365</v>
      </c>
      <c r="L615" s="13">
        <f t="shared" si="122"/>
        <v>6.5669163139042652</v>
      </c>
      <c r="M615" s="13">
        <f t="shared" si="123"/>
        <v>28.143927059589711</v>
      </c>
      <c r="N615" t="b">
        <f t="shared" si="124"/>
        <v>1</v>
      </c>
      <c r="O615">
        <f t="shared" si="125"/>
        <v>29</v>
      </c>
      <c r="P615" s="13">
        <f t="shared" si="126"/>
        <v>0.95222426425668716</v>
      </c>
      <c r="Q615" s="13">
        <f t="shared" si="127"/>
        <v>0.93511483370921122</v>
      </c>
      <c r="R615" s="15" t="b">
        <f t="shared" si="128"/>
        <v>0</v>
      </c>
      <c r="S615" s="13">
        <f t="shared" si="129"/>
        <v>2.5236079452946925E-2</v>
      </c>
    </row>
    <row r="616" spans="1:19" x14ac:dyDescent="0.3">
      <c r="A616" s="4">
        <v>45859</v>
      </c>
      <c r="B616" s="2">
        <v>186</v>
      </c>
      <c r="C616" s="2">
        <v>259</v>
      </c>
      <c r="D616" s="2">
        <v>172</v>
      </c>
      <c r="E616">
        <v>5819</v>
      </c>
      <c r="F616">
        <v>174</v>
      </c>
      <c r="G616" s="2">
        <f t="shared" si="117"/>
        <v>6078</v>
      </c>
      <c r="H616">
        <f t="shared" si="118"/>
        <v>5645</v>
      </c>
      <c r="I616" s="13">
        <f t="shared" si="119"/>
        <v>-2.5155004428697964E-2</v>
      </c>
      <c r="J616" t="str">
        <f t="shared" si="120"/>
        <v>No Backlog</v>
      </c>
      <c r="K616" s="13">
        <f t="shared" si="121"/>
        <v>0.92875946034879897</v>
      </c>
      <c r="L616" s="13">
        <f t="shared" si="122"/>
        <v>6.5013162224415932</v>
      </c>
      <c r="M616" s="13">
        <f t="shared" si="123"/>
        <v>27.86278381046397</v>
      </c>
      <c r="N616" t="b">
        <f t="shared" si="124"/>
        <v>1</v>
      </c>
      <c r="O616">
        <f t="shared" si="125"/>
        <v>30</v>
      </c>
      <c r="P616" s="13">
        <f t="shared" si="126"/>
        <v>0.93599759374384162</v>
      </c>
      <c r="Q616" s="13">
        <f t="shared" si="127"/>
        <v>0.93653924860931292</v>
      </c>
      <c r="R616" s="15" t="b">
        <f t="shared" si="128"/>
        <v>0</v>
      </c>
      <c r="S616" s="13">
        <f t="shared" si="129"/>
        <v>2.8627838104639685E-2</v>
      </c>
    </row>
    <row r="617" spans="1:19" x14ac:dyDescent="0.3">
      <c r="A617" s="4">
        <v>45860</v>
      </c>
      <c r="B617" s="2">
        <v>92</v>
      </c>
      <c r="C617" s="2">
        <v>203</v>
      </c>
      <c r="D617" s="2">
        <v>173</v>
      </c>
      <c r="E617">
        <v>5766</v>
      </c>
      <c r="F617">
        <v>263</v>
      </c>
      <c r="G617" s="2">
        <f t="shared" si="117"/>
        <v>5969</v>
      </c>
      <c r="H617">
        <f t="shared" si="118"/>
        <v>5503</v>
      </c>
      <c r="I617" s="13">
        <f t="shared" si="119"/>
        <v>4.4702889333091043E-2</v>
      </c>
      <c r="J617" t="str">
        <f t="shared" si="120"/>
        <v>Backlog</v>
      </c>
      <c r="K617" s="13">
        <f t="shared" si="121"/>
        <v>0.9219299715195175</v>
      </c>
      <c r="L617" s="13">
        <f t="shared" si="122"/>
        <v>6.4535098006366223</v>
      </c>
      <c r="M617" s="13">
        <f t="shared" si="123"/>
        <v>27.657899145585525</v>
      </c>
      <c r="N617" t="b">
        <f t="shared" si="124"/>
        <v>1</v>
      </c>
      <c r="O617">
        <f t="shared" si="125"/>
        <v>30</v>
      </c>
      <c r="P617" s="13">
        <f t="shared" si="126"/>
        <v>0.93954336940143346</v>
      </c>
      <c r="Q617" s="13">
        <f t="shared" si="127"/>
        <v>0.93751806175493368</v>
      </c>
      <c r="R617" s="15" t="str">
        <f t="shared" si="128"/>
        <v>STRAIN</v>
      </c>
      <c r="S617" s="13">
        <f t="shared" si="129"/>
        <v>4.4060981738984754E-2</v>
      </c>
    </row>
    <row r="618" spans="1:19" x14ac:dyDescent="0.3">
      <c r="A618" s="4">
        <v>45861</v>
      </c>
      <c r="B618" s="2">
        <v>124</v>
      </c>
      <c r="C618" s="2">
        <v>234</v>
      </c>
      <c r="D618" s="2">
        <v>161</v>
      </c>
      <c r="E618">
        <v>5956</v>
      </c>
      <c r="F618">
        <v>207</v>
      </c>
      <c r="G618" s="2">
        <f t="shared" si="117"/>
        <v>6190</v>
      </c>
      <c r="H618">
        <f t="shared" si="118"/>
        <v>5749</v>
      </c>
      <c r="I618" s="13">
        <f t="shared" si="119"/>
        <v>4.1746390676639412E-3</v>
      </c>
      <c r="J618" t="str">
        <f t="shared" si="120"/>
        <v>Backlog</v>
      </c>
      <c r="K618" s="13">
        <f t="shared" si="121"/>
        <v>0.92875605815831985</v>
      </c>
      <c r="L618" s="13">
        <f t="shared" si="122"/>
        <v>6.501292407108239</v>
      </c>
      <c r="M618" s="13">
        <f t="shared" si="123"/>
        <v>27.862681744749594</v>
      </c>
      <c r="N618" t="b">
        <f t="shared" si="124"/>
        <v>1</v>
      </c>
      <c r="O618">
        <f t="shared" si="125"/>
        <v>30</v>
      </c>
      <c r="P618" s="13">
        <f t="shared" si="126"/>
        <v>0.9472351719363028</v>
      </c>
      <c r="Q618" s="13">
        <f t="shared" si="127"/>
        <v>0.94205525381520827</v>
      </c>
      <c r="R618" s="15" t="str">
        <f t="shared" si="128"/>
        <v>STRAIN</v>
      </c>
      <c r="S618" s="13">
        <f t="shared" si="129"/>
        <v>3.3441033925686592E-2</v>
      </c>
    </row>
    <row r="619" spans="1:19" x14ac:dyDescent="0.3">
      <c r="A619" s="4">
        <v>45862</v>
      </c>
      <c r="B619" s="2">
        <v>93</v>
      </c>
      <c r="C619" s="2">
        <v>196</v>
      </c>
      <c r="D619" s="2">
        <v>169</v>
      </c>
      <c r="E619">
        <v>5922</v>
      </c>
      <c r="F619">
        <v>149</v>
      </c>
      <c r="G619" s="2">
        <f t="shared" si="117"/>
        <v>6118</v>
      </c>
      <c r="H619">
        <f t="shared" si="118"/>
        <v>5773</v>
      </c>
      <c r="I619" s="13">
        <f t="shared" si="119"/>
        <v>-5.1966048848085919E-4</v>
      </c>
      <c r="J619" t="str">
        <f t="shared" si="120"/>
        <v>No Backlog</v>
      </c>
      <c r="K619" s="13">
        <f t="shared" si="121"/>
        <v>0.94360902255639101</v>
      </c>
      <c r="L619" s="13">
        <f t="shared" si="122"/>
        <v>6.6052631578947372</v>
      </c>
      <c r="M619" s="13">
        <f t="shared" si="123"/>
        <v>28.30827067669173</v>
      </c>
      <c r="N619" t="b">
        <f t="shared" si="124"/>
        <v>1</v>
      </c>
      <c r="O619">
        <f t="shared" si="125"/>
        <v>30</v>
      </c>
      <c r="P619" s="13">
        <f t="shared" si="126"/>
        <v>0.94777779682958818</v>
      </c>
      <c r="Q619" s="13">
        <f t="shared" si="127"/>
        <v>0.94214094864677467</v>
      </c>
      <c r="R619" s="15" t="b">
        <f t="shared" si="128"/>
        <v>0</v>
      </c>
      <c r="S619" s="13">
        <f t="shared" si="129"/>
        <v>2.4354364171297809E-2</v>
      </c>
    </row>
    <row r="620" spans="1:19" x14ac:dyDescent="0.3">
      <c r="A620" s="4">
        <v>45865</v>
      </c>
      <c r="B620" s="2">
        <v>33</v>
      </c>
      <c r="C620" s="2">
        <v>53</v>
      </c>
      <c r="D620" s="2">
        <v>34</v>
      </c>
      <c r="E620">
        <v>5904</v>
      </c>
      <c r="F620">
        <v>134</v>
      </c>
      <c r="G620" s="2">
        <f t="shared" si="117"/>
        <v>5957</v>
      </c>
      <c r="H620">
        <f t="shared" si="118"/>
        <v>5770</v>
      </c>
      <c r="I620" s="13">
        <f t="shared" si="119"/>
        <v>-4.0381282495667248E-2</v>
      </c>
      <c r="J620" t="str">
        <f t="shared" si="120"/>
        <v>No Backlog</v>
      </c>
      <c r="K620" s="13">
        <f t="shared" si="121"/>
        <v>0.96860835991270777</v>
      </c>
      <c r="L620" s="13">
        <f t="shared" si="122"/>
        <v>6.7802585193889549</v>
      </c>
      <c r="M620" s="13">
        <f t="shared" si="123"/>
        <v>29.058250797381234</v>
      </c>
      <c r="N620" t="b">
        <f t="shared" si="124"/>
        <v>1</v>
      </c>
      <c r="O620">
        <f t="shared" si="125"/>
        <v>31</v>
      </c>
      <c r="P620" s="13">
        <f t="shared" si="126"/>
        <v>0.95264319603039183</v>
      </c>
      <c r="Q620" s="13">
        <f t="shared" si="127"/>
        <v>0.95825957239000714</v>
      </c>
      <c r="R620" s="15" t="b">
        <f t="shared" si="128"/>
        <v>0</v>
      </c>
      <c r="S620" s="13">
        <f t="shared" si="129"/>
        <v>2.2494544233674668E-2</v>
      </c>
    </row>
    <row r="621" spans="1:19" x14ac:dyDescent="0.3">
      <c r="A621" s="4">
        <v>45866</v>
      </c>
      <c r="B621" s="2">
        <v>29</v>
      </c>
      <c r="C621" s="2">
        <v>51</v>
      </c>
      <c r="D621" s="2">
        <v>11</v>
      </c>
      <c r="E621">
        <v>5679</v>
      </c>
      <c r="F621">
        <v>142</v>
      </c>
      <c r="G621" s="2">
        <f t="shared" si="117"/>
        <v>5730</v>
      </c>
      <c r="H621">
        <f t="shared" si="118"/>
        <v>5537</v>
      </c>
      <c r="I621" s="13">
        <f t="shared" si="119"/>
        <v>4.1358136174823909E-2</v>
      </c>
      <c r="J621" t="str">
        <f t="shared" si="120"/>
        <v>Backlog</v>
      </c>
      <c r="K621" s="13">
        <f t="shared" si="121"/>
        <v>0.96631762652705067</v>
      </c>
      <c r="L621" s="13">
        <f t="shared" si="122"/>
        <v>6.7642233856893546</v>
      </c>
      <c r="M621" s="13">
        <f t="shared" si="123"/>
        <v>28.98952879581152</v>
      </c>
      <c r="N621" t="b">
        <f t="shared" si="124"/>
        <v>1</v>
      </c>
      <c r="O621">
        <f t="shared" si="125"/>
        <v>31</v>
      </c>
      <c r="P621" s="13">
        <f t="shared" si="126"/>
        <v>0.94920819597957473</v>
      </c>
      <c r="Q621" s="13">
        <f t="shared" si="127"/>
        <v>0.96283076055078176</v>
      </c>
      <c r="R621" s="15" t="str">
        <f t="shared" si="128"/>
        <v>STRAIN</v>
      </c>
      <c r="S621" s="13">
        <f t="shared" si="129"/>
        <v>2.4781849912739965E-2</v>
      </c>
    </row>
    <row r="622" spans="1:19" x14ac:dyDescent="0.3">
      <c r="A622" s="4">
        <v>45867</v>
      </c>
      <c r="B622" s="2">
        <v>91</v>
      </c>
      <c r="C622" s="2">
        <v>75</v>
      </c>
      <c r="D622" s="2">
        <v>97</v>
      </c>
      <c r="E622">
        <v>6038</v>
      </c>
      <c r="F622">
        <v>272</v>
      </c>
      <c r="G622" s="2">
        <f t="shared" si="117"/>
        <v>6113</v>
      </c>
      <c r="H622">
        <f t="shared" si="118"/>
        <v>5766</v>
      </c>
      <c r="I622" s="13">
        <f t="shared" si="119"/>
        <v>2.2892819979188347E-2</v>
      </c>
      <c r="J622" t="str">
        <f t="shared" si="120"/>
        <v>Backlog</v>
      </c>
      <c r="K622" s="13">
        <f t="shared" si="121"/>
        <v>0.94323572713888437</v>
      </c>
      <c r="L622" s="13">
        <f t="shared" si="122"/>
        <v>6.6026500899721903</v>
      </c>
      <c r="M622" s="13">
        <f t="shared" si="123"/>
        <v>28.297071814166532</v>
      </c>
      <c r="N622" t="b">
        <f t="shared" si="124"/>
        <v>0</v>
      </c>
      <c r="O622">
        <f t="shared" si="125"/>
        <v>31</v>
      </c>
      <c r="P622" s="13">
        <f t="shared" si="126"/>
        <v>0.94377738200435568</v>
      </c>
      <c r="Q622" s="13">
        <f t="shared" si="127"/>
        <v>0.95401371151445558</v>
      </c>
      <c r="R622" s="15" t="str">
        <f t="shared" si="128"/>
        <v>STRAIN</v>
      </c>
      <c r="S622" s="13">
        <f t="shared" si="129"/>
        <v>4.4495337804678556E-2</v>
      </c>
    </row>
    <row r="623" spans="1:19" x14ac:dyDescent="0.3">
      <c r="A623" s="4">
        <v>45868</v>
      </c>
      <c r="B623" s="2">
        <v>62</v>
      </c>
      <c r="C623" s="2">
        <v>97</v>
      </c>
      <c r="D623" s="2">
        <v>52</v>
      </c>
      <c r="E623">
        <v>6065</v>
      </c>
      <c r="F623">
        <v>167</v>
      </c>
      <c r="G623" s="2">
        <f t="shared" si="117"/>
        <v>6162</v>
      </c>
      <c r="H623">
        <f t="shared" si="118"/>
        <v>5898</v>
      </c>
      <c r="I623" s="13">
        <f t="shared" si="119"/>
        <v>2.8823329942353339E-3</v>
      </c>
      <c r="J623" t="str">
        <f t="shared" si="120"/>
        <v>Backlog</v>
      </c>
      <c r="K623" s="13">
        <f t="shared" si="121"/>
        <v>0.95715676728334953</v>
      </c>
      <c r="L623" s="13">
        <f t="shared" si="122"/>
        <v>6.700097370983447</v>
      </c>
      <c r="M623" s="13">
        <f t="shared" si="123"/>
        <v>28.714703018500487</v>
      </c>
      <c r="N623" t="b">
        <f t="shared" si="124"/>
        <v>1</v>
      </c>
      <c r="O623">
        <f t="shared" si="125"/>
        <v>31</v>
      </c>
      <c r="P623" s="13">
        <f t="shared" si="126"/>
        <v>0.95513145963684964</v>
      </c>
      <c r="Q623" s="13">
        <f t="shared" si="127"/>
        <v>0.95965831561446391</v>
      </c>
      <c r="R623" s="15" t="str">
        <f t="shared" si="128"/>
        <v>STRAIN</v>
      </c>
      <c r="S623" s="13">
        <f t="shared" si="129"/>
        <v>2.7101590392729632E-2</v>
      </c>
    </row>
    <row r="624" spans="1:19" x14ac:dyDescent="0.3">
      <c r="A624" s="4">
        <v>45869</v>
      </c>
      <c r="B624" s="2">
        <v>59</v>
      </c>
      <c r="C624" s="2">
        <v>64</v>
      </c>
      <c r="D624" s="2">
        <v>117</v>
      </c>
      <c r="E624">
        <v>6061</v>
      </c>
      <c r="F624">
        <v>146</v>
      </c>
      <c r="G624" s="2">
        <f t="shared" si="117"/>
        <v>6125</v>
      </c>
      <c r="H624">
        <f t="shared" si="118"/>
        <v>5915</v>
      </c>
      <c r="I624" s="13">
        <f t="shared" si="119"/>
        <v>-1.2003381234150465E-2</v>
      </c>
      <c r="J624" t="str">
        <f t="shared" si="120"/>
        <v>No Backlog</v>
      </c>
      <c r="K624" s="13">
        <f t="shared" si="121"/>
        <v>0.96571428571428575</v>
      </c>
      <c r="L624" s="13">
        <f t="shared" si="122"/>
        <v>6.76</v>
      </c>
      <c r="M624" s="13">
        <f t="shared" si="123"/>
        <v>28.971428571428572</v>
      </c>
      <c r="N624" t="b">
        <f t="shared" si="124"/>
        <v>0</v>
      </c>
      <c r="O624">
        <f t="shared" si="125"/>
        <v>31</v>
      </c>
      <c r="P624" s="13">
        <f t="shared" si="126"/>
        <v>0.96053436759319122</v>
      </c>
      <c r="Q624" s="13">
        <f t="shared" si="127"/>
        <v>0.95129132057075361</v>
      </c>
      <c r="R624" s="15" t="b">
        <f t="shared" si="128"/>
        <v>0</v>
      </c>
      <c r="S624" s="13">
        <f t="shared" si="129"/>
        <v>2.3836734693877551E-2</v>
      </c>
    </row>
    <row r="625" spans="1:19" x14ac:dyDescent="0.3">
      <c r="A625" s="4">
        <v>45872</v>
      </c>
      <c r="B625" s="2">
        <v>84</v>
      </c>
      <c r="C625" s="2">
        <v>118</v>
      </c>
      <c r="D625" s="2">
        <v>136</v>
      </c>
      <c r="E625">
        <v>6021</v>
      </c>
      <c r="F625">
        <v>177</v>
      </c>
      <c r="G625" s="2">
        <f t="shared" si="117"/>
        <v>6139</v>
      </c>
      <c r="H625">
        <f t="shared" si="118"/>
        <v>5844</v>
      </c>
      <c r="I625" s="13">
        <f t="shared" si="119"/>
        <v>-1.2833675564681724E-2</v>
      </c>
      <c r="J625" t="str">
        <f t="shared" si="120"/>
        <v>No Backlog</v>
      </c>
      <c r="K625" s="13">
        <f t="shared" si="121"/>
        <v>0.95194657110278547</v>
      </c>
      <c r="L625" s="13">
        <f t="shared" si="122"/>
        <v>6.6636259977194978</v>
      </c>
      <c r="M625" s="13">
        <f t="shared" si="123"/>
        <v>28.558397133083563</v>
      </c>
      <c r="N625" t="b">
        <f t="shared" si="124"/>
        <v>0</v>
      </c>
      <c r="O625">
        <f t="shared" si="125"/>
        <v>32</v>
      </c>
      <c r="P625" s="13">
        <f t="shared" si="126"/>
        <v>0.94630972291997195</v>
      </c>
      <c r="Q625" s="13">
        <f t="shared" si="127"/>
        <v>0.953733923165482</v>
      </c>
      <c r="R625" s="15" t="b">
        <f t="shared" si="128"/>
        <v>0</v>
      </c>
      <c r="S625" s="13">
        <f t="shared" si="129"/>
        <v>2.8832057338328717E-2</v>
      </c>
    </row>
    <row r="626" spans="1:19" x14ac:dyDescent="0.3">
      <c r="A626" s="4">
        <v>45873</v>
      </c>
      <c r="B626" s="2">
        <v>86</v>
      </c>
      <c r="C626" s="2">
        <v>152</v>
      </c>
      <c r="D626" s="2">
        <v>168</v>
      </c>
      <c r="E626">
        <v>6007</v>
      </c>
      <c r="F626">
        <v>238</v>
      </c>
      <c r="G626" s="2">
        <f t="shared" si="117"/>
        <v>6159</v>
      </c>
      <c r="H626">
        <f t="shared" si="118"/>
        <v>5769</v>
      </c>
      <c r="I626" s="13">
        <f t="shared" si="119"/>
        <v>7.3149592650372686E-2</v>
      </c>
      <c r="J626" t="str">
        <f t="shared" si="120"/>
        <v>Backlog</v>
      </c>
      <c r="K626" s="13">
        <f t="shared" si="121"/>
        <v>0.93667803214807599</v>
      </c>
      <c r="L626" s="13">
        <f t="shared" si="122"/>
        <v>6.556746225036532</v>
      </c>
      <c r="M626" s="13">
        <f t="shared" si="123"/>
        <v>28.100340964442278</v>
      </c>
      <c r="N626" t="b">
        <f t="shared" si="124"/>
        <v>0</v>
      </c>
      <c r="O626">
        <f t="shared" si="125"/>
        <v>32</v>
      </c>
      <c r="P626" s="13">
        <f t="shared" si="126"/>
        <v>0.94229440850769131</v>
      </c>
      <c r="Q626" s="13">
        <f t="shared" si="127"/>
        <v>0.94847652562331231</v>
      </c>
      <c r="R626" s="15" t="str">
        <f t="shared" si="128"/>
        <v>STRAIN</v>
      </c>
      <c r="S626" s="13">
        <f t="shared" si="129"/>
        <v>3.864263679168696E-2</v>
      </c>
    </row>
    <row r="627" spans="1:19" x14ac:dyDescent="0.3">
      <c r="A627" s="4">
        <v>45874</v>
      </c>
      <c r="B627" s="2">
        <v>106</v>
      </c>
      <c r="C627" s="2">
        <v>196</v>
      </c>
      <c r="D627" s="2">
        <v>131</v>
      </c>
      <c r="E627">
        <v>6446</v>
      </c>
      <c r="F627">
        <v>255</v>
      </c>
      <c r="G627" s="2">
        <f t="shared" si="117"/>
        <v>6642</v>
      </c>
      <c r="H627">
        <f t="shared" si="118"/>
        <v>6191</v>
      </c>
      <c r="I627" s="13">
        <f t="shared" si="119"/>
        <v>1.3568082700694557E-2</v>
      </c>
      <c r="J627" t="str">
        <f t="shared" si="120"/>
        <v>Backlog</v>
      </c>
      <c r="K627" s="13">
        <f t="shared" si="121"/>
        <v>0.9320987654320988</v>
      </c>
      <c r="L627" s="13">
        <f t="shared" si="122"/>
        <v>6.5246913580246915</v>
      </c>
      <c r="M627" s="13">
        <f t="shared" si="123"/>
        <v>27.962962962962965</v>
      </c>
      <c r="N627" t="b">
        <f t="shared" si="124"/>
        <v>1</v>
      </c>
      <c r="O627">
        <f t="shared" si="125"/>
        <v>32</v>
      </c>
      <c r="P627" s="13">
        <f t="shared" si="126"/>
        <v>0.94572133000330583</v>
      </c>
      <c r="Q627" s="13">
        <f t="shared" si="127"/>
        <v>0.94131175153164159</v>
      </c>
      <c r="R627" s="15" t="str">
        <f t="shared" si="128"/>
        <v>STRAIN</v>
      </c>
      <c r="S627" s="13">
        <f t="shared" si="129"/>
        <v>3.8392050587172537E-2</v>
      </c>
    </row>
    <row r="628" spans="1:19" x14ac:dyDescent="0.3">
      <c r="A628" s="4">
        <v>45875</v>
      </c>
      <c r="B628" s="2">
        <v>113</v>
      </c>
      <c r="C628" s="2">
        <v>162</v>
      </c>
      <c r="D628" s="2">
        <v>107</v>
      </c>
      <c r="E628">
        <v>6483</v>
      </c>
      <c r="F628">
        <v>208</v>
      </c>
      <c r="G628" s="2">
        <f t="shared" si="117"/>
        <v>6645</v>
      </c>
      <c r="H628">
        <f t="shared" si="118"/>
        <v>6275</v>
      </c>
      <c r="I628" s="13">
        <f t="shared" si="119"/>
        <v>7.3306772908366532E-3</v>
      </c>
      <c r="J628" t="str">
        <f t="shared" si="120"/>
        <v>Backlog</v>
      </c>
      <c r="K628" s="13">
        <f t="shared" si="121"/>
        <v>0.94431903686982699</v>
      </c>
      <c r="L628" s="13">
        <f t="shared" si="122"/>
        <v>6.6102332580887886</v>
      </c>
      <c r="M628" s="13">
        <f t="shared" si="123"/>
        <v>28.329571106094811</v>
      </c>
      <c r="N628" t="b">
        <f t="shared" si="124"/>
        <v>1</v>
      </c>
      <c r="O628">
        <f t="shared" si="125"/>
        <v>32</v>
      </c>
      <c r="P628" s="13">
        <f t="shared" si="126"/>
        <v>0.95455536637992688</v>
      </c>
      <c r="Q628" s="13">
        <f t="shared" si="127"/>
        <v>0.94008097916527866</v>
      </c>
      <c r="R628" s="15" t="str">
        <f t="shared" si="128"/>
        <v>STRAIN</v>
      </c>
      <c r="S628" s="13">
        <f t="shared" si="129"/>
        <v>3.1301730624529719E-2</v>
      </c>
    </row>
    <row r="629" spans="1:19" x14ac:dyDescent="0.3">
      <c r="A629" s="4">
        <v>45876</v>
      </c>
      <c r="B629" s="2">
        <v>92</v>
      </c>
      <c r="C629" s="2">
        <v>124</v>
      </c>
      <c r="D629" s="2">
        <v>93</v>
      </c>
      <c r="E629">
        <v>6508</v>
      </c>
      <c r="F629">
        <v>187</v>
      </c>
      <c r="G629" s="2">
        <f t="shared" si="117"/>
        <v>6632</v>
      </c>
      <c r="H629">
        <f t="shared" si="118"/>
        <v>6321</v>
      </c>
      <c r="I629" s="13">
        <f t="shared" si="119"/>
        <v>2.0566366081316246E-3</v>
      </c>
      <c r="J629" t="str">
        <f t="shared" si="120"/>
        <v>Backlog</v>
      </c>
      <c r="K629" s="13">
        <f t="shared" si="121"/>
        <v>0.95310615199034987</v>
      </c>
      <c r="L629" s="13">
        <f t="shared" si="122"/>
        <v>6.6717430639324489</v>
      </c>
      <c r="M629" s="13">
        <f t="shared" si="123"/>
        <v>28.593184559710497</v>
      </c>
      <c r="N629" t="b">
        <f t="shared" si="124"/>
        <v>1</v>
      </c>
      <c r="O629">
        <f t="shared" si="125"/>
        <v>32</v>
      </c>
      <c r="P629" s="13">
        <f t="shared" si="126"/>
        <v>0.95763300796796402</v>
      </c>
      <c r="Q629" s="13">
        <f t="shared" si="127"/>
        <v>0.94904027934557045</v>
      </c>
      <c r="R629" s="15" t="str">
        <f t="shared" si="128"/>
        <v>STRAIN</v>
      </c>
      <c r="S629" s="13">
        <f t="shared" si="129"/>
        <v>2.8196622436670687E-2</v>
      </c>
    </row>
    <row r="630" spans="1:19" x14ac:dyDescent="0.3">
      <c r="A630" s="4">
        <v>45879</v>
      </c>
      <c r="B630" s="2">
        <v>68</v>
      </c>
      <c r="C630" s="2">
        <v>107</v>
      </c>
      <c r="D630" s="2">
        <v>102</v>
      </c>
      <c r="E630">
        <v>6523</v>
      </c>
      <c r="F630">
        <v>189</v>
      </c>
      <c r="G630" s="2">
        <f t="shared" si="117"/>
        <v>6630</v>
      </c>
      <c r="H630">
        <f t="shared" si="118"/>
        <v>6334</v>
      </c>
      <c r="I630" s="13">
        <f t="shared" si="119"/>
        <v>-1.1209346384591095E-2</v>
      </c>
      <c r="J630" t="str">
        <f t="shared" si="120"/>
        <v>No Backlog</v>
      </c>
      <c r="K630" s="13">
        <f t="shared" si="121"/>
        <v>0.95535444947209658</v>
      </c>
      <c r="L630" s="13">
        <f t="shared" si="122"/>
        <v>6.6874811463046759</v>
      </c>
      <c r="M630" s="13">
        <f t="shared" si="123"/>
        <v>28.660633484162897</v>
      </c>
      <c r="N630" t="b">
        <f t="shared" si="124"/>
        <v>1</v>
      </c>
      <c r="O630">
        <f t="shared" si="125"/>
        <v>33</v>
      </c>
      <c r="P630" s="13">
        <f t="shared" si="126"/>
        <v>0.94611140244965908</v>
      </c>
      <c r="Q630" s="13">
        <f t="shared" si="127"/>
        <v>0.95081890381061018</v>
      </c>
      <c r="R630" s="15" t="b">
        <f t="shared" si="128"/>
        <v>0</v>
      </c>
      <c r="S630" s="13">
        <f t="shared" si="129"/>
        <v>2.8506787330316741E-2</v>
      </c>
    </row>
    <row r="631" spans="1:19" x14ac:dyDescent="0.3">
      <c r="A631" s="4">
        <v>45880</v>
      </c>
      <c r="B631" s="2">
        <v>74</v>
      </c>
      <c r="C631" s="2">
        <v>103</v>
      </c>
      <c r="D631" s="2">
        <v>80</v>
      </c>
      <c r="E631">
        <v>6555</v>
      </c>
      <c r="F631">
        <v>292</v>
      </c>
      <c r="G631" s="2">
        <f t="shared" si="117"/>
        <v>6658</v>
      </c>
      <c r="H631">
        <f t="shared" si="118"/>
        <v>6263</v>
      </c>
      <c r="I631" s="13">
        <f t="shared" si="119"/>
        <v>7.2169886635797542E-2</v>
      </c>
      <c r="J631" t="str">
        <f t="shared" si="120"/>
        <v>Backlog</v>
      </c>
      <c r="K631" s="13">
        <f t="shared" si="121"/>
        <v>0.94067287473715833</v>
      </c>
      <c r="L631" s="13">
        <f t="shared" si="122"/>
        <v>6.5847101231601082</v>
      </c>
      <c r="M631" s="13">
        <f t="shared" si="123"/>
        <v>28.22018624211475</v>
      </c>
      <c r="N631" t="b">
        <f t="shared" si="124"/>
        <v>1</v>
      </c>
      <c r="O631">
        <f t="shared" si="125"/>
        <v>33</v>
      </c>
      <c r="P631" s="13">
        <f t="shared" si="126"/>
        <v>0.94809707498266838</v>
      </c>
      <c r="Q631" s="13">
        <f t="shared" si="127"/>
        <v>0.93788938914866027</v>
      </c>
      <c r="R631" s="15" t="str">
        <f t="shared" si="128"/>
        <v>STRAIN</v>
      </c>
      <c r="S631" s="13">
        <f t="shared" si="129"/>
        <v>4.3857014118353861E-2</v>
      </c>
    </row>
    <row r="632" spans="1:19" x14ac:dyDescent="0.3">
      <c r="A632" s="4">
        <v>45881</v>
      </c>
      <c r="B632" s="2">
        <v>56</v>
      </c>
      <c r="C632" s="2">
        <v>82</v>
      </c>
      <c r="D632" s="2">
        <v>68</v>
      </c>
      <c r="E632">
        <v>7002</v>
      </c>
      <c r="F632">
        <v>287</v>
      </c>
      <c r="G632" s="2">
        <f t="shared" si="117"/>
        <v>7084</v>
      </c>
      <c r="H632">
        <f t="shared" si="118"/>
        <v>6715</v>
      </c>
      <c r="I632" s="13">
        <f t="shared" si="119"/>
        <v>1.9061801935964261E-2</v>
      </c>
      <c r="J632" t="str">
        <f t="shared" si="120"/>
        <v>Backlog</v>
      </c>
      <c r="K632" s="13">
        <f t="shared" si="121"/>
        <v>0.94791078486730662</v>
      </c>
      <c r="L632" s="13">
        <f t="shared" si="122"/>
        <v>6.6353754940711465</v>
      </c>
      <c r="M632" s="13">
        <f t="shared" si="123"/>
        <v>28.437323546019197</v>
      </c>
      <c r="N632" t="b">
        <f t="shared" si="124"/>
        <v>1</v>
      </c>
      <c r="O632">
        <f t="shared" si="125"/>
        <v>33</v>
      </c>
      <c r="P632" s="13">
        <f t="shared" si="126"/>
        <v>0.95409290198292762</v>
      </c>
      <c r="Q632" s="13">
        <f t="shared" si="127"/>
        <v>0.94175009068520432</v>
      </c>
      <c r="R632" s="15" t="str">
        <f t="shared" si="128"/>
        <v>STRAIN</v>
      </c>
      <c r="S632" s="13">
        <f t="shared" si="129"/>
        <v>4.0513833992094864E-2</v>
      </c>
    </row>
    <row r="633" spans="1:19" x14ac:dyDescent="0.3">
      <c r="A633" s="4">
        <v>45882</v>
      </c>
      <c r="B633" s="2">
        <v>38</v>
      </c>
      <c r="C633" s="2">
        <v>80</v>
      </c>
      <c r="D633" s="2">
        <v>82</v>
      </c>
      <c r="E633">
        <v>7053</v>
      </c>
      <c r="F633">
        <v>210</v>
      </c>
      <c r="G633" s="2">
        <f t="shared" si="117"/>
        <v>7133</v>
      </c>
      <c r="H633">
        <f t="shared" si="118"/>
        <v>6843</v>
      </c>
      <c r="I633" s="13">
        <f t="shared" si="119"/>
        <v>5.1147157679380393E-3</v>
      </c>
      <c r="J633" t="str">
        <f t="shared" si="120"/>
        <v>Backlog</v>
      </c>
      <c r="K633" s="13">
        <f t="shared" si="121"/>
        <v>0.95934389457451286</v>
      </c>
      <c r="L633" s="13">
        <f t="shared" si="122"/>
        <v>6.7154072620215901</v>
      </c>
      <c r="M633" s="13">
        <f t="shared" si="123"/>
        <v>28.780316837235386</v>
      </c>
      <c r="N633" t="b">
        <f t="shared" si="124"/>
        <v>0</v>
      </c>
      <c r="O633">
        <f t="shared" si="125"/>
        <v>33</v>
      </c>
      <c r="P633" s="13">
        <f t="shared" si="126"/>
        <v>0.95493431610284862</v>
      </c>
      <c r="Q633" s="13">
        <f t="shared" si="127"/>
        <v>0.94846505073553233</v>
      </c>
      <c r="R633" s="15" t="str">
        <f t="shared" si="128"/>
        <v>STRAIN</v>
      </c>
      <c r="S633" s="13">
        <f t="shared" si="129"/>
        <v>2.9440628066732092E-2</v>
      </c>
    </row>
    <row r="634" spans="1:19" x14ac:dyDescent="0.3">
      <c r="A634" s="4">
        <v>45883</v>
      </c>
      <c r="B634" s="2">
        <v>65</v>
      </c>
      <c r="C634" s="2">
        <v>83</v>
      </c>
      <c r="D634" s="2">
        <v>65</v>
      </c>
      <c r="E634">
        <v>7046</v>
      </c>
      <c r="F634">
        <v>168</v>
      </c>
      <c r="G634" s="2">
        <f t="shared" si="117"/>
        <v>7129</v>
      </c>
      <c r="H634">
        <f t="shared" si="118"/>
        <v>6878</v>
      </c>
      <c r="I634" s="13">
        <f t="shared" si="119"/>
        <v>-1.2939808083745275E-2</v>
      </c>
      <c r="J634" t="str">
        <f t="shared" si="120"/>
        <v>No Backlog</v>
      </c>
      <c r="K634" s="13">
        <f t="shared" si="121"/>
        <v>0.96479169589002667</v>
      </c>
      <c r="L634" s="13">
        <f t="shared" si="122"/>
        <v>6.7535418712301869</v>
      </c>
      <c r="M634" s="13">
        <f t="shared" si="123"/>
        <v>28.9437508767008</v>
      </c>
      <c r="N634" t="b">
        <f t="shared" si="124"/>
        <v>1</v>
      </c>
      <c r="O634">
        <f t="shared" si="125"/>
        <v>33</v>
      </c>
      <c r="P634" s="13">
        <f t="shared" si="126"/>
        <v>0.95031730867537845</v>
      </c>
      <c r="Q634" s="13">
        <f t="shared" si="127"/>
        <v>0.938142215184115</v>
      </c>
      <c r="R634" s="15" t="b">
        <f t="shared" si="128"/>
        <v>0</v>
      </c>
      <c r="S634" s="13">
        <f t="shared" si="129"/>
        <v>2.3565717491934354E-2</v>
      </c>
    </row>
    <row r="635" spans="1:19" x14ac:dyDescent="0.3">
      <c r="A635" s="4">
        <v>45886</v>
      </c>
      <c r="B635" s="2">
        <v>41</v>
      </c>
      <c r="C635" s="2">
        <v>60</v>
      </c>
      <c r="D635" s="2">
        <v>71</v>
      </c>
      <c r="E635">
        <v>6996</v>
      </c>
      <c r="F635">
        <v>207</v>
      </c>
      <c r="G635" s="2">
        <f t="shared" si="117"/>
        <v>7056</v>
      </c>
      <c r="H635">
        <f t="shared" si="118"/>
        <v>6789</v>
      </c>
      <c r="I635" s="13">
        <f t="shared" si="119"/>
        <v>5.1406687288260422E-2</v>
      </c>
      <c r="J635" t="str">
        <f t="shared" si="120"/>
        <v>Backlog</v>
      </c>
      <c r="K635" s="13">
        <f t="shared" si="121"/>
        <v>0.96215986394557829</v>
      </c>
      <c r="L635" s="13">
        <f t="shared" si="122"/>
        <v>6.7351190476190483</v>
      </c>
      <c r="M635" s="13">
        <f t="shared" si="123"/>
        <v>28.864795918367349</v>
      </c>
      <c r="N635" t="b">
        <f t="shared" si="124"/>
        <v>0</v>
      </c>
      <c r="O635">
        <f t="shared" si="125"/>
        <v>34</v>
      </c>
      <c r="P635" s="13">
        <f t="shared" si="126"/>
        <v>0.95356713532318471</v>
      </c>
      <c r="Q635" s="13">
        <f t="shared" si="127"/>
        <v>0.94823362369708097</v>
      </c>
      <c r="R635" s="15" t="str">
        <f t="shared" si="128"/>
        <v>STRAIN</v>
      </c>
      <c r="S635" s="13">
        <f t="shared" si="129"/>
        <v>2.9336734693877552E-2</v>
      </c>
    </row>
    <row r="636" spans="1:19" x14ac:dyDescent="0.3">
      <c r="A636" s="4">
        <v>45887</v>
      </c>
      <c r="B636" s="2">
        <v>43</v>
      </c>
      <c r="C636" s="2">
        <v>73</v>
      </c>
      <c r="D636" s="2">
        <v>64</v>
      </c>
      <c r="E636">
        <v>7546</v>
      </c>
      <c r="F636">
        <v>408</v>
      </c>
      <c r="G636" s="2">
        <f t="shared" si="117"/>
        <v>7619</v>
      </c>
      <c r="H636">
        <f t="shared" si="118"/>
        <v>7138</v>
      </c>
      <c r="I636" s="13">
        <f t="shared" si="119"/>
        <v>4.132810311011488E-2</v>
      </c>
      <c r="J636" t="str">
        <f t="shared" si="120"/>
        <v>Backlog</v>
      </c>
      <c r="K636" s="13">
        <f t="shared" si="121"/>
        <v>0.93686835542722147</v>
      </c>
      <c r="L636" s="13">
        <f t="shared" si="122"/>
        <v>6.5580784879905503</v>
      </c>
      <c r="M636" s="13">
        <f t="shared" si="123"/>
        <v>28.106050662816642</v>
      </c>
      <c r="N636" t="b">
        <f t="shared" si="124"/>
        <v>1</v>
      </c>
      <c r="O636">
        <f t="shared" si="125"/>
        <v>34</v>
      </c>
      <c r="P636" s="13">
        <f t="shared" si="126"/>
        <v>0.94157585678817268</v>
      </c>
      <c r="Q636" s="13">
        <f t="shared" si="127"/>
        <v>0.93702996057588073</v>
      </c>
      <c r="R636" s="15" t="str">
        <f t="shared" si="128"/>
        <v>STRAIN</v>
      </c>
      <c r="S636" s="13">
        <f t="shared" si="129"/>
        <v>5.3550334689591812E-2</v>
      </c>
    </row>
    <row r="637" spans="1:19" x14ac:dyDescent="0.3">
      <c r="A637" s="4">
        <v>45888</v>
      </c>
      <c r="B637" s="2">
        <v>35</v>
      </c>
      <c r="C637" s="2">
        <v>70</v>
      </c>
      <c r="D637" s="2">
        <v>53</v>
      </c>
      <c r="E637">
        <v>7709</v>
      </c>
      <c r="F637">
        <v>276</v>
      </c>
      <c r="G637" s="2">
        <f t="shared" si="117"/>
        <v>7779</v>
      </c>
      <c r="H637">
        <f t="shared" si="118"/>
        <v>7433</v>
      </c>
      <c r="I637" s="13">
        <f t="shared" si="119"/>
        <v>1.4664334723530204E-2</v>
      </c>
      <c r="J637" t="str">
        <f t="shared" si="120"/>
        <v>Backlog</v>
      </c>
      <c r="K637" s="13">
        <f t="shared" si="121"/>
        <v>0.95552127522817842</v>
      </c>
      <c r="L637" s="13">
        <f t="shared" si="122"/>
        <v>6.6886489265972493</v>
      </c>
      <c r="M637" s="13">
        <f t="shared" si="123"/>
        <v>28.665638256845352</v>
      </c>
      <c r="N637" t="b">
        <f t="shared" si="124"/>
        <v>1</v>
      </c>
      <c r="O637">
        <f t="shared" si="125"/>
        <v>34</v>
      </c>
      <c r="P637" s="13">
        <f t="shared" si="126"/>
        <v>0.94531358939417032</v>
      </c>
      <c r="Q637" s="13">
        <f t="shared" si="127"/>
        <v>0.94689435395970145</v>
      </c>
      <c r="R637" s="15" t="str">
        <f t="shared" si="128"/>
        <v>STRAIN</v>
      </c>
      <c r="S637" s="13">
        <f t="shared" si="129"/>
        <v>3.5480138835325879E-2</v>
      </c>
    </row>
    <row r="638" spans="1:19" x14ac:dyDescent="0.3">
      <c r="A638" s="4">
        <v>45889</v>
      </c>
      <c r="B638" s="2">
        <v>25</v>
      </c>
      <c r="C638" s="2">
        <v>66</v>
      </c>
      <c r="D638" s="2">
        <v>94</v>
      </c>
      <c r="E638">
        <v>7788</v>
      </c>
      <c r="F638">
        <v>246</v>
      </c>
      <c r="G638" s="2">
        <f t="shared" si="117"/>
        <v>7854</v>
      </c>
      <c r="H638">
        <f t="shared" si="118"/>
        <v>7542</v>
      </c>
      <c r="I638" s="13">
        <f t="shared" si="119"/>
        <v>8.7509944311853615E-3</v>
      </c>
      <c r="J638" t="str">
        <f t="shared" si="120"/>
        <v>Backlog</v>
      </c>
      <c r="K638" s="13">
        <f t="shared" si="121"/>
        <v>0.96027501909854851</v>
      </c>
      <c r="L638" s="13">
        <f t="shared" si="122"/>
        <v>6.7219251336898393</v>
      </c>
      <c r="M638" s="13">
        <f t="shared" si="123"/>
        <v>28.808250572956457</v>
      </c>
      <c r="N638" t="b">
        <f t="shared" si="124"/>
        <v>0</v>
      </c>
      <c r="O638">
        <f t="shared" si="125"/>
        <v>34</v>
      </c>
      <c r="P638" s="13">
        <f t="shared" si="126"/>
        <v>0.94793220780082532</v>
      </c>
      <c r="Q638" s="13">
        <f t="shared" si="127"/>
        <v>0.93978384824798211</v>
      </c>
      <c r="R638" s="15" t="str">
        <f t="shared" si="128"/>
        <v>STRAIN</v>
      </c>
      <c r="S638" s="13">
        <f t="shared" si="129"/>
        <v>3.1321619556913677E-2</v>
      </c>
    </row>
    <row r="639" spans="1:19" x14ac:dyDescent="0.3">
      <c r="A639" s="4">
        <v>45890</v>
      </c>
      <c r="B639" s="2">
        <v>99</v>
      </c>
      <c r="C639" s="2">
        <v>156</v>
      </c>
      <c r="D639" s="2">
        <v>139</v>
      </c>
      <c r="E639">
        <v>7848</v>
      </c>
      <c r="F639">
        <v>240</v>
      </c>
      <c r="G639" s="2">
        <f t="shared" si="117"/>
        <v>8004</v>
      </c>
      <c r="H639">
        <f t="shared" si="118"/>
        <v>7608</v>
      </c>
      <c r="I639" s="13">
        <f t="shared" si="119"/>
        <v>-1.6430073606729757E-2</v>
      </c>
      <c r="J639" t="str">
        <f t="shared" si="120"/>
        <v>No Backlog</v>
      </c>
      <c r="K639" s="13">
        <f t="shared" si="121"/>
        <v>0.95052473763118439</v>
      </c>
      <c r="L639" s="13">
        <f t="shared" si="122"/>
        <v>6.6536731634182908</v>
      </c>
      <c r="M639" s="13">
        <f t="shared" si="123"/>
        <v>28.515742128935532</v>
      </c>
      <c r="N639" t="b">
        <f t="shared" si="124"/>
        <v>1</v>
      </c>
      <c r="O639">
        <f t="shared" si="125"/>
        <v>34</v>
      </c>
      <c r="P639" s="13">
        <f t="shared" si="126"/>
        <v>0.9440554722638681</v>
      </c>
      <c r="Q639" s="13">
        <f t="shared" si="127"/>
        <v>0.94291690823835017</v>
      </c>
      <c r="R639" s="15" t="b">
        <f t="shared" si="128"/>
        <v>0</v>
      </c>
      <c r="S639" s="13">
        <f t="shared" si="129"/>
        <v>2.9985007496251874E-2</v>
      </c>
    </row>
    <row r="640" spans="1:19" x14ac:dyDescent="0.3">
      <c r="A640" s="4">
        <v>45893</v>
      </c>
      <c r="B640" s="2">
        <v>107</v>
      </c>
      <c r="C640" s="2">
        <v>170</v>
      </c>
      <c r="D640" s="2">
        <v>133</v>
      </c>
      <c r="E640">
        <v>7826</v>
      </c>
      <c r="F640">
        <v>343</v>
      </c>
      <c r="G640" s="2">
        <f t="shared" si="117"/>
        <v>7996</v>
      </c>
      <c r="H640">
        <f t="shared" si="118"/>
        <v>7483</v>
      </c>
      <c r="I640" s="13">
        <f t="shared" si="119"/>
        <v>8.552719497527729E-2</v>
      </c>
      <c r="J640" t="str">
        <f t="shared" si="120"/>
        <v>Backlog</v>
      </c>
      <c r="K640" s="13">
        <f t="shared" si="121"/>
        <v>0.93584292146073034</v>
      </c>
      <c r="L640" s="13">
        <f t="shared" si="122"/>
        <v>6.5509004502251127</v>
      </c>
      <c r="M640" s="13">
        <f t="shared" si="123"/>
        <v>28.075287643821909</v>
      </c>
      <c r="N640" t="b">
        <f t="shared" si="124"/>
        <v>1</v>
      </c>
      <c r="O640">
        <f t="shared" si="125"/>
        <v>35</v>
      </c>
      <c r="P640" s="13">
        <f t="shared" si="126"/>
        <v>0.92366782796946689</v>
      </c>
      <c r="Q640" s="13">
        <f t="shared" si="127"/>
        <v>0.93369379152422627</v>
      </c>
      <c r="R640" s="15" t="str">
        <f t="shared" si="128"/>
        <v>STRAIN</v>
      </c>
      <c r="S640" s="13">
        <f t="shared" si="129"/>
        <v>4.2896448224112059E-2</v>
      </c>
    </row>
    <row r="641" spans="1:19" x14ac:dyDescent="0.3">
      <c r="A641" s="4">
        <v>45894</v>
      </c>
      <c r="B641" s="2">
        <v>80</v>
      </c>
      <c r="C641" s="2">
        <v>122</v>
      </c>
      <c r="D641" s="2">
        <v>152</v>
      </c>
      <c r="E641">
        <v>8474</v>
      </c>
      <c r="F641">
        <v>351</v>
      </c>
      <c r="G641" s="2">
        <f t="shared" si="117"/>
        <v>8596</v>
      </c>
      <c r="H641">
        <f t="shared" si="118"/>
        <v>8123</v>
      </c>
      <c r="I641" s="13">
        <f t="shared" si="119"/>
        <v>1.7111904468792318E-2</v>
      </c>
      <c r="J641" t="str">
        <f t="shared" si="120"/>
        <v>Backlog</v>
      </c>
      <c r="K641" s="13">
        <f t="shared" si="121"/>
        <v>0.94497440670079103</v>
      </c>
      <c r="L641" s="13">
        <f t="shared" si="122"/>
        <v>6.6148208469055376</v>
      </c>
      <c r="M641" s="13">
        <f t="shared" si="123"/>
        <v>28.349232201023732</v>
      </c>
      <c r="N641" t="b">
        <f t="shared" si="124"/>
        <v>0</v>
      </c>
      <c r="O641">
        <f t="shared" si="125"/>
        <v>35</v>
      </c>
      <c r="P641" s="13">
        <f t="shared" si="126"/>
        <v>0.93964089507468729</v>
      </c>
      <c r="Q641" s="13">
        <f t="shared" si="127"/>
        <v>0.9406943302991706</v>
      </c>
      <c r="R641" s="15" t="str">
        <f t="shared" si="128"/>
        <v>STRAIN</v>
      </c>
      <c r="S641" s="13">
        <f t="shared" si="129"/>
        <v>4.0832945556072593E-2</v>
      </c>
    </row>
    <row r="642" spans="1:19" x14ac:dyDescent="0.3">
      <c r="A642" s="4">
        <v>45895</v>
      </c>
      <c r="B642" s="2">
        <v>57</v>
      </c>
      <c r="C642" s="2">
        <v>162</v>
      </c>
      <c r="D642" s="2">
        <v>193</v>
      </c>
      <c r="E642">
        <v>8569</v>
      </c>
      <c r="F642">
        <v>307</v>
      </c>
      <c r="G642" s="2">
        <f t="shared" si="117"/>
        <v>8731</v>
      </c>
      <c r="H642">
        <f t="shared" si="118"/>
        <v>8262</v>
      </c>
      <c r="I642" s="13">
        <f t="shared" si="119"/>
        <v>4.5993706124425075E-3</v>
      </c>
      <c r="J642" t="str">
        <f t="shared" si="120"/>
        <v>Backlog</v>
      </c>
      <c r="K642" s="13">
        <f t="shared" si="121"/>
        <v>0.94628335814912379</v>
      </c>
      <c r="L642" s="13">
        <f t="shared" si="122"/>
        <v>6.6239835070438664</v>
      </c>
      <c r="M642" s="13">
        <f t="shared" si="123"/>
        <v>28.388500744473713</v>
      </c>
      <c r="N642" t="b">
        <f t="shared" si="124"/>
        <v>0</v>
      </c>
      <c r="O642">
        <f t="shared" si="125"/>
        <v>35</v>
      </c>
      <c r="P642" s="13">
        <f t="shared" si="126"/>
        <v>0.94173746193683194</v>
      </c>
      <c r="Q642" s="13">
        <f t="shared" si="127"/>
        <v>0.94180297122853029</v>
      </c>
      <c r="R642" s="15" t="str">
        <f t="shared" si="128"/>
        <v>STRAIN</v>
      </c>
      <c r="S642" s="13">
        <f t="shared" si="129"/>
        <v>3.516206620089337E-2</v>
      </c>
    </row>
    <row r="643" spans="1:19" x14ac:dyDescent="0.3">
      <c r="A643" s="4">
        <v>45896</v>
      </c>
      <c r="B643" s="2">
        <v>161</v>
      </c>
      <c r="C643" s="2">
        <v>304</v>
      </c>
      <c r="D643" s="2">
        <v>211</v>
      </c>
      <c r="E643">
        <v>8572</v>
      </c>
      <c r="F643">
        <v>272</v>
      </c>
      <c r="G643" s="2">
        <f t="shared" ref="G643:G706" si="130">C643+E643</f>
        <v>8876</v>
      </c>
      <c r="H643">
        <f t="shared" ref="H643:H706" si="131">E643-F643</f>
        <v>8300</v>
      </c>
      <c r="I643" s="13">
        <f t="shared" ref="I643:I706" si="132">(H644-H643)/H643</f>
        <v>-7.2289156626506026E-4</v>
      </c>
      <c r="J643" t="str">
        <f t="shared" ref="J643:J706" si="133">IF(I643&gt;0,"Backlog","No Backlog")</f>
        <v>No Backlog</v>
      </c>
      <c r="K643" s="13">
        <f t="shared" ref="K643:K706" si="134">H643/G643</f>
        <v>0.93510590356016221</v>
      </c>
      <c r="L643" s="13">
        <f t="shared" ref="L643:L706" si="135">K643*7</f>
        <v>6.5457413249211358</v>
      </c>
      <c r="M643" s="13">
        <f t="shared" ref="M643:M706" si="136">K643*30</f>
        <v>28.053177106804867</v>
      </c>
      <c r="N643" t="b">
        <f t="shared" ref="N643:N706" si="137">IF(D643&lt;C643,F643&lt;E643)</f>
        <v>1</v>
      </c>
      <c r="O643">
        <f t="shared" ref="O643:O706" si="138">WEEKNUM(A643)</f>
        <v>35</v>
      </c>
      <c r="P643" s="13">
        <f t="shared" ref="P643:P706" si="139">AVERAGE(K643,K649)</f>
        <v>0.93668666812569334</v>
      </c>
      <c r="Q643" s="13">
        <f t="shared" ref="Q643:Q706" si="140">AVERAGE(K643,K655)</f>
        <v>0.93637203264104674</v>
      </c>
      <c r="R643" s="15" t="b">
        <f t="shared" ref="R643:R706" si="141">IF(I643&gt;0,"STRAIN")</f>
        <v>0</v>
      </c>
      <c r="S643" s="13">
        <f t="shared" ref="S643:S706" si="142">F643/G643</f>
        <v>3.064443442992339E-2</v>
      </c>
    </row>
    <row r="644" spans="1:19" x14ac:dyDescent="0.3">
      <c r="A644" s="4">
        <v>45897</v>
      </c>
      <c r="B644" s="2">
        <v>205</v>
      </c>
      <c r="C644" s="2">
        <v>294</v>
      </c>
      <c r="D644" s="2">
        <v>177</v>
      </c>
      <c r="E644">
        <v>8571</v>
      </c>
      <c r="F644">
        <v>277</v>
      </c>
      <c r="G644" s="2">
        <f t="shared" si="130"/>
        <v>8865</v>
      </c>
      <c r="H644">
        <f t="shared" si="131"/>
        <v>8294</v>
      </c>
      <c r="I644" s="13">
        <f t="shared" si="132"/>
        <v>-1.6517964793826861E-2</v>
      </c>
      <c r="J644" t="str">
        <f t="shared" si="133"/>
        <v>No Backlog</v>
      </c>
      <c r="K644" s="13">
        <f t="shared" si="134"/>
        <v>0.93558939650310213</v>
      </c>
      <c r="L644" s="13">
        <f t="shared" si="135"/>
        <v>6.5491257755217145</v>
      </c>
      <c r="M644" s="13">
        <f t="shared" si="136"/>
        <v>28.067681895093063</v>
      </c>
      <c r="N644" t="b">
        <f t="shared" si="137"/>
        <v>1</v>
      </c>
      <c r="O644">
        <f t="shared" si="138"/>
        <v>35</v>
      </c>
      <c r="P644" s="13">
        <f t="shared" si="139"/>
        <v>0.92744103695025881</v>
      </c>
      <c r="Q644" s="13">
        <f t="shared" si="140"/>
        <v>0.93267268924894497</v>
      </c>
      <c r="R644" s="15" t="b">
        <f t="shared" si="141"/>
        <v>0</v>
      </c>
      <c r="S644" s="13">
        <f t="shared" si="142"/>
        <v>3.1246474901297238E-2</v>
      </c>
    </row>
    <row r="645" spans="1:19" x14ac:dyDescent="0.3">
      <c r="A645" s="4">
        <v>45901</v>
      </c>
      <c r="B645" s="2">
        <v>100</v>
      </c>
      <c r="C645" s="2">
        <v>255</v>
      </c>
      <c r="D645" s="2">
        <v>236</v>
      </c>
      <c r="E645">
        <v>8445</v>
      </c>
      <c r="F645">
        <v>288</v>
      </c>
      <c r="G645" s="2">
        <f t="shared" si="130"/>
        <v>8700</v>
      </c>
      <c r="H645">
        <f t="shared" si="131"/>
        <v>8157</v>
      </c>
      <c r="I645" s="13">
        <f t="shared" si="132"/>
        <v>1.5079073188672305E-2</v>
      </c>
      <c r="J645" t="str">
        <f t="shared" si="133"/>
        <v>Backlog</v>
      </c>
      <c r="K645" s="13">
        <f t="shared" si="134"/>
        <v>0.9375862068965517</v>
      </c>
      <c r="L645" s="13">
        <f t="shared" si="135"/>
        <v>6.5631034482758617</v>
      </c>
      <c r="M645" s="13">
        <f t="shared" si="136"/>
        <v>28.127586206896552</v>
      </c>
      <c r="N645" t="b">
        <f t="shared" si="137"/>
        <v>1</v>
      </c>
      <c r="O645">
        <f t="shared" si="138"/>
        <v>36</v>
      </c>
      <c r="P645" s="13">
        <f t="shared" si="139"/>
        <v>0.93644764287103377</v>
      </c>
      <c r="Q645" s="13">
        <f t="shared" si="140"/>
        <v>0.93883615534973486</v>
      </c>
      <c r="R645" s="15" t="str">
        <f t="shared" si="141"/>
        <v>STRAIN</v>
      </c>
      <c r="S645" s="13">
        <f t="shared" si="142"/>
        <v>3.310344827586207E-2</v>
      </c>
    </row>
    <row r="646" spans="1:19" x14ac:dyDescent="0.3">
      <c r="A646" s="4">
        <v>45902</v>
      </c>
      <c r="B646" s="2">
        <v>269</v>
      </c>
      <c r="C646" s="2">
        <v>412</v>
      </c>
      <c r="D646" s="2">
        <v>204</v>
      </c>
      <c r="E646">
        <v>8672</v>
      </c>
      <c r="F646">
        <v>392</v>
      </c>
      <c r="G646" s="2">
        <f t="shared" si="130"/>
        <v>9084</v>
      </c>
      <c r="H646">
        <f t="shared" si="131"/>
        <v>8280</v>
      </c>
      <c r="I646" s="13">
        <f t="shared" si="132"/>
        <v>1.1714975845410628E-2</v>
      </c>
      <c r="J646" t="str">
        <f t="shared" si="133"/>
        <v>Backlog</v>
      </c>
      <c r="K646" s="13">
        <f t="shared" si="134"/>
        <v>0.91149273447820345</v>
      </c>
      <c r="L646" s="13">
        <f t="shared" si="135"/>
        <v>6.380449141347424</v>
      </c>
      <c r="M646" s="13">
        <f t="shared" si="136"/>
        <v>27.344782034346103</v>
      </c>
      <c r="N646" t="b">
        <f t="shared" si="137"/>
        <v>1</v>
      </c>
      <c r="O646">
        <f t="shared" si="138"/>
        <v>36</v>
      </c>
      <c r="P646" s="13">
        <f t="shared" si="139"/>
        <v>0.92151869803296282</v>
      </c>
      <c r="Q646" s="13">
        <f t="shared" si="140"/>
        <v>0.9295550249328085</v>
      </c>
      <c r="R646" s="15" t="str">
        <f t="shared" si="141"/>
        <v>STRAIN</v>
      </c>
      <c r="S646" s="13">
        <f t="shared" si="142"/>
        <v>4.3152796125055043E-2</v>
      </c>
    </row>
    <row r="647" spans="1:19" x14ac:dyDescent="0.3">
      <c r="A647" s="4">
        <v>45903</v>
      </c>
      <c r="B647" s="2">
        <v>168</v>
      </c>
      <c r="C647" s="2">
        <v>285</v>
      </c>
      <c r="D647" s="2">
        <v>210</v>
      </c>
      <c r="E647">
        <v>8681</v>
      </c>
      <c r="F647">
        <v>304</v>
      </c>
      <c r="G647" s="2">
        <f t="shared" si="130"/>
        <v>8966</v>
      </c>
      <c r="H647">
        <f t="shared" si="131"/>
        <v>8377</v>
      </c>
      <c r="I647" s="13">
        <f t="shared" si="132"/>
        <v>-2.5068640324698581E-3</v>
      </c>
      <c r="J647" t="str">
        <f t="shared" si="133"/>
        <v>No Backlog</v>
      </c>
      <c r="K647" s="13">
        <f t="shared" si="134"/>
        <v>0.93430738344858355</v>
      </c>
      <c r="L647" s="13">
        <f t="shared" si="135"/>
        <v>6.5401516841400849</v>
      </c>
      <c r="M647" s="13">
        <f t="shared" si="136"/>
        <v>28.029221503457507</v>
      </c>
      <c r="N647" t="b">
        <f t="shared" si="137"/>
        <v>1</v>
      </c>
      <c r="O647">
        <f t="shared" si="138"/>
        <v>36</v>
      </c>
      <c r="P647" s="13">
        <f t="shared" si="139"/>
        <v>0.93536081867306686</v>
      </c>
      <c r="Q647" s="13">
        <f t="shared" si="140"/>
        <v>0.93374241926551749</v>
      </c>
      <c r="R647" s="15" t="b">
        <f t="shared" si="141"/>
        <v>0</v>
      </c>
      <c r="S647" s="13">
        <f t="shared" si="142"/>
        <v>3.3905866607182693E-2</v>
      </c>
    </row>
    <row r="648" spans="1:19" x14ac:dyDescent="0.3">
      <c r="A648" s="4">
        <v>45904</v>
      </c>
      <c r="B648" s="2">
        <v>187</v>
      </c>
      <c r="C648" s="2">
        <v>310</v>
      </c>
      <c r="D648" s="2">
        <v>247</v>
      </c>
      <c r="E648">
        <v>8606</v>
      </c>
      <c r="F648">
        <v>250</v>
      </c>
      <c r="G648" s="2">
        <f t="shared" si="130"/>
        <v>8916</v>
      </c>
      <c r="H648">
        <f t="shared" si="131"/>
        <v>8356</v>
      </c>
      <c r="I648" s="13">
        <f t="shared" si="132"/>
        <v>-3.2312111057922451E-3</v>
      </c>
      <c r="J648" t="str">
        <f t="shared" si="133"/>
        <v>No Backlog</v>
      </c>
      <c r="K648" s="13">
        <f t="shared" si="134"/>
        <v>0.9371915657245401</v>
      </c>
      <c r="L648" s="13">
        <f t="shared" si="135"/>
        <v>6.5603409600717804</v>
      </c>
      <c r="M648" s="13">
        <f t="shared" si="136"/>
        <v>28.115746971736204</v>
      </c>
      <c r="N648" t="b">
        <f t="shared" si="137"/>
        <v>1</v>
      </c>
      <c r="O648">
        <f t="shared" si="138"/>
        <v>36</v>
      </c>
      <c r="P648" s="13">
        <f t="shared" si="139"/>
        <v>0.93725707501623856</v>
      </c>
      <c r="Q648" s="13">
        <f t="shared" si="140"/>
        <v>0.93211619102553533</v>
      </c>
      <c r="R648" s="15" t="b">
        <f t="shared" si="141"/>
        <v>0</v>
      </c>
      <c r="S648" s="13">
        <f t="shared" si="142"/>
        <v>2.8039479587258862E-2</v>
      </c>
    </row>
    <row r="649" spans="1:19" x14ac:dyDescent="0.3">
      <c r="A649" s="4">
        <v>45907</v>
      </c>
      <c r="B649" s="2">
        <v>133</v>
      </c>
      <c r="C649" s="2">
        <v>287</v>
      </c>
      <c r="D649" s="2">
        <v>189</v>
      </c>
      <c r="E649">
        <v>8590</v>
      </c>
      <c r="F649">
        <v>261</v>
      </c>
      <c r="G649" s="2">
        <f t="shared" si="130"/>
        <v>8877</v>
      </c>
      <c r="H649">
        <f t="shared" si="131"/>
        <v>8329</v>
      </c>
      <c r="I649" s="13">
        <f t="shared" si="132"/>
        <v>-2.6293672709809101E-2</v>
      </c>
      <c r="J649" t="str">
        <f t="shared" si="133"/>
        <v>No Backlog</v>
      </c>
      <c r="K649" s="13">
        <f t="shared" si="134"/>
        <v>0.93826743269122448</v>
      </c>
      <c r="L649" s="13">
        <f t="shared" si="135"/>
        <v>6.567872028838571</v>
      </c>
      <c r="M649" s="13">
        <f t="shared" si="136"/>
        <v>28.148022980736734</v>
      </c>
      <c r="N649" t="b">
        <f t="shared" si="137"/>
        <v>1</v>
      </c>
      <c r="O649">
        <f t="shared" si="138"/>
        <v>37</v>
      </c>
      <c r="P649" s="13">
        <f t="shared" si="139"/>
        <v>0.93795279720657798</v>
      </c>
      <c r="Q649" s="13">
        <f t="shared" si="140"/>
        <v>0.93052367773557365</v>
      </c>
      <c r="R649" s="15" t="b">
        <f t="shared" si="141"/>
        <v>0</v>
      </c>
      <c r="S649" s="13">
        <f t="shared" si="142"/>
        <v>2.9401824940858398E-2</v>
      </c>
    </row>
    <row r="650" spans="1:19" x14ac:dyDescent="0.3">
      <c r="A650" s="4">
        <v>45908</v>
      </c>
      <c r="B650" s="2">
        <v>180</v>
      </c>
      <c r="C650" s="2">
        <v>337</v>
      </c>
      <c r="D650" s="2">
        <v>219</v>
      </c>
      <c r="E650">
        <v>8485</v>
      </c>
      <c r="F650">
        <v>375</v>
      </c>
      <c r="G650" s="2">
        <f t="shared" si="130"/>
        <v>8822</v>
      </c>
      <c r="H650">
        <f t="shared" si="131"/>
        <v>8110</v>
      </c>
      <c r="I650" s="13">
        <f t="shared" si="132"/>
        <v>4.2909987669543771E-2</v>
      </c>
      <c r="J650" t="str">
        <f t="shared" si="133"/>
        <v>Backlog</v>
      </c>
      <c r="K650" s="13">
        <f t="shared" si="134"/>
        <v>0.9192926773974156</v>
      </c>
      <c r="L650" s="13">
        <f t="shared" si="135"/>
        <v>6.4350487417819089</v>
      </c>
      <c r="M650" s="13">
        <f t="shared" si="136"/>
        <v>27.578780321922469</v>
      </c>
      <c r="N650" t="b">
        <f t="shared" si="137"/>
        <v>1</v>
      </c>
      <c r="O650">
        <f t="shared" si="138"/>
        <v>37</v>
      </c>
      <c r="P650" s="13">
        <f t="shared" si="139"/>
        <v>0.92452432969610177</v>
      </c>
      <c r="Q650" s="13">
        <f t="shared" si="140"/>
        <v>0.92106029700506542</v>
      </c>
      <c r="R650" s="15" t="str">
        <f t="shared" si="141"/>
        <v>STRAIN</v>
      </c>
      <c r="S650" s="13">
        <f t="shared" si="142"/>
        <v>4.2507367943776922E-2</v>
      </c>
    </row>
    <row r="651" spans="1:19" x14ac:dyDescent="0.3">
      <c r="A651" s="4">
        <v>45909</v>
      </c>
      <c r="B651" s="2">
        <v>153</v>
      </c>
      <c r="C651" s="2">
        <v>253</v>
      </c>
      <c r="D651" s="2">
        <v>286</v>
      </c>
      <c r="E651">
        <v>8790</v>
      </c>
      <c r="F651">
        <v>332</v>
      </c>
      <c r="G651" s="2">
        <f t="shared" si="130"/>
        <v>9043</v>
      </c>
      <c r="H651">
        <f t="shared" si="131"/>
        <v>8458</v>
      </c>
      <c r="I651" s="13">
        <f t="shared" si="132"/>
        <v>-2.4828564672499409E-3</v>
      </c>
      <c r="J651" t="str">
        <f t="shared" si="133"/>
        <v>No Backlog</v>
      </c>
      <c r="K651" s="13">
        <f t="shared" si="134"/>
        <v>0.93530907884551584</v>
      </c>
      <c r="L651" s="13">
        <f t="shared" si="135"/>
        <v>6.5471635519186107</v>
      </c>
      <c r="M651" s="13">
        <f t="shared" si="136"/>
        <v>28.059272365365477</v>
      </c>
      <c r="N651" t="b">
        <f t="shared" si="137"/>
        <v>0</v>
      </c>
      <c r="O651">
        <f t="shared" si="138"/>
        <v>37</v>
      </c>
      <c r="P651" s="13">
        <f t="shared" si="139"/>
        <v>0.93769759132421693</v>
      </c>
      <c r="Q651" s="13">
        <f t="shared" si="140"/>
        <v>0.93457399548970355</v>
      </c>
      <c r="R651" s="15" t="b">
        <f t="shared" si="141"/>
        <v>0</v>
      </c>
      <c r="S651" s="13">
        <f t="shared" si="142"/>
        <v>3.6713480039809801E-2</v>
      </c>
    </row>
    <row r="652" spans="1:19" x14ac:dyDescent="0.3">
      <c r="A652" s="4">
        <v>45910</v>
      </c>
      <c r="B652" s="2">
        <v>209</v>
      </c>
      <c r="C652" s="2">
        <v>353</v>
      </c>
      <c r="D652" s="2">
        <v>232</v>
      </c>
      <c r="E652">
        <v>8704</v>
      </c>
      <c r="F652">
        <v>267</v>
      </c>
      <c r="G652" s="2">
        <f t="shared" si="130"/>
        <v>9057</v>
      </c>
      <c r="H652">
        <f t="shared" si="131"/>
        <v>8437</v>
      </c>
      <c r="I652" s="13">
        <f t="shared" si="132"/>
        <v>-3.3187151831219628E-3</v>
      </c>
      <c r="J652" t="str">
        <f t="shared" si="133"/>
        <v>No Backlog</v>
      </c>
      <c r="K652" s="13">
        <f t="shared" si="134"/>
        <v>0.9315446615877222</v>
      </c>
      <c r="L652" s="13">
        <f t="shared" si="135"/>
        <v>6.5208126311140555</v>
      </c>
      <c r="M652" s="13">
        <f t="shared" si="136"/>
        <v>27.946339847631666</v>
      </c>
      <c r="N652" t="b">
        <f t="shared" si="137"/>
        <v>1</v>
      </c>
      <c r="O652">
        <f t="shared" si="138"/>
        <v>37</v>
      </c>
      <c r="P652" s="13">
        <f t="shared" si="139"/>
        <v>0.93958098848756788</v>
      </c>
      <c r="Q652" s="13">
        <f t="shared" si="140"/>
        <v>0.93010945944194379</v>
      </c>
      <c r="R652" s="15" t="b">
        <f t="shared" si="141"/>
        <v>0</v>
      </c>
      <c r="S652" s="13">
        <f t="shared" si="142"/>
        <v>2.9479960251738987E-2</v>
      </c>
    </row>
    <row r="653" spans="1:19" x14ac:dyDescent="0.3">
      <c r="A653" s="4">
        <v>45911</v>
      </c>
      <c r="B653" s="2">
        <v>167</v>
      </c>
      <c r="C653" s="2">
        <v>326</v>
      </c>
      <c r="D653" s="2">
        <v>213</v>
      </c>
      <c r="E653">
        <v>8654</v>
      </c>
      <c r="F653">
        <v>245</v>
      </c>
      <c r="G653" s="2">
        <f t="shared" si="130"/>
        <v>8980</v>
      </c>
      <c r="H653">
        <f t="shared" si="131"/>
        <v>8409</v>
      </c>
      <c r="I653" s="13">
        <f t="shared" si="132"/>
        <v>-1.831371149958378E-2</v>
      </c>
      <c r="J653" t="str">
        <f t="shared" si="133"/>
        <v>No Backlog</v>
      </c>
      <c r="K653" s="13">
        <f t="shared" si="134"/>
        <v>0.93641425389755006</v>
      </c>
      <c r="L653" s="13">
        <f t="shared" si="135"/>
        <v>6.5548997772828503</v>
      </c>
      <c r="M653" s="13">
        <f t="shared" si="136"/>
        <v>28.092427616926503</v>
      </c>
      <c r="N653" t="b">
        <f t="shared" si="137"/>
        <v>1</v>
      </c>
      <c r="O653">
        <f t="shared" si="138"/>
        <v>37</v>
      </c>
      <c r="P653" s="13">
        <f t="shared" si="139"/>
        <v>0.9347958544900008</v>
      </c>
      <c r="Q653" s="13">
        <f t="shared" si="140"/>
        <v>0.93199415552766052</v>
      </c>
      <c r="R653" s="15" t="b">
        <f t="shared" si="141"/>
        <v>0</v>
      </c>
      <c r="S653" s="13">
        <f t="shared" si="142"/>
        <v>2.7282850779510023E-2</v>
      </c>
    </row>
    <row r="654" spans="1:19" x14ac:dyDescent="0.3">
      <c r="A654" s="4">
        <v>45914</v>
      </c>
      <c r="B654" s="2">
        <v>224</v>
      </c>
      <c r="C654" s="2">
        <v>315</v>
      </c>
      <c r="D654" s="2">
        <v>152</v>
      </c>
      <c r="E654">
        <v>8492</v>
      </c>
      <c r="F654">
        <v>237</v>
      </c>
      <c r="G654" s="2">
        <f t="shared" si="130"/>
        <v>8807</v>
      </c>
      <c r="H654">
        <f t="shared" si="131"/>
        <v>8255</v>
      </c>
      <c r="I654" s="13">
        <f t="shared" si="132"/>
        <v>-2.3743185947910358E-2</v>
      </c>
      <c r="J654" t="str">
        <f t="shared" si="133"/>
        <v>No Backlog</v>
      </c>
      <c r="K654" s="13">
        <f t="shared" si="134"/>
        <v>0.93732258430793691</v>
      </c>
      <c r="L654" s="13">
        <f t="shared" si="135"/>
        <v>6.5612580901555582</v>
      </c>
      <c r="M654" s="13">
        <f t="shared" si="136"/>
        <v>28.119677529238107</v>
      </c>
      <c r="N654" t="b">
        <f t="shared" si="137"/>
        <v>1</v>
      </c>
      <c r="O654">
        <f t="shared" si="138"/>
        <v>38</v>
      </c>
      <c r="P654" s="13">
        <f t="shared" si="139"/>
        <v>0.93218170031723369</v>
      </c>
      <c r="Q654" s="13">
        <f t="shared" si="140"/>
        <v>0.93220230851056729</v>
      </c>
      <c r="R654" s="15" t="b">
        <f t="shared" si="141"/>
        <v>0</v>
      </c>
      <c r="S654" s="13">
        <f t="shared" si="142"/>
        <v>2.69104121721358E-2</v>
      </c>
    </row>
    <row r="655" spans="1:19" x14ac:dyDescent="0.3">
      <c r="A655" s="4">
        <v>45915</v>
      </c>
      <c r="B655" s="2">
        <v>132</v>
      </c>
      <c r="C655" s="2">
        <v>243</v>
      </c>
      <c r="D655" s="2">
        <v>183</v>
      </c>
      <c r="E655">
        <v>8352</v>
      </c>
      <c r="F655">
        <v>293</v>
      </c>
      <c r="G655" s="2">
        <f t="shared" si="130"/>
        <v>8595</v>
      </c>
      <c r="H655">
        <f t="shared" si="131"/>
        <v>8059</v>
      </c>
      <c r="I655" s="13">
        <f t="shared" si="132"/>
        <v>-2.6057823551309096E-2</v>
      </c>
      <c r="J655" t="str">
        <f t="shared" si="133"/>
        <v>No Backlog</v>
      </c>
      <c r="K655" s="13">
        <f t="shared" si="134"/>
        <v>0.93763816172193137</v>
      </c>
      <c r="L655" s="13">
        <f t="shared" si="135"/>
        <v>6.5634671320535194</v>
      </c>
      <c r="M655" s="13">
        <f t="shared" si="136"/>
        <v>28.129144851657941</v>
      </c>
      <c r="N655" t="b">
        <f t="shared" si="137"/>
        <v>1</v>
      </c>
      <c r="O655">
        <f t="shared" si="138"/>
        <v>38</v>
      </c>
      <c r="P655" s="13">
        <f t="shared" si="139"/>
        <v>0.93020904225092704</v>
      </c>
      <c r="Q655" s="13">
        <f t="shared" si="140"/>
        <v>0.93821819065325052</v>
      </c>
      <c r="R655" s="15" t="b">
        <f t="shared" si="141"/>
        <v>0</v>
      </c>
      <c r="S655" s="13">
        <f t="shared" si="142"/>
        <v>3.4089586969168119E-2</v>
      </c>
    </row>
    <row r="656" spans="1:19" x14ac:dyDescent="0.3">
      <c r="A656" s="4">
        <v>45916</v>
      </c>
      <c r="B656" s="2">
        <v>218</v>
      </c>
      <c r="C656" s="2">
        <v>283</v>
      </c>
      <c r="D656" s="2">
        <v>208</v>
      </c>
      <c r="E656">
        <v>8159</v>
      </c>
      <c r="F656">
        <v>310</v>
      </c>
      <c r="G656" s="2">
        <f t="shared" si="130"/>
        <v>8442</v>
      </c>
      <c r="H656">
        <f t="shared" si="131"/>
        <v>7849</v>
      </c>
      <c r="I656" s="13">
        <f t="shared" si="132"/>
        <v>1.5288571792585043E-3</v>
      </c>
      <c r="J656" t="str">
        <f t="shared" si="133"/>
        <v>Backlog</v>
      </c>
      <c r="K656" s="13">
        <f t="shared" si="134"/>
        <v>0.92975598199478793</v>
      </c>
      <c r="L656" s="13">
        <f t="shared" si="135"/>
        <v>6.5082918739635156</v>
      </c>
      <c r="M656" s="13">
        <f t="shared" si="136"/>
        <v>27.892679459843638</v>
      </c>
      <c r="N656" t="b">
        <f t="shared" si="137"/>
        <v>1</v>
      </c>
      <c r="O656">
        <f t="shared" si="138"/>
        <v>38</v>
      </c>
      <c r="P656" s="13">
        <f t="shared" si="139"/>
        <v>0.92629194930375158</v>
      </c>
      <c r="Q656" s="13">
        <f t="shared" si="140"/>
        <v>0.94052674268845293</v>
      </c>
      <c r="R656" s="15" t="str">
        <f t="shared" si="141"/>
        <v>STRAIN</v>
      </c>
      <c r="S656" s="13">
        <f t="shared" si="142"/>
        <v>3.6721156124141202E-2</v>
      </c>
    </row>
    <row r="657" spans="1:19" x14ac:dyDescent="0.3">
      <c r="A657" s="4">
        <v>45917</v>
      </c>
      <c r="B657" s="2">
        <v>118</v>
      </c>
      <c r="C657" s="2">
        <v>245</v>
      </c>
      <c r="D657" s="2">
        <v>160</v>
      </c>
      <c r="E657">
        <v>8117</v>
      </c>
      <c r="F657">
        <v>256</v>
      </c>
      <c r="G657" s="2">
        <f t="shared" si="130"/>
        <v>8362</v>
      </c>
      <c r="H657">
        <f t="shared" si="131"/>
        <v>7861</v>
      </c>
      <c r="I657" s="13">
        <f t="shared" si="132"/>
        <v>-5.851672815163465E-3</v>
      </c>
      <c r="J657" t="str">
        <f t="shared" si="133"/>
        <v>No Backlog</v>
      </c>
      <c r="K657" s="13">
        <f t="shared" si="134"/>
        <v>0.94008610380291802</v>
      </c>
      <c r="L657" s="13">
        <f t="shared" si="135"/>
        <v>6.5806027266204259</v>
      </c>
      <c r="M657" s="13">
        <f t="shared" si="136"/>
        <v>28.202583114087542</v>
      </c>
      <c r="N657" t="b">
        <f t="shared" si="137"/>
        <v>1</v>
      </c>
      <c r="O657">
        <f t="shared" si="138"/>
        <v>38</v>
      </c>
      <c r="P657" s="13">
        <f t="shared" si="139"/>
        <v>0.93696250796840463</v>
      </c>
      <c r="Q657" s="13">
        <f t="shared" si="140"/>
        <v>0.94089870017646215</v>
      </c>
      <c r="R657" s="15" t="b">
        <f t="shared" si="141"/>
        <v>0</v>
      </c>
      <c r="S657" s="13">
        <f t="shared" si="142"/>
        <v>3.0614685481942121E-2</v>
      </c>
    </row>
    <row r="658" spans="1:19" x14ac:dyDescent="0.3">
      <c r="A658" s="4">
        <v>45918</v>
      </c>
      <c r="B658" s="2">
        <v>81</v>
      </c>
      <c r="C658" s="2">
        <v>230</v>
      </c>
      <c r="D658" s="2">
        <v>242</v>
      </c>
      <c r="E658">
        <v>8017</v>
      </c>
      <c r="F658">
        <v>202</v>
      </c>
      <c r="G658" s="2">
        <f t="shared" si="130"/>
        <v>8247</v>
      </c>
      <c r="H658">
        <f t="shared" si="131"/>
        <v>7815</v>
      </c>
      <c r="I658" s="13">
        <f t="shared" si="132"/>
        <v>-2.9686500319897634E-2</v>
      </c>
      <c r="J658" t="str">
        <f t="shared" si="133"/>
        <v>No Backlog</v>
      </c>
      <c r="K658" s="13">
        <f t="shared" si="134"/>
        <v>0.94761731538741356</v>
      </c>
      <c r="L658" s="13">
        <f t="shared" si="135"/>
        <v>6.6333212077118953</v>
      </c>
      <c r="M658" s="13">
        <f t="shared" si="136"/>
        <v>28.428519461622408</v>
      </c>
      <c r="N658" t="b">
        <f t="shared" si="137"/>
        <v>0</v>
      </c>
      <c r="O658">
        <f t="shared" si="138"/>
        <v>38</v>
      </c>
      <c r="P658" s="13">
        <f t="shared" si="139"/>
        <v>0.93814578634178947</v>
      </c>
      <c r="Q658" s="13">
        <f t="shared" si="140"/>
        <v>0.94057807816226413</v>
      </c>
      <c r="R658" s="15" t="b">
        <f t="shared" si="141"/>
        <v>0</v>
      </c>
      <c r="S658" s="13">
        <f t="shared" si="142"/>
        <v>2.449375530495938E-2</v>
      </c>
    </row>
    <row r="659" spans="1:19" x14ac:dyDescent="0.3">
      <c r="A659" s="4">
        <v>45921</v>
      </c>
      <c r="B659" s="2">
        <v>236</v>
      </c>
      <c r="C659" s="2">
        <v>330</v>
      </c>
      <c r="D659" s="2">
        <v>222</v>
      </c>
      <c r="E659">
        <v>7796</v>
      </c>
      <c r="F659">
        <v>213</v>
      </c>
      <c r="G659" s="2">
        <f t="shared" si="130"/>
        <v>8126</v>
      </c>
      <c r="H659">
        <f t="shared" si="131"/>
        <v>7583</v>
      </c>
      <c r="I659" s="13">
        <f t="shared" si="132"/>
        <v>-4.1540287485164182E-2</v>
      </c>
      <c r="J659" t="str">
        <f t="shared" si="133"/>
        <v>No Backlog</v>
      </c>
      <c r="K659" s="13">
        <f t="shared" si="134"/>
        <v>0.93317745508245142</v>
      </c>
      <c r="L659" s="13">
        <f t="shared" si="135"/>
        <v>6.53224218557716</v>
      </c>
      <c r="M659" s="13">
        <f t="shared" si="136"/>
        <v>27.995323652473544</v>
      </c>
      <c r="N659" t="b">
        <f t="shared" si="137"/>
        <v>1</v>
      </c>
      <c r="O659">
        <f t="shared" si="138"/>
        <v>39</v>
      </c>
      <c r="P659" s="13">
        <f t="shared" si="139"/>
        <v>0.93037575612011125</v>
      </c>
      <c r="Q659" s="13">
        <f t="shared" si="140"/>
        <v>0.93663755450323594</v>
      </c>
      <c r="R659" s="15" t="b">
        <f t="shared" si="141"/>
        <v>0</v>
      </c>
      <c r="S659" s="13">
        <f t="shared" si="142"/>
        <v>2.621215850356879E-2</v>
      </c>
    </row>
    <row r="660" spans="1:19" x14ac:dyDescent="0.3">
      <c r="A660" s="4">
        <v>45922</v>
      </c>
      <c r="B660" s="2">
        <v>196</v>
      </c>
      <c r="C660" s="2">
        <v>306</v>
      </c>
      <c r="D660" s="2">
        <v>187</v>
      </c>
      <c r="E660">
        <v>7534</v>
      </c>
      <c r="F660">
        <v>266</v>
      </c>
      <c r="G660" s="2">
        <f t="shared" si="130"/>
        <v>7840</v>
      </c>
      <c r="H660">
        <f t="shared" si="131"/>
        <v>7268</v>
      </c>
      <c r="I660" s="13">
        <f t="shared" si="132"/>
        <v>-1.3483764446890478E-2</v>
      </c>
      <c r="J660" t="str">
        <f t="shared" si="133"/>
        <v>No Backlog</v>
      </c>
      <c r="K660" s="13">
        <f t="shared" si="134"/>
        <v>0.92704081632653057</v>
      </c>
      <c r="L660" s="13">
        <f t="shared" si="135"/>
        <v>6.4892857142857139</v>
      </c>
      <c r="M660" s="13">
        <f t="shared" si="136"/>
        <v>27.811224489795919</v>
      </c>
      <c r="N660" t="b">
        <f t="shared" si="137"/>
        <v>1</v>
      </c>
      <c r="O660">
        <f t="shared" si="138"/>
        <v>39</v>
      </c>
      <c r="P660" s="13">
        <f t="shared" si="139"/>
        <v>0.92706142451986406</v>
      </c>
      <c r="Q660" s="13">
        <f t="shared" si="140"/>
        <v>0.93353228464782578</v>
      </c>
      <c r="R660" s="15" t="b">
        <f t="shared" si="141"/>
        <v>0</v>
      </c>
      <c r="S660" s="13">
        <f t="shared" si="142"/>
        <v>3.3928571428571426E-2</v>
      </c>
    </row>
    <row r="661" spans="1:19" x14ac:dyDescent="0.3">
      <c r="A661" s="4">
        <v>45923</v>
      </c>
      <c r="B661" s="2">
        <v>113</v>
      </c>
      <c r="C661" s="2">
        <v>280</v>
      </c>
      <c r="D661" s="2">
        <v>237</v>
      </c>
      <c r="E661">
        <v>7490</v>
      </c>
      <c r="F661">
        <v>320</v>
      </c>
      <c r="G661" s="2">
        <f t="shared" si="130"/>
        <v>7770</v>
      </c>
      <c r="H661">
        <f t="shared" si="131"/>
        <v>7170</v>
      </c>
      <c r="I661" s="13">
        <f t="shared" si="132"/>
        <v>-5.9972105997210604E-3</v>
      </c>
      <c r="J661" t="str">
        <f t="shared" si="133"/>
        <v>No Backlog</v>
      </c>
      <c r="K661" s="13">
        <f t="shared" si="134"/>
        <v>0.92277992277992282</v>
      </c>
      <c r="L661" s="13">
        <f t="shared" si="135"/>
        <v>6.4594594594594597</v>
      </c>
      <c r="M661" s="13">
        <f t="shared" si="136"/>
        <v>27.683397683397686</v>
      </c>
      <c r="N661" t="b">
        <f t="shared" si="137"/>
        <v>1</v>
      </c>
      <c r="O661">
        <f t="shared" si="138"/>
        <v>39</v>
      </c>
      <c r="P661" s="13">
        <f t="shared" si="139"/>
        <v>0.9307890711822463</v>
      </c>
      <c r="Q661" s="13">
        <f t="shared" si="140"/>
        <v>0.93164167763710104</v>
      </c>
      <c r="R661" s="15" t="b">
        <f t="shared" si="141"/>
        <v>0</v>
      </c>
      <c r="S661" s="13">
        <f t="shared" si="142"/>
        <v>4.1184041184041183E-2</v>
      </c>
    </row>
    <row r="662" spans="1:19" x14ac:dyDescent="0.3">
      <c r="A662" s="4">
        <v>45924</v>
      </c>
      <c r="B662" s="2">
        <v>239</v>
      </c>
      <c r="C662" s="2">
        <v>367</v>
      </c>
      <c r="D662" s="2">
        <v>224</v>
      </c>
      <c r="E662">
        <v>7356</v>
      </c>
      <c r="F662">
        <v>229</v>
      </c>
      <c r="G662" s="2">
        <f t="shared" si="130"/>
        <v>7723</v>
      </c>
      <c r="H662">
        <f t="shared" si="131"/>
        <v>7127</v>
      </c>
      <c r="I662" s="13">
        <f t="shared" si="132"/>
        <v>2.1046723726673216E-3</v>
      </c>
      <c r="J662" t="str">
        <f t="shared" si="133"/>
        <v>Backlog</v>
      </c>
      <c r="K662" s="13">
        <f t="shared" si="134"/>
        <v>0.92282791661271524</v>
      </c>
      <c r="L662" s="13">
        <f t="shared" si="135"/>
        <v>6.4597954162890066</v>
      </c>
      <c r="M662" s="13">
        <f t="shared" si="136"/>
        <v>27.684837498381459</v>
      </c>
      <c r="N662" t="b">
        <f t="shared" si="137"/>
        <v>1</v>
      </c>
      <c r="O662">
        <f t="shared" si="138"/>
        <v>39</v>
      </c>
      <c r="P662" s="13">
        <f t="shared" si="139"/>
        <v>0.93706270999741648</v>
      </c>
      <c r="Q662" s="13">
        <f t="shared" si="140"/>
        <v>0.93559923842353077</v>
      </c>
      <c r="R662" s="15" t="str">
        <f t="shared" si="141"/>
        <v>STRAIN</v>
      </c>
      <c r="S662" s="13">
        <f t="shared" si="142"/>
        <v>2.9651689757866116E-2</v>
      </c>
    </row>
    <row r="663" spans="1:19" x14ac:dyDescent="0.3">
      <c r="A663" s="4">
        <v>45925</v>
      </c>
      <c r="B663" s="2">
        <v>152</v>
      </c>
      <c r="C663" s="2">
        <v>272</v>
      </c>
      <c r="D663" s="2">
        <v>214</v>
      </c>
      <c r="E663">
        <v>7376</v>
      </c>
      <c r="F663">
        <v>234</v>
      </c>
      <c r="G663" s="2">
        <f t="shared" si="130"/>
        <v>7648</v>
      </c>
      <c r="H663">
        <f t="shared" si="131"/>
        <v>7142</v>
      </c>
      <c r="I663" s="13">
        <f t="shared" si="132"/>
        <v>-6.4407728927471297E-3</v>
      </c>
      <c r="J663" t="str">
        <f t="shared" si="133"/>
        <v>No Backlog</v>
      </c>
      <c r="K663" s="13">
        <f t="shared" si="134"/>
        <v>0.93383891213389125</v>
      </c>
      <c r="L663" s="13">
        <f t="shared" si="135"/>
        <v>6.5368723849372383</v>
      </c>
      <c r="M663" s="13">
        <f t="shared" si="136"/>
        <v>28.015167364016737</v>
      </c>
      <c r="N663" t="b">
        <f t="shared" si="137"/>
        <v>1</v>
      </c>
      <c r="O663">
        <f t="shared" si="138"/>
        <v>39</v>
      </c>
      <c r="P663" s="13">
        <f t="shared" si="139"/>
        <v>0.93777510434194866</v>
      </c>
      <c r="Q663" s="13">
        <f t="shared" si="140"/>
        <v>0.93428826161911904</v>
      </c>
      <c r="R663" s="15" t="b">
        <f t="shared" si="141"/>
        <v>0</v>
      </c>
      <c r="S663" s="13">
        <f t="shared" si="142"/>
        <v>3.0596234309623431E-2</v>
      </c>
    </row>
    <row r="664" spans="1:19" x14ac:dyDescent="0.3">
      <c r="A664" s="4">
        <v>45928</v>
      </c>
      <c r="B664" s="2">
        <v>170</v>
      </c>
      <c r="C664" s="2">
        <v>297</v>
      </c>
      <c r="D664" s="2">
        <v>196</v>
      </c>
      <c r="E664">
        <v>7344</v>
      </c>
      <c r="F664">
        <v>248</v>
      </c>
      <c r="G664" s="2">
        <f t="shared" si="130"/>
        <v>7641</v>
      </c>
      <c r="H664">
        <f t="shared" si="131"/>
        <v>7096</v>
      </c>
      <c r="I664" s="13">
        <f t="shared" si="132"/>
        <v>1.6910935738444193E-3</v>
      </c>
      <c r="J664" t="str">
        <f t="shared" si="133"/>
        <v>Backlog</v>
      </c>
      <c r="K664" s="13">
        <f t="shared" si="134"/>
        <v>0.92867425729616537</v>
      </c>
      <c r="L664" s="13">
        <f t="shared" si="135"/>
        <v>6.5007198010731573</v>
      </c>
      <c r="M664" s="13">
        <f t="shared" si="136"/>
        <v>27.860227718884961</v>
      </c>
      <c r="N664" t="b">
        <f t="shared" si="137"/>
        <v>1</v>
      </c>
      <c r="O664">
        <f t="shared" si="138"/>
        <v>40</v>
      </c>
      <c r="P664" s="13">
        <f t="shared" si="139"/>
        <v>0.93110654911664004</v>
      </c>
      <c r="Q664" s="13">
        <f t="shared" si="140"/>
        <v>0.92779089617838939</v>
      </c>
      <c r="R664" s="15" t="str">
        <f t="shared" si="141"/>
        <v>STRAIN</v>
      </c>
      <c r="S664" s="13">
        <f t="shared" si="142"/>
        <v>3.2456484753304544E-2</v>
      </c>
    </row>
    <row r="665" spans="1:19" x14ac:dyDescent="0.3">
      <c r="A665" s="4">
        <v>45929</v>
      </c>
      <c r="B665" s="2">
        <v>191</v>
      </c>
      <c r="C665" s="2">
        <v>283</v>
      </c>
      <c r="D665" s="2">
        <v>192</v>
      </c>
      <c r="E665">
        <v>7380</v>
      </c>
      <c r="F665">
        <v>272</v>
      </c>
      <c r="G665" s="2">
        <f t="shared" si="130"/>
        <v>7663</v>
      </c>
      <c r="H665">
        <f t="shared" si="131"/>
        <v>7108</v>
      </c>
      <c r="I665" s="13">
        <f t="shared" si="132"/>
        <v>4.4597636465953855E-2</v>
      </c>
      <c r="J665" t="str">
        <f t="shared" si="133"/>
        <v>Backlog</v>
      </c>
      <c r="K665" s="13">
        <f t="shared" si="134"/>
        <v>0.92757405715777108</v>
      </c>
      <c r="L665" s="13">
        <f t="shared" si="135"/>
        <v>6.4930184001043978</v>
      </c>
      <c r="M665" s="13">
        <f t="shared" si="136"/>
        <v>27.827221714733131</v>
      </c>
      <c r="N665" t="b">
        <f t="shared" si="137"/>
        <v>1</v>
      </c>
      <c r="O665">
        <f t="shared" si="138"/>
        <v>40</v>
      </c>
      <c r="P665" s="13">
        <f t="shared" si="139"/>
        <v>0.93383585554089577</v>
      </c>
      <c r="Q665" s="13">
        <f t="shared" si="140"/>
        <v>0.9335019226993162</v>
      </c>
      <c r="R665" s="15" t="str">
        <f t="shared" si="141"/>
        <v>STRAIN</v>
      </c>
      <c r="S665" s="13">
        <f t="shared" si="142"/>
        <v>3.5495236852407672E-2</v>
      </c>
    </row>
    <row r="666" spans="1:19" x14ac:dyDescent="0.3">
      <c r="A666" s="4">
        <v>45930</v>
      </c>
      <c r="B666" s="2">
        <v>109</v>
      </c>
      <c r="C666" s="2">
        <v>214</v>
      </c>
      <c r="D666" s="2">
        <v>173</v>
      </c>
      <c r="E666">
        <v>7795</v>
      </c>
      <c r="F666">
        <v>370</v>
      </c>
      <c r="G666" s="2">
        <f t="shared" si="130"/>
        <v>8009</v>
      </c>
      <c r="H666">
        <f t="shared" si="131"/>
        <v>7425</v>
      </c>
      <c r="I666" s="13">
        <f t="shared" si="132"/>
        <v>2.2626262626262626E-2</v>
      </c>
      <c r="J666" t="str">
        <f t="shared" si="133"/>
        <v>Backlog</v>
      </c>
      <c r="K666" s="13">
        <f t="shared" si="134"/>
        <v>0.92708203271319767</v>
      </c>
      <c r="L666" s="13">
        <f t="shared" si="135"/>
        <v>6.4895742289923835</v>
      </c>
      <c r="M666" s="13">
        <f t="shared" si="136"/>
        <v>27.81246098139593</v>
      </c>
      <c r="N666" t="b">
        <f t="shared" si="137"/>
        <v>1</v>
      </c>
      <c r="O666">
        <f t="shared" si="138"/>
        <v>40</v>
      </c>
      <c r="P666" s="13">
        <f t="shared" si="139"/>
        <v>0.93355289284115939</v>
      </c>
      <c r="Q666" s="13">
        <f t="shared" si="140"/>
        <v>0.93747924029482277</v>
      </c>
      <c r="R666" s="15" t="str">
        <f t="shared" si="141"/>
        <v>STRAIN</v>
      </c>
      <c r="S666" s="13">
        <f t="shared" si="142"/>
        <v>4.6198027219378199E-2</v>
      </c>
    </row>
    <row r="667" spans="1:19" x14ac:dyDescent="0.3">
      <c r="A667" s="4">
        <v>45931</v>
      </c>
      <c r="B667" s="2">
        <v>155</v>
      </c>
      <c r="C667" s="2">
        <v>212</v>
      </c>
      <c r="D667" s="2">
        <v>181</v>
      </c>
      <c r="E667">
        <v>7876</v>
      </c>
      <c r="F667">
        <v>283</v>
      </c>
      <c r="G667" s="2">
        <f t="shared" si="130"/>
        <v>8088</v>
      </c>
      <c r="H667">
        <f t="shared" si="131"/>
        <v>7593</v>
      </c>
      <c r="I667" s="13">
        <f t="shared" si="132"/>
        <v>1.8701435532727514E-2</v>
      </c>
      <c r="J667" t="str">
        <f t="shared" si="133"/>
        <v>Backlog</v>
      </c>
      <c r="K667" s="13">
        <f t="shared" si="134"/>
        <v>0.93879821958456977</v>
      </c>
      <c r="L667" s="13">
        <f t="shared" si="135"/>
        <v>6.5715875370919887</v>
      </c>
      <c r="M667" s="13">
        <f t="shared" si="136"/>
        <v>28.163946587537094</v>
      </c>
      <c r="N667" t="b">
        <f t="shared" si="137"/>
        <v>1</v>
      </c>
      <c r="O667">
        <f t="shared" si="138"/>
        <v>40</v>
      </c>
      <c r="P667" s="13">
        <f t="shared" si="139"/>
        <v>0.93965082603942451</v>
      </c>
      <c r="Q667" s="13">
        <f t="shared" si="140"/>
        <v>0.94453689301335042</v>
      </c>
      <c r="R667" s="15" t="str">
        <f t="shared" si="141"/>
        <v>STRAIN</v>
      </c>
      <c r="S667" s="13">
        <f t="shared" si="142"/>
        <v>3.4990108803165186E-2</v>
      </c>
    </row>
    <row r="668" spans="1:19" x14ac:dyDescent="0.3">
      <c r="A668" s="4">
        <v>45932</v>
      </c>
      <c r="B668" s="2">
        <v>119</v>
      </c>
      <c r="C668" s="2">
        <v>209</v>
      </c>
      <c r="D668" s="2">
        <v>152</v>
      </c>
      <c r="E668">
        <v>7922</v>
      </c>
      <c r="F668">
        <v>187</v>
      </c>
      <c r="G668" s="2">
        <f t="shared" si="130"/>
        <v>8131</v>
      </c>
      <c r="H668">
        <f t="shared" si="131"/>
        <v>7735</v>
      </c>
      <c r="I668" s="13">
        <f t="shared" si="132"/>
        <v>-2.2495151906916613E-2</v>
      </c>
      <c r="J668" t="str">
        <f t="shared" si="133"/>
        <v>No Backlog</v>
      </c>
      <c r="K668" s="13">
        <f t="shared" si="134"/>
        <v>0.95129750338211783</v>
      </c>
      <c r="L668" s="13">
        <f t="shared" si="135"/>
        <v>6.659082523674825</v>
      </c>
      <c r="M668" s="13">
        <f t="shared" si="136"/>
        <v>28.538925101463533</v>
      </c>
      <c r="N668" t="b">
        <f t="shared" si="137"/>
        <v>1</v>
      </c>
      <c r="O668">
        <f t="shared" si="138"/>
        <v>40</v>
      </c>
      <c r="P668" s="13">
        <f t="shared" si="139"/>
        <v>0.94983403180823212</v>
      </c>
      <c r="Q668" s="13">
        <f t="shared" si="140"/>
        <v>0.9387032432269542</v>
      </c>
      <c r="R668" s="15" t="b">
        <f t="shared" si="141"/>
        <v>0</v>
      </c>
      <c r="S668" s="13">
        <f t="shared" si="142"/>
        <v>2.2998401180666584E-2</v>
      </c>
    </row>
    <row r="669" spans="1:19" x14ac:dyDescent="0.3">
      <c r="A669" s="4">
        <v>45935</v>
      </c>
      <c r="B669" s="2">
        <v>143</v>
      </c>
      <c r="C669" s="2">
        <v>203</v>
      </c>
      <c r="D669" s="2">
        <v>163</v>
      </c>
      <c r="E669">
        <v>7826</v>
      </c>
      <c r="F669">
        <v>265</v>
      </c>
      <c r="G669" s="2">
        <f t="shared" si="130"/>
        <v>8029</v>
      </c>
      <c r="H669">
        <f t="shared" si="131"/>
        <v>7561</v>
      </c>
      <c r="I669" s="13">
        <f t="shared" si="132"/>
        <v>1.3225763787858748E-3</v>
      </c>
      <c r="J669" t="str">
        <f t="shared" si="133"/>
        <v>Backlog</v>
      </c>
      <c r="K669" s="13">
        <f t="shared" si="134"/>
        <v>0.94171129655000618</v>
      </c>
      <c r="L669" s="13">
        <f t="shared" si="135"/>
        <v>6.5919790758500429</v>
      </c>
      <c r="M669" s="13">
        <f t="shared" si="136"/>
        <v>28.251338896500187</v>
      </c>
      <c r="N669" t="b">
        <f t="shared" si="137"/>
        <v>1</v>
      </c>
      <c r="O669">
        <f t="shared" si="138"/>
        <v>41</v>
      </c>
      <c r="P669" s="13">
        <f t="shared" si="139"/>
        <v>0.93822445382717645</v>
      </c>
      <c r="Q669" s="13">
        <f t="shared" si="140"/>
        <v>0.93462981872141038</v>
      </c>
      <c r="R669" s="15" t="str">
        <f t="shared" si="141"/>
        <v>STRAIN</v>
      </c>
      <c r="S669" s="13">
        <f t="shared" si="142"/>
        <v>3.3005355586000748E-2</v>
      </c>
    </row>
    <row r="670" spans="1:19" x14ac:dyDescent="0.3">
      <c r="A670" s="4">
        <v>45936</v>
      </c>
      <c r="B670" s="2">
        <v>105</v>
      </c>
      <c r="C670" s="2">
        <v>210</v>
      </c>
      <c r="D670" s="2">
        <v>149</v>
      </c>
      <c r="E670">
        <v>7900</v>
      </c>
      <c r="F670">
        <v>329</v>
      </c>
      <c r="G670" s="2">
        <f t="shared" si="130"/>
        <v>8110</v>
      </c>
      <c r="H670">
        <f t="shared" si="131"/>
        <v>7571</v>
      </c>
      <c r="I670" s="13">
        <f t="shared" si="132"/>
        <v>4.2662792233522651E-2</v>
      </c>
      <c r="J670" t="str">
        <f t="shared" si="133"/>
        <v>Backlog</v>
      </c>
      <c r="K670" s="13">
        <f t="shared" si="134"/>
        <v>0.9335388409371147</v>
      </c>
      <c r="L670" s="13">
        <f t="shared" si="135"/>
        <v>6.5347718865598026</v>
      </c>
      <c r="M670" s="13">
        <f t="shared" si="136"/>
        <v>28.006165228113442</v>
      </c>
      <c r="N670" t="b">
        <f t="shared" si="137"/>
        <v>1</v>
      </c>
      <c r="O670">
        <f t="shared" si="138"/>
        <v>41</v>
      </c>
      <c r="P670" s="13">
        <f t="shared" si="139"/>
        <v>0.93022318799886405</v>
      </c>
      <c r="Q670" s="13">
        <f t="shared" si="140"/>
        <v>0.93554181120177926</v>
      </c>
      <c r="R670" s="15" t="str">
        <f t="shared" si="141"/>
        <v>STRAIN</v>
      </c>
      <c r="S670" s="13">
        <f t="shared" si="142"/>
        <v>4.05672009864365E-2</v>
      </c>
    </row>
    <row r="671" spans="1:19" x14ac:dyDescent="0.3">
      <c r="A671" s="4">
        <v>45937</v>
      </c>
      <c r="B671" s="2">
        <v>119</v>
      </c>
      <c r="C671" s="2">
        <v>219</v>
      </c>
      <c r="D671" s="2">
        <v>210</v>
      </c>
      <c r="E671">
        <v>8178</v>
      </c>
      <c r="F671">
        <v>284</v>
      </c>
      <c r="G671" s="2">
        <f t="shared" si="130"/>
        <v>8397</v>
      </c>
      <c r="H671">
        <f t="shared" si="131"/>
        <v>7894</v>
      </c>
      <c r="I671" s="13">
        <f t="shared" si="132"/>
        <v>2.6602482898403852E-3</v>
      </c>
      <c r="J671" t="str">
        <f t="shared" si="133"/>
        <v>Backlog</v>
      </c>
      <c r="K671" s="13">
        <f t="shared" si="134"/>
        <v>0.94009765392402045</v>
      </c>
      <c r="L671" s="13">
        <f t="shared" si="135"/>
        <v>6.5806835774681431</v>
      </c>
      <c r="M671" s="13">
        <f t="shared" si="136"/>
        <v>28.202929617720613</v>
      </c>
      <c r="N671" t="b">
        <f t="shared" si="137"/>
        <v>1</v>
      </c>
      <c r="O671">
        <f t="shared" si="138"/>
        <v>41</v>
      </c>
      <c r="P671" s="13">
        <f t="shared" si="139"/>
        <v>0.93976372108244077</v>
      </c>
      <c r="Q671" s="13">
        <f t="shared" si="140"/>
        <v>0.94042854337633375</v>
      </c>
      <c r="R671" s="15" t="str">
        <f t="shared" si="141"/>
        <v>STRAIN</v>
      </c>
      <c r="S671" s="13">
        <f t="shared" si="142"/>
        <v>3.3821602953435753E-2</v>
      </c>
    </row>
    <row r="672" spans="1:19" x14ac:dyDescent="0.3">
      <c r="A672" s="4">
        <v>45938</v>
      </c>
      <c r="B672" s="2">
        <v>148</v>
      </c>
      <c r="C672" s="2">
        <v>245</v>
      </c>
      <c r="D672" s="2">
        <v>175</v>
      </c>
      <c r="E672">
        <v>8175</v>
      </c>
      <c r="F672">
        <v>260</v>
      </c>
      <c r="G672" s="2">
        <f t="shared" si="130"/>
        <v>8420</v>
      </c>
      <c r="H672">
        <f t="shared" si="131"/>
        <v>7915</v>
      </c>
      <c r="I672" s="13">
        <f t="shared" si="132"/>
        <v>-1.3392293114339862E-2</v>
      </c>
      <c r="J672" t="str">
        <f t="shared" si="133"/>
        <v>No Backlog</v>
      </c>
      <c r="K672" s="13">
        <f t="shared" si="134"/>
        <v>0.94002375296912111</v>
      </c>
      <c r="L672" s="13">
        <f t="shared" si="135"/>
        <v>6.580166270783848</v>
      </c>
      <c r="M672" s="13">
        <f t="shared" si="136"/>
        <v>28.200712589073632</v>
      </c>
      <c r="N672" t="b">
        <f t="shared" si="137"/>
        <v>1</v>
      </c>
      <c r="O672">
        <f t="shared" si="138"/>
        <v>41</v>
      </c>
      <c r="P672" s="13">
        <f t="shared" si="139"/>
        <v>0.94395010042278449</v>
      </c>
      <c r="Q672" s="13">
        <f t="shared" si="140"/>
        <v>0.93410697595083914</v>
      </c>
      <c r="R672" s="15" t="b">
        <f t="shared" si="141"/>
        <v>0</v>
      </c>
      <c r="S672" s="13">
        <f t="shared" si="142"/>
        <v>3.0878859857482184E-2</v>
      </c>
    </row>
    <row r="673" spans="1:19" x14ac:dyDescent="0.3">
      <c r="A673" s="4">
        <v>45939</v>
      </c>
      <c r="B673" s="2">
        <v>142</v>
      </c>
      <c r="C673" s="2">
        <v>235</v>
      </c>
      <c r="D673" s="2">
        <v>139</v>
      </c>
      <c r="E673">
        <v>8068</v>
      </c>
      <c r="F673">
        <v>259</v>
      </c>
      <c r="G673" s="2">
        <f t="shared" si="130"/>
        <v>8303</v>
      </c>
      <c r="H673">
        <f t="shared" si="131"/>
        <v>7809</v>
      </c>
      <c r="I673" s="13">
        <f t="shared" si="132"/>
        <v>-4.9942374183634267E-3</v>
      </c>
      <c r="J673" t="str">
        <f t="shared" si="133"/>
        <v>No Backlog</v>
      </c>
      <c r="K673" s="13">
        <f t="shared" si="134"/>
        <v>0.94050343249427915</v>
      </c>
      <c r="L673" s="13">
        <f t="shared" si="135"/>
        <v>6.583524027459954</v>
      </c>
      <c r="M673" s="13">
        <f t="shared" si="136"/>
        <v>28.215102974828376</v>
      </c>
      <c r="N673" t="b">
        <f t="shared" si="137"/>
        <v>1</v>
      </c>
      <c r="O673">
        <f t="shared" si="138"/>
        <v>41</v>
      </c>
      <c r="P673" s="13">
        <f t="shared" si="139"/>
        <v>0.94538949946820505</v>
      </c>
      <c r="Q673" s="13">
        <f t="shared" si="140"/>
        <v>0.93357241559913862</v>
      </c>
      <c r="R673" s="15" t="b">
        <f t="shared" si="141"/>
        <v>0</v>
      </c>
      <c r="S673" s="13">
        <f t="shared" si="142"/>
        <v>3.1193544501987233E-2</v>
      </c>
    </row>
    <row r="674" spans="1:19" x14ac:dyDescent="0.3">
      <c r="A674" s="4">
        <v>45943</v>
      </c>
      <c r="B674" s="2">
        <v>118</v>
      </c>
      <c r="C674" s="2">
        <v>139</v>
      </c>
      <c r="D674" s="2">
        <v>168</v>
      </c>
      <c r="E674">
        <v>8054</v>
      </c>
      <c r="F674">
        <v>284</v>
      </c>
      <c r="G674" s="2">
        <f t="shared" si="130"/>
        <v>8193</v>
      </c>
      <c r="H674">
        <f t="shared" si="131"/>
        <v>7770</v>
      </c>
      <c r="I674" s="13">
        <f t="shared" si="132"/>
        <v>-1.1969111969111969E-2</v>
      </c>
      <c r="J674" t="str">
        <f t="shared" si="133"/>
        <v>No Backlog</v>
      </c>
      <c r="K674" s="13">
        <f t="shared" si="134"/>
        <v>0.9483705602343464</v>
      </c>
      <c r="L674" s="13">
        <f t="shared" si="135"/>
        <v>6.6385939216404246</v>
      </c>
      <c r="M674" s="13">
        <f t="shared" si="136"/>
        <v>28.451116807030392</v>
      </c>
      <c r="N674" t="b">
        <f t="shared" si="137"/>
        <v>0</v>
      </c>
      <c r="O674">
        <f t="shared" si="138"/>
        <v>42</v>
      </c>
      <c r="P674" s="13">
        <f t="shared" si="139"/>
        <v>0.93723977165306849</v>
      </c>
      <c r="Q674" s="13">
        <f t="shared" si="140"/>
        <v>0.93863079952701722</v>
      </c>
      <c r="R674" s="15" t="b">
        <f t="shared" si="141"/>
        <v>0</v>
      </c>
      <c r="S674" s="13">
        <f t="shared" si="142"/>
        <v>3.4663737336750884E-2</v>
      </c>
    </row>
    <row r="675" spans="1:19" x14ac:dyDescent="0.3">
      <c r="A675" s="4">
        <v>45944</v>
      </c>
      <c r="B675" s="2">
        <v>125</v>
      </c>
      <c r="C675" s="2">
        <v>232</v>
      </c>
      <c r="D675" s="2">
        <v>192</v>
      </c>
      <c r="E675">
        <v>7981</v>
      </c>
      <c r="F675">
        <v>304</v>
      </c>
      <c r="G675" s="2">
        <f t="shared" si="130"/>
        <v>8213</v>
      </c>
      <c r="H675">
        <f t="shared" si="131"/>
        <v>7677</v>
      </c>
      <c r="I675" s="13">
        <f t="shared" si="132"/>
        <v>1.5891624332421517E-2</v>
      </c>
      <c r="J675" t="str">
        <f t="shared" si="133"/>
        <v>Backlog</v>
      </c>
      <c r="K675" s="13">
        <f t="shared" si="134"/>
        <v>0.93473761110434672</v>
      </c>
      <c r="L675" s="13">
        <f t="shared" si="135"/>
        <v>6.5431632777304269</v>
      </c>
      <c r="M675" s="13">
        <f t="shared" si="136"/>
        <v>28.042128333130403</v>
      </c>
      <c r="N675" t="b">
        <f t="shared" si="137"/>
        <v>1</v>
      </c>
      <c r="O675">
        <f t="shared" si="138"/>
        <v>42</v>
      </c>
      <c r="P675" s="13">
        <f t="shared" si="139"/>
        <v>0.93114297599858054</v>
      </c>
      <c r="Q675" s="13">
        <f t="shared" si="140"/>
        <v>0.93626862116372833</v>
      </c>
      <c r="R675" s="15" t="str">
        <f t="shared" si="141"/>
        <v>STRAIN</v>
      </c>
      <c r="S675" s="13">
        <f t="shared" si="142"/>
        <v>3.7014489224400343E-2</v>
      </c>
    </row>
    <row r="676" spans="1:19" x14ac:dyDescent="0.3">
      <c r="A676" s="4">
        <v>45945</v>
      </c>
      <c r="B676" s="2">
        <v>156</v>
      </c>
      <c r="C676" s="2">
        <v>256</v>
      </c>
      <c r="D676" s="2">
        <v>176</v>
      </c>
      <c r="E676">
        <v>8158</v>
      </c>
      <c r="F676">
        <v>359</v>
      </c>
      <c r="G676" s="2">
        <f t="shared" si="130"/>
        <v>8414</v>
      </c>
      <c r="H676">
        <f t="shared" si="131"/>
        <v>7799</v>
      </c>
      <c r="I676" s="13">
        <f t="shared" si="132"/>
        <v>1.820746249519169E-2</v>
      </c>
      <c r="J676" t="str">
        <f t="shared" si="133"/>
        <v>Backlog</v>
      </c>
      <c r="K676" s="13">
        <f t="shared" si="134"/>
        <v>0.9269075350606133</v>
      </c>
      <c r="L676" s="13">
        <f t="shared" si="135"/>
        <v>6.4883527454242929</v>
      </c>
      <c r="M676" s="13">
        <f t="shared" si="136"/>
        <v>27.8072260518184</v>
      </c>
      <c r="N676" t="b">
        <f t="shared" si="137"/>
        <v>1</v>
      </c>
      <c r="O676">
        <f t="shared" si="138"/>
        <v>42</v>
      </c>
      <c r="P676" s="13">
        <f t="shared" si="139"/>
        <v>0.9322261582635285</v>
      </c>
      <c r="Q676" s="13">
        <f t="shared" si="140"/>
        <v>0.93519504875711834</v>
      </c>
      <c r="R676" s="15" t="str">
        <f t="shared" si="141"/>
        <v>STRAIN</v>
      </c>
      <c r="S676" s="13">
        <f t="shared" si="142"/>
        <v>4.2666983598763968E-2</v>
      </c>
    </row>
    <row r="677" spans="1:19" x14ac:dyDescent="0.3">
      <c r="A677" s="4">
        <v>45946</v>
      </c>
      <c r="B677" s="2">
        <v>109</v>
      </c>
      <c r="C677" s="2">
        <v>245</v>
      </c>
      <c r="D677" s="2">
        <v>159</v>
      </c>
      <c r="E677">
        <v>8208</v>
      </c>
      <c r="F677">
        <v>267</v>
      </c>
      <c r="G677" s="2">
        <f t="shared" si="130"/>
        <v>8453</v>
      </c>
      <c r="H677">
        <f t="shared" si="131"/>
        <v>7941</v>
      </c>
      <c r="I677" s="13">
        <f t="shared" si="132"/>
        <v>-1.0703941569071906E-2</v>
      </c>
      <c r="J677" t="str">
        <f t="shared" si="133"/>
        <v>No Backlog</v>
      </c>
      <c r="K677" s="13">
        <f t="shared" si="134"/>
        <v>0.93942978824086121</v>
      </c>
      <c r="L677" s="13">
        <f t="shared" si="135"/>
        <v>6.5760085176860281</v>
      </c>
      <c r="M677" s="13">
        <f t="shared" si="136"/>
        <v>28.182893647225836</v>
      </c>
      <c r="N677" t="b">
        <f t="shared" si="137"/>
        <v>1</v>
      </c>
      <c r="O677">
        <f t="shared" si="138"/>
        <v>42</v>
      </c>
      <c r="P677" s="13">
        <f t="shared" si="139"/>
        <v>0.94009461053475407</v>
      </c>
      <c r="Q677" s="13">
        <f t="shared" si="140"/>
        <v>0.93899795170668177</v>
      </c>
      <c r="R677" s="15" t="b">
        <f t="shared" si="141"/>
        <v>0</v>
      </c>
      <c r="S677" s="13">
        <f t="shared" si="142"/>
        <v>3.158641902283213E-2</v>
      </c>
    </row>
    <row r="678" spans="1:19" x14ac:dyDescent="0.3">
      <c r="A678" s="4">
        <v>45949</v>
      </c>
      <c r="B678" s="2">
        <v>167</v>
      </c>
      <c r="C678" s="2">
        <v>209</v>
      </c>
      <c r="D678" s="2">
        <v>157</v>
      </c>
      <c r="E678">
        <v>8079</v>
      </c>
      <c r="F678">
        <v>223</v>
      </c>
      <c r="G678" s="2">
        <f t="shared" si="130"/>
        <v>8288</v>
      </c>
      <c r="H678">
        <f t="shared" si="131"/>
        <v>7856</v>
      </c>
      <c r="I678" s="13">
        <f t="shared" si="132"/>
        <v>-1.2347250509164969E-2</v>
      </c>
      <c r="J678" t="str">
        <f t="shared" si="133"/>
        <v>No Backlog</v>
      </c>
      <c r="K678" s="13">
        <f t="shared" si="134"/>
        <v>0.94787644787644787</v>
      </c>
      <c r="L678" s="13">
        <f t="shared" si="135"/>
        <v>6.6351351351351351</v>
      </c>
      <c r="M678" s="13">
        <f t="shared" si="136"/>
        <v>28.436293436293436</v>
      </c>
      <c r="N678" t="b">
        <f t="shared" si="137"/>
        <v>1</v>
      </c>
      <c r="O678">
        <f t="shared" si="138"/>
        <v>43</v>
      </c>
      <c r="P678" s="13">
        <f t="shared" si="139"/>
        <v>0.93803332340450241</v>
      </c>
      <c r="Q678" s="13">
        <f t="shared" si="140"/>
        <v>0.93521935390972688</v>
      </c>
      <c r="R678" s="15" t="b">
        <f t="shared" si="141"/>
        <v>0</v>
      </c>
      <c r="S678" s="13">
        <f t="shared" si="142"/>
        <v>2.6906370656370655E-2</v>
      </c>
    </row>
    <row r="679" spans="1:19" x14ac:dyDescent="0.3">
      <c r="A679" s="4">
        <v>45950</v>
      </c>
      <c r="B679" s="2">
        <v>84</v>
      </c>
      <c r="C679" s="2">
        <v>171</v>
      </c>
      <c r="D679" s="2">
        <v>157</v>
      </c>
      <c r="E679">
        <v>7994</v>
      </c>
      <c r="F679">
        <v>235</v>
      </c>
      <c r="G679" s="2">
        <f t="shared" si="130"/>
        <v>8165</v>
      </c>
      <c r="H679">
        <f t="shared" si="131"/>
        <v>7759</v>
      </c>
      <c r="I679" s="13">
        <f t="shared" si="132"/>
        <v>-3.4025003222064698E-2</v>
      </c>
      <c r="J679" t="str">
        <f t="shared" si="133"/>
        <v>No Backlog</v>
      </c>
      <c r="K679" s="13">
        <f t="shared" si="134"/>
        <v>0.95027556644213107</v>
      </c>
      <c r="L679" s="13">
        <f t="shared" si="135"/>
        <v>6.6519289650949176</v>
      </c>
      <c r="M679" s="13">
        <f t="shared" si="136"/>
        <v>28.508266993263931</v>
      </c>
      <c r="N679" t="b">
        <f t="shared" si="137"/>
        <v>1</v>
      </c>
      <c r="O679">
        <f t="shared" si="138"/>
        <v>43</v>
      </c>
      <c r="P679" s="13">
        <f t="shared" si="139"/>
        <v>0.93845848257306463</v>
      </c>
      <c r="Q679" s="13">
        <f t="shared" si="140"/>
        <v>0.94430867164315868</v>
      </c>
      <c r="R679" s="15" t="b">
        <f t="shared" si="141"/>
        <v>0</v>
      </c>
      <c r="S679" s="13">
        <f t="shared" si="142"/>
        <v>2.878138395590937E-2</v>
      </c>
    </row>
    <row r="680" spans="1:19" x14ac:dyDescent="0.3">
      <c r="A680" s="4">
        <v>45951</v>
      </c>
      <c r="B680" s="2">
        <v>87</v>
      </c>
      <c r="C680" s="2">
        <v>246</v>
      </c>
      <c r="D680" s="2">
        <v>173</v>
      </c>
      <c r="E680">
        <v>7847</v>
      </c>
      <c r="F680">
        <v>352</v>
      </c>
      <c r="G680" s="2">
        <f t="shared" si="130"/>
        <v>8093</v>
      </c>
      <c r="H680">
        <f t="shared" si="131"/>
        <v>7495</v>
      </c>
      <c r="I680" s="13">
        <f t="shared" si="132"/>
        <v>3.6824549699799869E-2</v>
      </c>
      <c r="J680" t="str">
        <f t="shared" si="133"/>
        <v>Backlog</v>
      </c>
      <c r="K680" s="13">
        <f t="shared" si="134"/>
        <v>0.92610898307179046</v>
      </c>
      <c r="L680" s="13">
        <f t="shared" si="135"/>
        <v>6.4827628815025333</v>
      </c>
      <c r="M680" s="13">
        <f t="shared" si="136"/>
        <v>27.783269492153714</v>
      </c>
      <c r="N680" t="b">
        <f t="shared" si="137"/>
        <v>1</v>
      </c>
      <c r="O680">
        <f t="shared" si="138"/>
        <v>43</v>
      </c>
      <c r="P680" s="13">
        <f t="shared" si="139"/>
        <v>0.9275000109457392</v>
      </c>
      <c r="Q680" s="13">
        <f t="shared" si="140"/>
        <v>0.93375931006680069</v>
      </c>
      <c r="R680" s="15" t="str">
        <f t="shared" si="141"/>
        <v>STRAIN</v>
      </c>
      <c r="S680" s="13">
        <f t="shared" si="142"/>
        <v>4.3494377857407639E-2</v>
      </c>
    </row>
    <row r="681" spans="1:19" x14ac:dyDescent="0.3">
      <c r="A681" s="4">
        <v>45952</v>
      </c>
      <c r="B681" s="2">
        <v>136</v>
      </c>
      <c r="C681" s="2">
        <v>276</v>
      </c>
      <c r="D681" s="2">
        <v>178</v>
      </c>
      <c r="E681">
        <v>8102</v>
      </c>
      <c r="F681">
        <v>331</v>
      </c>
      <c r="G681" s="2">
        <f t="shared" si="130"/>
        <v>8378</v>
      </c>
      <c r="H681">
        <f t="shared" si="131"/>
        <v>7771</v>
      </c>
      <c r="I681" s="13">
        <f t="shared" si="132"/>
        <v>1.0294685368678419E-2</v>
      </c>
      <c r="J681" t="str">
        <f t="shared" si="133"/>
        <v>Backlog</v>
      </c>
      <c r="K681" s="13">
        <f t="shared" si="134"/>
        <v>0.92754834089281446</v>
      </c>
      <c r="L681" s="13">
        <f t="shared" si="135"/>
        <v>6.4928383862497014</v>
      </c>
      <c r="M681" s="13">
        <f t="shared" si="136"/>
        <v>27.826450226784434</v>
      </c>
      <c r="N681" t="b">
        <f t="shared" si="137"/>
        <v>1</v>
      </c>
      <c r="O681">
        <f t="shared" si="138"/>
        <v>43</v>
      </c>
      <c r="P681" s="13">
        <f t="shared" si="139"/>
        <v>0.93267398605796226</v>
      </c>
      <c r="Q681" s="13">
        <f t="shared" si="140"/>
        <v>0.92906995901007283</v>
      </c>
      <c r="R681" s="15" t="str">
        <f t="shared" si="141"/>
        <v>STRAIN</v>
      </c>
      <c r="S681" s="13">
        <f t="shared" si="142"/>
        <v>3.950823585581284E-2</v>
      </c>
    </row>
    <row r="682" spans="1:19" x14ac:dyDescent="0.3">
      <c r="A682" s="4">
        <v>45953</v>
      </c>
      <c r="B682" s="2">
        <v>166</v>
      </c>
      <c r="C682" s="2">
        <v>277</v>
      </c>
      <c r="D682" s="2">
        <v>229</v>
      </c>
      <c r="E682">
        <v>8097</v>
      </c>
      <c r="F682">
        <v>246</v>
      </c>
      <c r="G682" s="2">
        <f t="shared" si="130"/>
        <v>8374</v>
      </c>
      <c r="H682">
        <f t="shared" si="131"/>
        <v>7851</v>
      </c>
      <c r="I682" s="13">
        <f t="shared" si="132"/>
        <v>-2.8021908037192712E-3</v>
      </c>
      <c r="J682" t="str">
        <f t="shared" si="133"/>
        <v>No Backlog</v>
      </c>
      <c r="K682" s="13">
        <f t="shared" si="134"/>
        <v>0.93754478146644371</v>
      </c>
      <c r="L682" s="13">
        <f t="shared" si="135"/>
        <v>6.5628134702651062</v>
      </c>
      <c r="M682" s="13">
        <f t="shared" si="136"/>
        <v>28.12634344399331</v>
      </c>
      <c r="N682" t="b">
        <f t="shared" si="137"/>
        <v>1</v>
      </c>
      <c r="O682">
        <f t="shared" si="138"/>
        <v>43</v>
      </c>
      <c r="P682" s="13">
        <f t="shared" si="139"/>
        <v>0.94051367196003355</v>
      </c>
      <c r="Q682" s="13">
        <f t="shared" si="140"/>
        <v>0.9400260999320349</v>
      </c>
      <c r="R682" s="15" t="b">
        <f t="shared" si="141"/>
        <v>0</v>
      </c>
      <c r="S682" s="13">
        <f t="shared" si="142"/>
        <v>2.9376641987102936E-2</v>
      </c>
    </row>
    <row r="683" spans="1:19" x14ac:dyDescent="0.3">
      <c r="A683" s="4">
        <v>45956</v>
      </c>
      <c r="B683" s="2">
        <v>110</v>
      </c>
      <c r="C683" s="2">
        <v>272</v>
      </c>
      <c r="D683" s="2">
        <v>193</v>
      </c>
      <c r="E683">
        <v>8050</v>
      </c>
      <c r="F683">
        <v>221</v>
      </c>
      <c r="G683" s="2">
        <f t="shared" si="130"/>
        <v>8322</v>
      </c>
      <c r="H683">
        <f t="shared" si="131"/>
        <v>7829</v>
      </c>
      <c r="I683" s="13">
        <f t="shared" si="132"/>
        <v>-2.2608251373100012E-2</v>
      </c>
      <c r="J683" t="str">
        <f t="shared" si="133"/>
        <v>No Backlog</v>
      </c>
      <c r="K683" s="13">
        <f t="shared" si="134"/>
        <v>0.94075943282864694</v>
      </c>
      <c r="L683" s="13">
        <f t="shared" si="135"/>
        <v>6.5853160298005289</v>
      </c>
      <c r="M683" s="13">
        <f t="shared" si="136"/>
        <v>28.222782984859407</v>
      </c>
      <c r="N683" t="b">
        <f t="shared" si="137"/>
        <v>1</v>
      </c>
      <c r="O683">
        <f t="shared" si="138"/>
        <v>44</v>
      </c>
      <c r="P683" s="13">
        <f t="shared" si="139"/>
        <v>0.93966277400057452</v>
      </c>
      <c r="Q683" s="13">
        <f t="shared" si="140"/>
        <v>0.94473869077329775</v>
      </c>
      <c r="R683" s="15" t="b">
        <f t="shared" si="141"/>
        <v>0</v>
      </c>
      <c r="S683" s="13">
        <f t="shared" si="142"/>
        <v>2.6556116318192741E-2</v>
      </c>
    </row>
    <row r="684" spans="1:19" x14ac:dyDescent="0.3">
      <c r="A684" s="4">
        <v>45957</v>
      </c>
      <c r="B684" s="2">
        <v>202</v>
      </c>
      <c r="C684" s="2">
        <v>313</v>
      </c>
      <c r="D684" s="2">
        <v>158</v>
      </c>
      <c r="E684">
        <v>7931</v>
      </c>
      <c r="F684">
        <v>279</v>
      </c>
      <c r="G684" s="2">
        <f t="shared" si="130"/>
        <v>8244</v>
      </c>
      <c r="H684">
        <f t="shared" si="131"/>
        <v>7652</v>
      </c>
      <c r="I684" s="13">
        <f t="shared" si="132"/>
        <v>-9.5399895452169363E-3</v>
      </c>
      <c r="J684" t="str">
        <f t="shared" si="133"/>
        <v>No Backlog</v>
      </c>
      <c r="K684" s="13">
        <f t="shared" si="134"/>
        <v>0.92819019893255705</v>
      </c>
      <c r="L684" s="13">
        <f t="shared" si="135"/>
        <v>6.497331392527899</v>
      </c>
      <c r="M684" s="13">
        <f t="shared" si="136"/>
        <v>27.845705967976713</v>
      </c>
      <c r="N684" t="b">
        <f t="shared" si="137"/>
        <v>1</v>
      </c>
      <c r="O684">
        <f t="shared" si="138"/>
        <v>44</v>
      </c>
      <c r="P684" s="13">
        <f t="shared" si="139"/>
        <v>0.92537622943778142</v>
      </c>
      <c r="Q684" s="13">
        <f t="shared" si="140"/>
        <v>0.93380526242187001</v>
      </c>
      <c r="R684" s="15" t="b">
        <f t="shared" si="141"/>
        <v>0</v>
      </c>
      <c r="S684" s="13">
        <f t="shared" si="142"/>
        <v>3.384279475982533E-2</v>
      </c>
    </row>
    <row r="685" spans="1:19" x14ac:dyDescent="0.3">
      <c r="A685" s="4">
        <v>45958</v>
      </c>
      <c r="B685" s="2">
        <v>134</v>
      </c>
      <c r="C685" s="2">
        <v>294</v>
      </c>
      <c r="D685" s="2">
        <v>186</v>
      </c>
      <c r="E685">
        <v>7885</v>
      </c>
      <c r="F685">
        <v>306</v>
      </c>
      <c r="G685" s="2">
        <f t="shared" si="130"/>
        <v>8179</v>
      </c>
      <c r="H685">
        <f t="shared" si="131"/>
        <v>7579</v>
      </c>
      <c r="I685" s="13">
        <f t="shared" si="132"/>
        <v>1.3458239873334213E-2</v>
      </c>
      <c r="J685" t="str">
        <f t="shared" si="133"/>
        <v>Backlog</v>
      </c>
      <c r="K685" s="13">
        <f t="shared" si="134"/>
        <v>0.92664139870399809</v>
      </c>
      <c r="L685" s="13">
        <f t="shared" si="135"/>
        <v>6.4864897909279868</v>
      </c>
      <c r="M685" s="13">
        <f t="shared" si="136"/>
        <v>27.799241961119943</v>
      </c>
      <c r="N685" t="b">
        <f t="shared" si="137"/>
        <v>1</v>
      </c>
      <c r="O685">
        <f t="shared" si="138"/>
        <v>44</v>
      </c>
      <c r="P685" s="13">
        <f t="shared" si="139"/>
        <v>0.93249158777409225</v>
      </c>
      <c r="Q685" s="13">
        <f t="shared" si="140"/>
        <v>0.93043186745047324</v>
      </c>
      <c r="R685" s="15" t="str">
        <f t="shared" si="141"/>
        <v>STRAIN</v>
      </c>
      <c r="S685" s="13">
        <f t="shared" si="142"/>
        <v>3.7412886660961001E-2</v>
      </c>
    </row>
    <row r="686" spans="1:19" x14ac:dyDescent="0.3">
      <c r="A686" s="4">
        <v>45959</v>
      </c>
      <c r="B686" s="2">
        <v>180</v>
      </c>
      <c r="C686" s="2">
        <v>280</v>
      </c>
      <c r="D686" s="2">
        <v>146</v>
      </c>
      <c r="E686">
        <v>7989</v>
      </c>
      <c r="F686">
        <v>308</v>
      </c>
      <c r="G686" s="2">
        <f t="shared" si="130"/>
        <v>8269</v>
      </c>
      <c r="H686">
        <f t="shared" si="131"/>
        <v>7681</v>
      </c>
      <c r="I686" s="13">
        <f t="shared" si="132"/>
        <v>-6.7699518291889074E-3</v>
      </c>
      <c r="J686" t="str">
        <f t="shared" si="133"/>
        <v>No Backlog</v>
      </c>
      <c r="K686" s="13">
        <f t="shared" si="134"/>
        <v>0.92889103881968804</v>
      </c>
      <c r="L686" s="13">
        <f t="shared" si="135"/>
        <v>6.5022372717378163</v>
      </c>
      <c r="M686" s="13">
        <f t="shared" si="136"/>
        <v>27.866731164590639</v>
      </c>
      <c r="N686" t="b">
        <f t="shared" si="137"/>
        <v>1</v>
      </c>
      <c r="O686">
        <f t="shared" si="138"/>
        <v>44</v>
      </c>
      <c r="P686" s="13">
        <f t="shared" si="139"/>
        <v>0.93515033794074953</v>
      </c>
      <c r="Q686" s="13">
        <f t="shared" si="140"/>
        <v>0.93051783243609465</v>
      </c>
      <c r="R686" s="15" t="b">
        <f t="shared" si="141"/>
        <v>0</v>
      </c>
      <c r="S686" s="13">
        <f t="shared" si="142"/>
        <v>3.7247551094449147E-2</v>
      </c>
    </row>
    <row r="687" spans="1:19" x14ac:dyDescent="0.3">
      <c r="A687" s="4">
        <v>45960</v>
      </c>
      <c r="B687" s="2">
        <v>108</v>
      </c>
      <c r="C687" s="2">
        <v>220</v>
      </c>
      <c r="D687" s="2">
        <v>213</v>
      </c>
      <c r="E687">
        <v>7915</v>
      </c>
      <c r="F687">
        <v>286</v>
      </c>
      <c r="G687" s="2">
        <f t="shared" si="130"/>
        <v>8135</v>
      </c>
      <c r="H687">
        <f t="shared" si="131"/>
        <v>7629</v>
      </c>
      <c r="I687" s="13">
        <f t="shared" si="132"/>
        <v>0</v>
      </c>
      <c r="J687" t="str">
        <f t="shared" si="133"/>
        <v>No Backlog</v>
      </c>
      <c r="K687" s="13">
        <f t="shared" si="134"/>
        <v>0.93779963122311005</v>
      </c>
      <c r="L687" s="13">
        <f t="shared" si="135"/>
        <v>6.5645974185617701</v>
      </c>
      <c r="M687" s="13">
        <f t="shared" si="136"/>
        <v>28.133988936693303</v>
      </c>
      <c r="N687" t="b">
        <f t="shared" si="137"/>
        <v>1</v>
      </c>
      <c r="O687">
        <f t="shared" si="138"/>
        <v>44</v>
      </c>
      <c r="P687" s="13">
        <f t="shared" si="139"/>
        <v>0.93419560417522063</v>
      </c>
      <c r="Q687" s="13">
        <f t="shared" si="140"/>
        <v>0.94162043077083735</v>
      </c>
      <c r="R687" s="15" t="b">
        <f t="shared" si="141"/>
        <v>0</v>
      </c>
      <c r="S687" s="13">
        <f t="shared" si="142"/>
        <v>3.5156730178242161E-2</v>
      </c>
    </row>
    <row r="688" spans="1:19" x14ac:dyDescent="0.3">
      <c r="A688" s="4">
        <v>45963</v>
      </c>
      <c r="B688" s="2">
        <v>147</v>
      </c>
      <c r="C688" s="2">
        <v>276</v>
      </c>
      <c r="D688" s="2">
        <v>214</v>
      </c>
      <c r="E688">
        <v>7810</v>
      </c>
      <c r="F688">
        <v>181</v>
      </c>
      <c r="G688" s="2">
        <f t="shared" si="130"/>
        <v>8086</v>
      </c>
      <c r="H688">
        <f t="shared" si="131"/>
        <v>7629</v>
      </c>
      <c r="I688" s="13">
        <f t="shared" si="132"/>
        <v>-4.076550006553939E-2</v>
      </c>
      <c r="J688" t="str">
        <f t="shared" si="133"/>
        <v>No Backlog</v>
      </c>
      <c r="K688" s="13">
        <f t="shared" si="134"/>
        <v>0.9434825624536235</v>
      </c>
      <c r="L688" s="13">
        <f t="shared" si="135"/>
        <v>6.6043779371753644</v>
      </c>
      <c r="M688" s="13">
        <f t="shared" si="136"/>
        <v>28.304476873608706</v>
      </c>
      <c r="N688" t="b">
        <f t="shared" si="137"/>
        <v>1</v>
      </c>
      <c r="O688">
        <f t="shared" si="138"/>
        <v>45</v>
      </c>
      <c r="P688" s="13">
        <f t="shared" si="139"/>
        <v>0.94299499042562474</v>
      </c>
      <c r="Q688" s="13">
        <f t="shared" si="140"/>
        <v>0.93992145270368654</v>
      </c>
      <c r="R688" s="15" t="b">
        <f t="shared" si="141"/>
        <v>0</v>
      </c>
      <c r="S688" s="13">
        <f t="shared" si="142"/>
        <v>2.238436804353203E-2</v>
      </c>
    </row>
    <row r="689" spans="1:19" x14ac:dyDescent="0.3">
      <c r="A689" s="4">
        <v>45964</v>
      </c>
      <c r="B689" s="2">
        <v>104</v>
      </c>
      <c r="C689" s="2">
        <v>230</v>
      </c>
      <c r="D689" s="2">
        <v>206</v>
      </c>
      <c r="E689">
        <v>7567</v>
      </c>
      <c r="F689">
        <v>249</v>
      </c>
      <c r="G689" s="2">
        <f t="shared" si="130"/>
        <v>7797</v>
      </c>
      <c r="H689">
        <f t="shared" si="131"/>
        <v>7318</v>
      </c>
      <c r="I689" s="13">
        <f t="shared" si="132"/>
        <v>1.7491117791746377E-2</v>
      </c>
      <c r="J689" t="str">
        <f t="shared" si="133"/>
        <v>Backlog</v>
      </c>
      <c r="K689" s="13">
        <f t="shared" si="134"/>
        <v>0.93856611517250221</v>
      </c>
      <c r="L689" s="13">
        <f t="shared" si="135"/>
        <v>6.5699628062075153</v>
      </c>
      <c r="M689" s="13">
        <f t="shared" si="136"/>
        <v>28.156983455175066</v>
      </c>
      <c r="N689" t="b">
        <f t="shared" si="137"/>
        <v>1</v>
      </c>
      <c r="O689">
        <f t="shared" si="138"/>
        <v>45</v>
      </c>
      <c r="P689" s="13">
        <f t="shared" si="139"/>
        <v>0.94364203194522545</v>
      </c>
      <c r="Q689" s="13">
        <f t="shared" si="140"/>
        <v>0.93879675790715955</v>
      </c>
      <c r="R689" s="15" t="str">
        <f t="shared" si="141"/>
        <v>STRAIN</v>
      </c>
      <c r="S689" s="13">
        <f t="shared" si="142"/>
        <v>3.193535975375144E-2</v>
      </c>
    </row>
    <row r="690" spans="1:19" x14ac:dyDescent="0.3">
      <c r="A690" s="4">
        <v>45965</v>
      </c>
      <c r="B690" s="2">
        <v>174</v>
      </c>
      <c r="C690" s="2">
        <v>285</v>
      </c>
      <c r="D690" s="2">
        <v>150</v>
      </c>
      <c r="E690">
        <v>7786</v>
      </c>
      <c r="F690">
        <v>340</v>
      </c>
      <c r="G690" s="2">
        <f t="shared" si="130"/>
        <v>8071</v>
      </c>
      <c r="H690">
        <f t="shared" si="131"/>
        <v>7446</v>
      </c>
      <c r="I690" s="13">
        <f t="shared" si="132"/>
        <v>1.98764437281762E-2</v>
      </c>
      <c r="J690" t="str">
        <f t="shared" si="133"/>
        <v>Backlog</v>
      </c>
      <c r="K690" s="13">
        <f t="shared" si="134"/>
        <v>0.92256225994300578</v>
      </c>
      <c r="L690" s="13">
        <f t="shared" si="135"/>
        <v>6.4579358196010404</v>
      </c>
      <c r="M690" s="13">
        <f t="shared" si="136"/>
        <v>27.676867798290175</v>
      </c>
      <c r="N690" t="b">
        <f t="shared" si="137"/>
        <v>1</v>
      </c>
      <c r="O690">
        <f t="shared" si="138"/>
        <v>45</v>
      </c>
      <c r="P690" s="13">
        <f t="shared" si="139"/>
        <v>0.93099129292709437</v>
      </c>
      <c r="Q690" s="13">
        <f t="shared" si="140"/>
        <v>0.92543301605693884</v>
      </c>
      <c r="R690" s="15" t="str">
        <f t="shared" si="141"/>
        <v>STRAIN</v>
      </c>
      <c r="S690" s="13">
        <f t="shared" si="142"/>
        <v>4.2126130591004833E-2</v>
      </c>
    </row>
    <row r="691" spans="1:19" x14ac:dyDescent="0.3">
      <c r="A691" s="4">
        <v>45966</v>
      </c>
      <c r="B691" s="2">
        <v>113</v>
      </c>
      <c r="C691" s="2">
        <v>208</v>
      </c>
      <c r="D691" s="2">
        <v>159</v>
      </c>
      <c r="E691">
        <v>7885</v>
      </c>
      <c r="F691">
        <v>291</v>
      </c>
      <c r="G691" s="2">
        <f t="shared" si="130"/>
        <v>8093</v>
      </c>
      <c r="H691">
        <f t="shared" si="131"/>
        <v>7594</v>
      </c>
      <c r="I691" s="13">
        <f t="shared" si="132"/>
        <v>7.9009744535159341E-4</v>
      </c>
      <c r="J691" t="str">
        <f t="shared" si="133"/>
        <v>Backlog</v>
      </c>
      <c r="K691" s="13">
        <f t="shared" si="134"/>
        <v>0.93834177684418629</v>
      </c>
      <c r="L691" s="13">
        <f t="shared" si="135"/>
        <v>6.5683924379093037</v>
      </c>
      <c r="M691" s="13">
        <f t="shared" si="136"/>
        <v>28.150253305325588</v>
      </c>
      <c r="N691" t="b">
        <f t="shared" si="137"/>
        <v>1</v>
      </c>
      <c r="O691">
        <f t="shared" si="138"/>
        <v>45</v>
      </c>
      <c r="P691" s="13">
        <f t="shared" si="139"/>
        <v>0.93628205652056729</v>
      </c>
      <c r="Q691" s="13">
        <f t="shared" si="140"/>
        <v>0.93886598014246991</v>
      </c>
      <c r="R691" s="15" t="str">
        <f t="shared" si="141"/>
        <v>STRAIN</v>
      </c>
      <c r="S691" s="13">
        <f t="shared" si="142"/>
        <v>3.5956999876436427E-2</v>
      </c>
    </row>
    <row r="692" spans="1:19" x14ac:dyDescent="0.3">
      <c r="A692" s="4">
        <v>45967</v>
      </c>
      <c r="B692" s="2">
        <v>88</v>
      </c>
      <c r="C692" s="2">
        <v>214</v>
      </c>
      <c r="D692" s="2">
        <v>160</v>
      </c>
      <c r="E692">
        <v>7859</v>
      </c>
      <c r="F692">
        <v>259</v>
      </c>
      <c r="G692" s="2">
        <f t="shared" si="130"/>
        <v>8073</v>
      </c>
      <c r="H692">
        <f t="shared" si="131"/>
        <v>7600</v>
      </c>
      <c r="I692" s="13">
        <f t="shared" si="132"/>
        <v>-8.552631578947369E-3</v>
      </c>
      <c r="J692" t="str">
        <f t="shared" si="133"/>
        <v>No Backlog</v>
      </c>
      <c r="K692" s="13">
        <f t="shared" si="134"/>
        <v>0.94140963706181102</v>
      </c>
      <c r="L692" s="13">
        <f t="shared" si="135"/>
        <v>6.5898674594326767</v>
      </c>
      <c r="M692" s="13">
        <f t="shared" si="136"/>
        <v>28.24228911185433</v>
      </c>
      <c r="N692" t="b">
        <f t="shared" si="137"/>
        <v>1</v>
      </c>
      <c r="O692">
        <f t="shared" si="138"/>
        <v>45</v>
      </c>
      <c r="P692" s="13">
        <f t="shared" si="139"/>
        <v>0.93677713155715614</v>
      </c>
      <c r="Q692" s="13">
        <f t="shared" si="140"/>
        <v>0.94277116096761837</v>
      </c>
      <c r="R692" s="15" t="b">
        <f t="shared" si="141"/>
        <v>0</v>
      </c>
      <c r="S692" s="13">
        <f t="shared" si="142"/>
        <v>3.2082249473553821E-2</v>
      </c>
    </row>
    <row r="693" spans="1:19" x14ac:dyDescent="0.3">
      <c r="A693" s="4">
        <v>45970</v>
      </c>
      <c r="B693" s="2">
        <v>130</v>
      </c>
      <c r="C693" s="2">
        <v>227</v>
      </c>
      <c r="D693" s="2">
        <v>192</v>
      </c>
      <c r="E693">
        <v>7870</v>
      </c>
      <c r="F693">
        <v>335</v>
      </c>
      <c r="G693" s="2">
        <f t="shared" si="130"/>
        <v>8097</v>
      </c>
      <c r="H693">
        <f t="shared" si="131"/>
        <v>7535</v>
      </c>
      <c r="I693" s="13">
        <f t="shared" si="132"/>
        <v>1.167883211678832E-2</v>
      </c>
      <c r="J693" t="str">
        <f t="shared" si="133"/>
        <v>Backlog</v>
      </c>
      <c r="K693" s="13">
        <f t="shared" si="134"/>
        <v>0.93059157712733109</v>
      </c>
      <c r="L693" s="13">
        <f t="shared" si="135"/>
        <v>6.5141410398913173</v>
      </c>
      <c r="M693" s="13">
        <f t="shared" si="136"/>
        <v>27.917747313819934</v>
      </c>
      <c r="N693" t="b">
        <f t="shared" si="137"/>
        <v>1</v>
      </c>
      <c r="O693">
        <f t="shared" si="138"/>
        <v>46</v>
      </c>
      <c r="P693" s="13">
        <f t="shared" si="139"/>
        <v>0.93801640372294792</v>
      </c>
      <c r="Q693" s="13">
        <f t="shared" si="140"/>
        <v>0.93281064260654856</v>
      </c>
      <c r="R693" s="15" t="str">
        <f t="shared" si="141"/>
        <v>STRAIN</v>
      </c>
      <c r="S693" s="13">
        <f t="shared" si="142"/>
        <v>4.1373348153637149E-2</v>
      </c>
    </row>
    <row r="694" spans="1:19" x14ac:dyDescent="0.3">
      <c r="A694" s="4">
        <v>45972</v>
      </c>
      <c r="B694" s="2">
        <v>84</v>
      </c>
      <c r="C694" s="2">
        <v>158</v>
      </c>
      <c r="D694" s="2">
        <v>193</v>
      </c>
      <c r="E694">
        <v>7930</v>
      </c>
      <c r="F694">
        <v>307</v>
      </c>
      <c r="G694" s="2">
        <f t="shared" si="130"/>
        <v>8088</v>
      </c>
      <c r="H694">
        <f t="shared" si="131"/>
        <v>7623</v>
      </c>
      <c r="I694" s="13">
        <f t="shared" si="132"/>
        <v>9.5762823035550303E-3</v>
      </c>
      <c r="J694" t="str">
        <f t="shared" si="133"/>
        <v>Backlog</v>
      </c>
      <c r="K694" s="13">
        <f t="shared" si="134"/>
        <v>0.94250741839762608</v>
      </c>
      <c r="L694" s="13">
        <f t="shared" si="135"/>
        <v>6.5975519287833828</v>
      </c>
      <c r="M694" s="13">
        <f t="shared" si="136"/>
        <v>28.275222551928781</v>
      </c>
      <c r="N694" t="b">
        <f t="shared" si="137"/>
        <v>0</v>
      </c>
      <c r="O694">
        <f t="shared" si="138"/>
        <v>46</v>
      </c>
      <c r="P694" s="13">
        <f t="shared" si="139"/>
        <v>0.93943388067568789</v>
      </c>
      <c r="Q694" s="13">
        <f t="shared" si="140"/>
        <v>0.93720892721635918</v>
      </c>
      <c r="R694" s="15" t="str">
        <f t="shared" si="141"/>
        <v>STRAIN</v>
      </c>
      <c r="S694" s="13">
        <f t="shared" si="142"/>
        <v>3.7957467853610288E-2</v>
      </c>
    </row>
    <row r="695" spans="1:19" x14ac:dyDescent="0.3">
      <c r="A695" s="4">
        <v>45973</v>
      </c>
      <c r="B695" s="2">
        <v>115</v>
      </c>
      <c r="C695" s="2">
        <v>216</v>
      </c>
      <c r="D695" s="2">
        <v>169</v>
      </c>
      <c r="E695">
        <v>7896</v>
      </c>
      <c r="F695">
        <v>200</v>
      </c>
      <c r="G695" s="2">
        <f t="shared" si="130"/>
        <v>8112</v>
      </c>
      <c r="H695">
        <f t="shared" si="131"/>
        <v>7696</v>
      </c>
      <c r="I695" s="13">
        <f t="shared" si="132"/>
        <v>-1.8711018711018712E-2</v>
      </c>
      <c r="J695" t="str">
        <f t="shared" si="133"/>
        <v>No Backlog</v>
      </c>
      <c r="K695" s="13">
        <f t="shared" si="134"/>
        <v>0.94871794871794868</v>
      </c>
      <c r="L695" s="13">
        <f t="shared" si="135"/>
        <v>6.6410256410256405</v>
      </c>
      <c r="M695" s="13">
        <f t="shared" si="136"/>
        <v>28.46153846153846</v>
      </c>
      <c r="N695" t="b">
        <f t="shared" si="137"/>
        <v>1</v>
      </c>
      <c r="O695">
        <f t="shared" si="138"/>
        <v>46</v>
      </c>
      <c r="P695" s="13">
        <f t="shared" si="139"/>
        <v>0.94387267467988278</v>
      </c>
      <c r="Q695" s="13">
        <f t="shared" si="140"/>
        <v>0.93831132021994224</v>
      </c>
      <c r="R695" s="15" t="b">
        <f t="shared" si="141"/>
        <v>0</v>
      </c>
      <c r="S695" s="13">
        <f t="shared" si="142"/>
        <v>2.465483234714004E-2</v>
      </c>
    </row>
    <row r="696" spans="1:19" x14ac:dyDescent="0.3">
      <c r="A696" s="4">
        <v>45974</v>
      </c>
      <c r="B696" s="2">
        <v>167</v>
      </c>
      <c r="C696" s="2">
        <v>239</v>
      </c>
      <c r="D696" s="2">
        <v>166</v>
      </c>
      <c r="E696">
        <v>7800</v>
      </c>
      <c r="F696">
        <v>248</v>
      </c>
      <c r="G696" s="2">
        <f t="shared" si="130"/>
        <v>8039</v>
      </c>
      <c r="H696">
        <f t="shared" si="131"/>
        <v>7552</v>
      </c>
      <c r="I696" s="13">
        <f t="shared" si="132"/>
        <v>-3.5222457627118647E-2</v>
      </c>
      <c r="J696" t="str">
        <f t="shared" si="133"/>
        <v>No Backlog</v>
      </c>
      <c r="K696" s="13">
        <f t="shared" si="134"/>
        <v>0.93942032591118296</v>
      </c>
      <c r="L696" s="13">
        <f t="shared" si="135"/>
        <v>6.5759422813782811</v>
      </c>
      <c r="M696" s="13">
        <f t="shared" si="136"/>
        <v>28.18260977733549</v>
      </c>
      <c r="N696" t="b">
        <f t="shared" si="137"/>
        <v>1</v>
      </c>
      <c r="O696">
        <f t="shared" si="138"/>
        <v>46</v>
      </c>
      <c r="P696" s="13">
        <f t="shared" si="139"/>
        <v>0.93386204904102743</v>
      </c>
      <c r="Q696" s="13">
        <f t="shared" si="140"/>
        <v>0.93808644208270286</v>
      </c>
      <c r="R696" s="15" t="b">
        <f t="shared" si="141"/>
        <v>0</v>
      </c>
      <c r="S696" s="13">
        <f t="shared" si="142"/>
        <v>3.0849608160218932E-2</v>
      </c>
    </row>
    <row r="697" spans="1:19" x14ac:dyDescent="0.3">
      <c r="A697" s="4">
        <v>45977</v>
      </c>
      <c r="B697" s="2">
        <v>99</v>
      </c>
      <c r="C697" s="2">
        <v>190</v>
      </c>
      <c r="D697" s="2">
        <v>176</v>
      </c>
      <c r="E697">
        <v>7609</v>
      </c>
      <c r="F697">
        <v>323</v>
      </c>
      <c r="G697" s="2">
        <f t="shared" si="130"/>
        <v>7799</v>
      </c>
      <c r="H697">
        <f t="shared" si="131"/>
        <v>7286</v>
      </c>
      <c r="I697" s="13">
        <f t="shared" si="132"/>
        <v>3.3214383749656878E-2</v>
      </c>
      <c r="J697" t="str">
        <f t="shared" si="133"/>
        <v>Backlog</v>
      </c>
      <c r="K697" s="13">
        <f t="shared" si="134"/>
        <v>0.93422233619694828</v>
      </c>
      <c r="L697" s="13">
        <f t="shared" si="135"/>
        <v>6.5395563533786376</v>
      </c>
      <c r="M697" s="13">
        <f t="shared" si="136"/>
        <v>28.026670085908449</v>
      </c>
      <c r="N697" t="b">
        <f t="shared" si="137"/>
        <v>1</v>
      </c>
      <c r="O697">
        <f t="shared" si="138"/>
        <v>47</v>
      </c>
      <c r="P697" s="13">
        <f t="shared" si="139"/>
        <v>0.93680625981885091</v>
      </c>
      <c r="Q697" s="13">
        <f t="shared" si="140"/>
        <v>0.95314291413022012</v>
      </c>
      <c r="R697" s="15" t="str">
        <f t="shared" si="141"/>
        <v>STRAIN</v>
      </c>
      <c r="S697" s="13">
        <f t="shared" si="142"/>
        <v>4.141556609821772E-2</v>
      </c>
    </row>
    <row r="698" spans="1:19" x14ac:dyDescent="0.3">
      <c r="A698" s="4">
        <v>45978</v>
      </c>
      <c r="B698" s="2">
        <v>101</v>
      </c>
      <c r="C698" s="2">
        <v>162</v>
      </c>
      <c r="D698" s="2">
        <v>178</v>
      </c>
      <c r="E698">
        <v>7914</v>
      </c>
      <c r="F698">
        <v>386</v>
      </c>
      <c r="G698" s="2">
        <f t="shared" si="130"/>
        <v>8076</v>
      </c>
      <c r="H698">
        <f t="shared" si="131"/>
        <v>7528</v>
      </c>
      <c r="I698" s="13">
        <f t="shared" si="132"/>
        <v>2.8958554729011689E-2</v>
      </c>
      <c r="J698" t="str">
        <f t="shared" si="133"/>
        <v>Backlog</v>
      </c>
      <c r="K698" s="13">
        <f t="shared" si="134"/>
        <v>0.93214462605250126</v>
      </c>
      <c r="L698" s="13">
        <f t="shared" si="135"/>
        <v>6.5250123823675086</v>
      </c>
      <c r="M698" s="13">
        <f t="shared" si="136"/>
        <v>27.964338781575037</v>
      </c>
      <c r="N698" t="b">
        <f t="shared" si="137"/>
        <v>0</v>
      </c>
      <c r="O698">
        <f t="shared" si="138"/>
        <v>47</v>
      </c>
      <c r="P698" s="13">
        <f t="shared" si="139"/>
        <v>0.93813865546296338</v>
      </c>
      <c r="Q698" s="13">
        <f t="shared" si="140"/>
        <v>0.95199326368499515</v>
      </c>
      <c r="R698" s="15" t="str">
        <f t="shared" si="141"/>
        <v>STRAIN</v>
      </c>
      <c r="S698" s="13">
        <f t="shared" si="142"/>
        <v>4.7795938583457154E-2</v>
      </c>
    </row>
    <row r="699" spans="1:19" x14ac:dyDescent="0.3">
      <c r="A699" s="4">
        <v>45979</v>
      </c>
      <c r="B699" s="2">
        <v>107</v>
      </c>
      <c r="C699" s="2">
        <v>215</v>
      </c>
      <c r="D699" s="2">
        <v>230</v>
      </c>
      <c r="E699">
        <v>7978</v>
      </c>
      <c r="F699">
        <v>232</v>
      </c>
      <c r="G699" s="2">
        <f t="shared" si="130"/>
        <v>8193</v>
      </c>
      <c r="H699">
        <f t="shared" si="131"/>
        <v>7746</v>
      </c>
      <c r="I699" s="13">
        <f t="shared" si="132"/>
        <v>1.0327911179963851E-3</v>
      </c>
      <c r="J699" t="str">
        <f t="shared" si="133"/>
        <v>Backlog</v>
      </c>
      <c r="K699" s="13">
        <f t="shared" si="134"/>
        <v>0.94544123031856464</v>
      </c>
      <c r="L699" s="13">
        <f t="shared" si="135"/>
        <v>6.6180886122299523</v>
      </c>
      <c r="M699" s="13">
        <f t="shared" si="136"/>
        <v>28.363236909556939</v>
      </c>
      <c r="N699" t="b">
        <f t="shared" si="137"/>
        <v>0</v>
      </c>
      <c r="O699">
        <f t="shared" si="138"/>
        <v>47</v>
      </c>
      <c r="P699" s="13">
        <f t="shared" si="139"/>
        <v>0.94023546920216527</v>
      </c>
      <c r="Q699" s="13">
        <f t="shared" si="140"/>
        <v>0.94904886344965589</v>
      </c>
      <c r="R699" s="15" t="str">
        <f t="shared" si="141"/>
        <v>STRAIN</v>
      </c>
      <c r="S699" s="13">
        <f t="shared" si="142"/>
        <v>2.8316855852557062E-2</v>
      </c>
    </row>
    <row r="700" spans="1:19" x14ac:dyDescent="0.3">
      <c r="A700" s="4">
        <v>45980</v>
      </c>
      <c r="B700" s="2">
        <v>184</v>
      </c>
      <c r="C700" s="2">
        <v>314</v>
      </c>
      <c r="D700" s="2">
        <v>217</v>
      </c>
      <c r="E700">
        <v>7967</v>
      </c>
      <c r="F700">
        <v>213</v>
      </c>
      <c r="G700" s="2">
        <f t="shared" si="130"/>
        <v>8281</v>
      </c>
      <c r="H700">
        <f t="shared" si="131"/>
        <v>7754</v>
      </c>
      <c r="I700" s="13">
        <f t="shared" si="132"/>
        <v>-1.8828991488264123E-2</v>
      </c>
      <c r="J700" t="str">
        <f t="shared" si="133"/>
        <v>No Backlog</v>
      </c>
      <c r="K700" s="13">
        <f t="shared" si="134"/>
        <v>0.93636034295374959</v>
      </c>
      <c r="L700" s="13">
        <f t="shared" si="135"/>
        <v>6.5545224006762473</v>
      </c>
      <c r="M700" s="13">
        <f t="shared" si="136"/>
        <v>28.090810288612488</v>
      </c>
      <c r="N700" t="b">
        <f t="shared" si="137"/>
        <v>1</v>
      </c>
      <c r="O700">
        <f t="shared" si="138"/>
        <v>47</v>
      </c>
      <c r="P700" s="13">
        <f t="shared" si="139"/>
        <v>0.93413538949442088</v>
      </c>
      <c r="Q700" s="13">
        <f t="shared" si="140"/>
        <v>0.94847667426450788</v>
      </c>
      <c r="R700" s="15" t="b">
        <f t="shared" si="141"/>
        <v>0</v>
      </c>
      <c r="S700" s="13">
        <f t="shared" si="142"/>
        <v>2.5721531216036712E-2</v>
      </c>
    </row>
    <row r="701" spans="1:19" x14ac:dyDescent="0.3">
      <c r="A701" s="4">
        <v>45981</v>
      </c>
      <c r="B701" s="2">
        <v>209</v>
      </c>
      <c r="C701" s="2">
        <v>285</v>
      </c>
      <c r="D701" s="2">
        <v>184</v>
      </c>
      <c r="E701">
        <v>7817</v>
      </c>
      <c r="F701">
        <v>209</v>
      </c>
      <c r="G701" s="2">
        <f t="shared" si="130"/>
        <v>8102</v>
      </c>
      <c r="H701">
        <f t="shared" si="131"/>
        <v>7608</v>
      </c>
      <c r="I701" s="13">
        <f t="shared" si="132"/>
        <v>-2.3133543638275498E-2</v>
      </c>
      <c r="J701" t="str">
        <f t="shared" si="133"/>
        <v>No Backlog</v>
      </c>
      <c r="K701" s="13">
        <f t="shared" si="134"/>
        <v>0.93902740064181689</v>
      </c>
      <c r="L701" s="13">
        <f t="shared" si="135"/>
        <v>6.5731918044927182</v>
      </c>
      <c r="M701" s="13">
        <f t="shared" si="136"/>
        <v>28.170822019254508</v>
      </c>
      <c r="N701" t="b">
        <f t="shared" si="137"/>
        <v>1</v>
      </c>
      <c r="O701">
        <f t="shared" si="138"/>
        <v>47</v>
      </c>
      <c r="P701" s="13">
        <f t="shared" si="139"/>
        <v>0.93346604618187623</v>
      </c>
      <c r="Q701" s="13">
        <f t="shared" si="140"/>
        <v>0.95294155161265381</v>
      </c>
      <c r="R701" s="15" t="b">
        <f t="shared" si="141"/>
        <v>0</v>
      </c>
      <c r="S701" s="13">
        <f t="shared" si="142"/>
        <v>2.5796099728462109E-2</v>
      </c>
    </row>
    <row r="702" spans="1:19" x14ac:dyDescent="0.3">
      <c r="A702" s="4">
        <v>45984</v>
      </c>
      <c r="B702" s="2">
        <v>81</v>
      </c>
      <c r="C702" s="2">
        <v>213</v>
      </c>
      <c r="D702" s="2">
        <v>153</v>
      </c>
      <c r="E702">
        <v>7793</v>
      </c>
      <c r="F702">
        <v>361</v>
      </c>
      <c r="G702" s="2">
        <f t="shared" si="130"/>
        <v>8006</v>
      </c>
      <c r="H702">
        <f t="shared" si="131"/>
        <v>7432</v>
      </c>
      <c r="I702" s="13">
        <f t="shared" si="132"/>
        <v>1.9779332615715822E-2</v>
      </c>
      <c r="J702" t="str">
        <f t="shared" si="133"/>
        <v>Backlog</v>
      </c>
      <c r="K702" s="13">
        <f t="shared" si="134"/>
        <v>0.9283037721708719</v>
      </c>
      <c r="L702" s="13">
        <f t="shared" si="135"/>
        <v>6.4981264051961034</v>
      </c>
      <c r="M702" s="13">
        <f t="shared" si="136"/>
        <v>27.849113165126155</v>
      </c>
      <c r="N702" t="b">
        <f t="shared" si="137"/>
        <v>1</v>
      </c>
      <c r="O702">
        <f t="shared" si="138"/>
        <v>48</v>
      </c>
      <c r="P702" s="13">
        <f t="shared" si="139"/>
        <v>0.93252816521254722</v>
      </c>
      <c r="Q702" s="13">
        <f t="shared" si="140"/>
        <v>0.95177785878603549</v>
      </c>
      <c r="R702" s="15" t="str">
        <f t="shared" si="141"/>
        <v>STRAIN</v>
      </c>
      <c r="S702" s="13">
        <f t="shared" si="142"/>
        <v>4.5091181613789659E-2</v>
      </c>
    </row>
    <row r="703" spans="1:19" x14ac:dyDescent="0.3">
      <c r="A703" s="4">
        <v>45985</v>
      </c>
      <c r="B703" s="2">
        <v>91</v>
      </c>
      <c r="C703" s="2">
        <v>199</v>
      </c>
      <c r="D703" s="2">
        <v>172</v>
      </c>
      <c r="E703">
        <v>7869</v>
      </c>
      <c r="F703">
        <v>290</v>
      </c>
      <c r="G703" s="2">
        <f t="shared" si="130"/>
        <v>8068</v>
      </c>
      <c r="H703">
        <f t="shared" si="131"/>
        <v>7579</v>
      </c>
      <c r="I703" s="13">
        <f t="shared" si="132"/>
        <v>-1.055548225359546E-3</v>
      </c>
      <c r="J703" t="str">
        <f t="shared" si="133"/>
        <v>No Backlog</v>
      </c>
      <c r="K703" s="13">
        <f t="shared" si="134"/>
        <v>0.93939018344075365</v>
      </c>
      <c r="L703" s="13">
        <f t="shared" si="135"/>
        <v>6.5757312840852755</v>
      </c>
      <c r="M703" s="13">
        <f t="shared" si="136"/>
        <v>28.181705503222609</v>
      </c>
      <c r="N703" t="b">
        <f t="shared" si="137"/>
        <v>1</v>
      </c>
      <c r="O703">
        <f t="shared" si="138"/>
        <v>48</v>
      </c>
      <c r="P703" s="13">
        <f t="shared" si="139"/>
        <v>0.95572683775212286</v>
      </c>
      <c r="Q703" s="13">
        <f t="shared" si="140"/>
        <v>0.95366328461507988</v>
      </c>
      <c r="R703" s="15" t="b">
        <f t="shared" si="141"/>
        <v>0</v>
      </c>
      <c r="S703" s="13">
        <f t="shared" si="142"/>
        <v>3.5944471988101141E-2</v>
      </c>
    </row>
    <row r="704" spans="1:19" x14ac:dyDescent="0.3">
      <c r="A704" s="4">
        <v>45986</v>
      </c>
      <c r="B704" s="2">
        <v>154</v>
      </c>
      <c r="C704" s="2">
        <v>225</v>
      </c>
      <c r="D704" s="2">
        <v>220</v>
      </c>
      <c r="E704">
        <v>7794</v>
      </c>
      <c r="F704">
        <v>223</v>
      </c>
      <c r="G704" s="2">
        <f t="shared" si="130"/>
        <v>8019</v>
      </c>
      <c r="H704">
        <f t="shared" si="131"/>
        <v>7571</v>
      </c>
      <c r="I704" s="13">
        <f t="shared" si="132"/>
        <v>-4.3851538766345267E-2</v>
      </c>
      <c r="J704" t="str">
        <f t="shared" si="133"/>
        <v>No Backlog</v>
      </c>
      <c r="K704" s="13">
        <f t="shared" si="134"/>
        <v>0.94413268487342561</v>
      </c>
      <c r="L704" s="13">
        <f t="shared" si="135"/>
        <v>6.6089287941139796</v>
      </c>
      <c r="M704" s="13">
        <f t="shared" si="136"/>
        <v>28.323980546202769</v>
      </c>
      <c r="N704" t="b">
        <f t="shared" si="137"/>
        <v>1</v>
      </c>
      <c r="O704">
        <f t="shared" si="138"/>
        <v>48</v>
      </c>
      <c r="P704" s="13">
        <f t="shared" si="139"/>
        <v>0.95798729309545738</v>
      </c>
      <c r="Q704" s="13">
        <f t="shared" si="140"/>
        <v>0.94891881017650259</v>
      </c>
      <c r="R704" s="15" t="b">
        <f t="shared" si="141"/>
        <v>0</v>
      </c>
      <c r="S704" s="13">
        <f t="shared" si="142"/>
        <v>2.7808953734879661E-2</v>
      </c>
    </row>
    <row r="705" spans="1:19" x14ac:dyDescent="0.3">
      <c r="A705" s="4">
        <v>45988</v>
      </c>
      <c r="B705" s="2">
        <v>186</v>
      </c>
      <c r="C705" s="2">
        <v>259</v>
      </c>
      <c r="D705" s="2">
        <v>172</v>
      </c>
      <c r="E705">
        <v>7483</v>
      </c>
      <c r="F705">
        <v>244</v>
      </c>
      <c r="G705" s="2">
        <f t="shared" si="130"/>
        <v>7742</v>
      </c>
      <c r="H705">
        <f t="shared" si="131"/>
        <v>7239</v>
      </c>
      <c r="I705" s="13">
        <f t="shared" si="132"/>
        <v>-1.685315651333057E-2</v>
      </c>
      <c r="J705" t="str">
        <f t="shared" si="133"/>
        <v>No Backlog</v>
      </c>
      <c r="K705" s="13">
        <f t="shared" si="134"/>
        <v>0.93502970808576591</v>
      </c>
      <c r="L705" s="13">
        <f t="shared" si="135"/>
        <v>6.5452079566003611</v>
      </c>
      <c r="M705" s="13">
        <f t="shared" si="136"/>
        <v>28.050891242572977</v>
      </c>
      <c r="N705" t="b">
        <f t="shared" si="137"/>
        <v>1</v>
      </c>
      <c r="O705">
        <f t="shared" si="138"/>
        <v>48</v>
      </c>
      <c r="P705" s="13">
        <f t="shared" si="139"/>
        <v>0.94384310233325652</v>
      </c>
      <c r="Q705" s="13">
        <f t="shared" si="140"/>
        <v>0.95415506568309461</v>
      </c>
      <c r="R705" s="15" t="b">
        <f t="shared" si="141"/>
        <v>0</v>
      </c>
      <c r="S705" s="13">
        <f t="shared" si="142"/>
        <v>3.1516404029966416E-2</v>
      </c>
    </row>
    <row r="706" spans="1:19" x14ac:dyDescent="0.3">
      <c r="A706" s="4">
        <v>45991</v>
      </c>
      <c r="B706" s="2">
        <v>92</v>
      </c>
      <c r="C706" s="2">
        <v>203</v>
      </c>
      <c r="D706" s="2">
        <v>173</v>
      </c>
      <c r="E706">
        <v>7434</v>
      </c>
      <c r="F706">
        <v>317</v>
      </c>
      <c r="G706" s="2">
        <f t="shared" si="130"/>
        <v>7637</v>
      </c>
      <c r="H706">
        <f t="shared" si="131"/>
        <v>7117</v>
      </c>
      <c r="I706" s="13">
        <f t="shared" si="132"/>
        <v>6.1542784881270199E-2</v>
      </c>
      <c r="J706" t="str">
        <f t="shared" si="133"/>
        <v>Backlog</v>
      </c>
      <c r="K706" s="13">
        <f t="shared" si="134"/>
        <v>0.93191043603509227</v>
      </c>
      <c r="L706" s="13">
        <f t="shared" si="135"/>
        <v>6.5233730522456455</v>
      </c>
      <c r="M706" s="13">
        <f t="shared" si="136"/>
        <v>27.957313081052767</v>
      </c>
      <c r="N706" t="b">
        <f t="shared" si="137"/>
        <v>1</v>
      </c>
      <c r="O706">
        <f t="shared" si="138"/>
        <v>49</v>
      </c>
      <c r="P706" s="13">
        <f t="shared" si="139"/>
        <v>0.94625172080517916</v>
      </c>
      <c r="Q706" s="13">
        <f t="shared" si="140"/>
        <v>0.95144016785032204</v>
      </c>
      <c r="R706" s="15" t="str">
        <f t="shared" si="141"/>
        <v>STRAIN</v>
      </c>
      <c r="S706" s="13">
        <f t="shared" si="142"/>
        <v>4.1508445724761034E-2</v>
      </c>
    </row>
    <row r="707" spans="1:19" x14ac:dyDescent="0.3">
      <c r="A707" s="4">
        <v>45992</v>
      </c>
      <c r="B707" s="2">
        <v>124</v>
      </c>
      <c r="C707" s="2">
        <v>234</v>
      </c>
      <c r="D707" s="2">
        <v>161</v>
      </c>
      <c r="E707">
        <v>7908</v>
      </c>
      <c r="F707">
        <v>353</v>
      </c>
      <c r="G707" s="2">
        <f t="shared" ref="G707:G721" si="143">C707+E707</f>
        <v>8142</v>
      </c>
      <c r="H707">
        <f t="shared" ref="H707:H721" si="144">E707-F707</f>
        <v>7555</v>
      </c>
      <c r="I707" s="13">
        <f t="shared" ref="I707:I721" si="145">(H708-H707)/H707</f>
        <v>5.6915949702183982E-3</v>
      </c>
      <c r="J707" t="str">
        <f t="shared" ref="J707:J721" si="146">IF(I707&gt;0,"Backlog","No Backlog")</f>
        <v>Backlog</v>
      </c>
      <c r="K707" s="13">
        <f t="shared" ref="K707:K721" si="147">H707/G707</f>
        <v>0.92790469172193568</v>
      </c>
      <c r="L707" s="13">
        <f t="shared" ref="L707:L721" si="148">K707*7</f>
        <v>6.4953328420535499</v>
      </c>
      <c r="M707" s="13">
        <f t="shared" ref="M707:M721" si="149">K707*30</f>
        <v>27.837140751658069</v>
      </c>
      <c r="N707" t="b">
        <f t="shared" ref="N707:N721" si="150">IF(D707&lt;C707,F707&lt;E707)</f>
        <v>1</v>
      </c>
      <c r="O707">
        <f t="shared" ref="O707:O721" si="151">WEEKNUM(A707)</f>
        <v>49</v>
      </c>
      <c r="P707" s="13">
        <f t="shared" ref="P707:P721" si="152">AVERAGE(K707,K713)</f>
        <v>0.94738019715271327</v>
      </c>
      <c r="Q707" s="13">
        <f t="shared" ref="Q707:Q721" si="153">AVERAGE(K707,K719)</f>
        <v>0.94819518351444665</v>
      </c>
      <c r="R707" s="15" t="str">
        <f t="shared" ref="R707:R721" si="154">IF(I707&gt;0,"STRAIN")</f>
        <v>STRAIN</v>
      </c>
      <c r="S707" s="13">
        <f t="shared" ref="S707:S721" si="155">F707/G707</f>
        <v>4.3355440923605992E-2</v>
      </c>
    </row>
    <row r="708" spans="1:19" x14ac:dyDescent="0.3">
      <c r="A708" s="4">
        <v>45993</v>
      </c>
      <c r="B708" s="2">
        <v>93</v>
      </c>
      <c r="C708" s="2">
        <v>196</v>
      </c>
      <c r="D708" s="2">
        <v>169</v>
      </c>
      <c r="E708">
        <v>7915</v>
      </c>
      <c r="F708">
        <v>317</v>
      </c>
      <c r="G708" s="2">
        <f t="shared" si="143"/>
        <v>8111</v>
      </c>
      <c r="H708">
        <f t="shared" si="144"/>
        <v>7598</v>
      </c>
      <c r="I708" s="13">
        <f t="shared" si="145"/>
        <v>7.5019742037378259E-3</v>
      </c>
      <c r="J708" t="str">
        <f t="shared" si="146"/>
        <v>Backlog</v>
      </c>
      <c r="K708" s="13">
        <f t="shared" si="147"/>
        <v>0.93675255825422266</v>
      </c>
      <c r="L708" s="13">
        <f t="shared" si="148"/>
        <v>6.5572679077795586</v>
      </c>
      <c r="M708" s="13">
        <f t="shared" si="149"/>
        <v>28.102576747626678</v>
      </c>
      <c r="N708" t="b">
        <f t="shared" si="150"/>
        <v>1</v>
      </c>
      <c r="O708">
        <f t="shared" si="151"/>
        <v>49</v>
      </c>
      <c r="P708" s="13">
        <f t="shared" si="152"/>
        <v>0.95600225182771092</v>
      </c>
      <c r="Q708" s="13">
        <f t="shared" si="153"/>
        <v>0.94913210118819069</v>
      </c>
      <c r="R708" s="15" t="str">
        <f t="shared" si="154"/>
        <v>STRAIN</v>
      </c>
      <c r="S708" s="13">
        <f t="shared" si="155"/>
        <v>3.9082727160646036E-2</v>
      </c>
    </row>
    <row r="709" spans="1:19" x14ac:dyDescent="0.3">
      <c r="A709" s="4">
        <v>45994</v>
      </c>
      <c r="B709" s="2">
        <v>16</v>
      </c>
      <c r="C709" s="2">
        <v>20</v>
      </c>
      <c r="D709" s="2">
        <v>20</v>
      </c>
      <c r="E709">
        <v>7855</v>
      </c>
      <c r="F709">
        <v>200</v>
      </c>
      <c r="G709" s="2">
        <f t="shared" si="143"/>
        <v>7875</v>
      </c>
      <c r="H709">
        <f t="shared" si="144"/>
        <v>7655</v>
      </c>
      <c r="I709" s="13">
        <f t="shared" si="145"/>
        <v>-1.7112998040496409E-2</v>
      </c>
      <c r="J709" t="str">
        <f t="shared" si="146"/>
        <v>No Backlog</v>
      </c>
      <c r="K709" s="13">
        <f t="shared" si="147"/>
        <v>0.97206349206349207</v>
      </c>
      <c r="L709" s="13">
        <f t="shared" si="148"/>
        <v>6.8044444444444441</v>
      </c>
      <c r="M709" s="13">
        <f t="shared" si="149"/>
        <v>29.161904761904761</v>
      </c>
      <c r="N709" t="b">
        <f t="shared" si="150"/>
        <v>0</v>
      </c>
      <c r="O709">
        <f t="shared" si="151"/>
        <v>49</v>
      </c>
      <c r="P709" s="13">
        <f t="shared" si="152"/>
        <v>0.96999993892644909</v>
      </c>
      <c r="Q709" s="13">
        <f t="shared" si="153"/>
        <v>0.9490926313618564</v>
      </c>
      <c r="R709" s="15" t="b">
        <f t="shared" si="154"/>
        <v>0</v>
      </c>
      <c r="S709" s="13">
        <f t="shared" si="155"/>
        <v>2.5396825396825397E-2</v>
      </c>
    </row>
    <row r="710" spans="1:19" x14ac:dyDescent="0.3">
      <c r="A710" s="4">
        <v>45995</v>
      </c>
      <c r="B710" s="2">
        <v>11</v>
      </c>
      <c r="C710" s="2">
        <v>22</v>
      </c>
      <c r="D710" s="2">
        <v>12</v>
      </c>
      <c r="E710">
        <v>7720</v>
      </c>
      <c r="F710">
        <v>196</v>
      </c>
      <c r="G710" s="2">
        <f t="shared" si="143"/>
        <v>7742</v>
      </c>
      <c r="H710">
        <f t="shared" si="144"/>
        <v>7524</v>
      </c>
      <c r="I710" s="13">
        <f t="shared" si="145"/>
        <v>-3.7214247740563533E-2</v>
      </c>
      <c r="J710" t="str">
        <f t="shared" si="146"/>
        <v>No Backlog</v>
      </c>
      <c r="K710" s="13">
        <f t="shared" si="147"/>
        <v>0.97184190131748904</v>
      </c>
      <c r="L710" s="13">
        <f t="shared" si="148"/>
        <v>6.8028933092224229</v>
      </c>
      <c r="M710" s="13">
        <f t="shared" si="149"/>
        <v>29.15525703952467</v>
      </c>
      <c r="N710" t="b">
        <f t="shared" si="150"/>
        <v>1</v>
      </c>
      <c r="O710">
        <f t="shared" si="151"/>
        <v>49</v>
      </c>
      <c r="P710" s="13">
        <f t="shared" si="152"/>
        <v>0.96277341839853436</v>
      </c>
      <c r="Q710" s="13">
        <f t="shared" si="153"/>
        <v>0.97184190131748904</v>
      </c>
      <c r="R710" s="15" t="b">
        <f t="shared" si="154"/>
        <v>0</v>
      </c>
      <c r="S710" s="13">
        <f t="shared" si="155"/>
        <v>2.5316455696202531E-2</v>
      </c>
    </row>
    <row r="711" spans="1:19" x14ac:dyDescent="0.3">
      <c r="A711" s="4">
        <v>45998</v>
      </c>
      <c r="B711" s="2">
        <v>16</v>
      </c>
      <c r="C711" s="2">
        <v>18</v>
      </c>
      <c r="D711" s="2">
        <v>15</v>
      </c>
      <c r="E711">
        <v>7586</v>
      </c>
      <c r="F711">
        <v>342</v>
      </c>
      <c r="G711" s="2">
        <f t="shared" si="143"/>
        <v>7604</v>
      </c>
      <c r="H711">
        <f t="shared" si="144"/>
        <v>7244</v>
      </c>
      <c r="I711" s="13">
        <f t="shared" si="145"/>
        <v>4.6521258972943125E-2</v>
      </c>
      <c r="J711" t="str">
        <f t="shared" si="146"/>
        <v>Backlog</v>
      </c>
      <c r="K711" s="13">
        <f t="shared" si="147"/>
        <v>0.95265649658074703</v>
      </c>
      <c r="L711" s="13">
        <f t="shared" si="148"/>
        <v>6.6685954760652288</v>
      </c>
      <c r="M711" s="13">
        <f t="shared" si="149"/>
        <v>28.57969489742241</v>
      </c>
      <c r="N711" t="b">
        <f t="shared" si="150"/>
        <v>1</v>
      </c>
      <c r="O711">
        <f t="shared" si="151"/>
        <v>50</v>
      </c>
      <c r="P711" s="13">
        <f t="shared" si="152"/>
        <v>0.96296845993058522</v>
      </c>
      <c r="Q711" s="13">
        <f t="shared" si="153"/>
        <v>0.95265649658074703</v>
      </c>
      <c r="R711" s="15" t="str">
        <f t="shared" si="154"/>
        <v>STRAIN</v>
      </c>
      <c r="S711" s="13">
        <f t="shared" si="155"/>
        <v>4.497632824829037E-2</v>
      </c>
    </row>
    <row r="712" spans="1:19" x14ac:dyDescent="0.3">
      <c r="A712" s="4">
        <v>45999</v>
      </c>
      <c r="B712" s="2">
        <v>15</v>
      </c>
      <c r="C712" s="2">
        <v>13</v>
      </c>
      <c r="D712" s="2">
        <v>23</v>
      </c>
      <c r="E712">
        <v>7879</v>
      </c>
      <c r="F712">
        <v>298</v>
      </c>
      <c r="G712" s="2">
        <f t="shared" si="143"/>
        <v>7892</v>
      </c>
      <c r="H712">
        <f t="shared" si="144"/>
        <v>7581</v>
      </c>
      <c r="I712" s="13">
        <f t="shared" si="145"/>
        <v>1.2003693444136657E-2</v>
      </c>
      <c r="J712" t="str">
        <f t="shared" si="146"/>
        <v>Backlog</v>
      </c>
      <c r="K712" s="13">
        <f t="shared" si="147"/>
        <v>0.96059300557526606</v>
      </c>
      <c r="L712" s="13">
        <f t="shared" si="148"/>
        <v>6.7241510390268626</v>
      </c>
      <c r="M712" s="13">
        <f t="shared" si="149"/>
        <v>28.817790167257982</v>
      </c>
      <c r="N712" t="b">
        <f t="shared" si="150"/>
        <v>0</v>
      </c>
      <c r="O712">
        <f t="shared" si="151"/>
        <v>50</v>
      </c>
      <c r="P712" s="13">
        <f t="shared" si="152"/>
        <v>0.96578145262040893</v>
      </c>
      <c r="Q712" s="13">
        <f t="shared" si="153"/>
        <v>0.96059300557526606</v>
      </c>
      <c r="R712" s="15" t="str">
        <f t="shared" si="154"/>
        <v>STRAIN</v>
      </c>
      <c r="S712" s="13">
        <f t="shared" si="155"/>
        <v>3.7759756715661431E-2</v>
      </c>
    </row>
    <row r="713" spans="1:19" x14ac:dyDescent="0.3">
      <c r="A713" s="4">
        <v>46000</v>
      </c>
      <c r="B713" s="2">
        <v>25</v>
      </c>
      <c r="C713" s="2">
        <v>32</v>
      </c>
      <c r="D713" s="2">
        <v>27</v>
      </c>
      <c r="E713">
        <v>7903</v>
      </c>
      <c r="F713">
        <v>231</v>
      </c>
      <c r="G713" s="2">
        <f t="shared" si="143"/>
        <v>7935</v>
      </c>
      <c r="H713">
        <f t="shared" si="144"/>
        <v>7672</v>
      </c>
      <c r="I713" s="13">
        <f t="shared" si="145"/>
        <v>-3.5192909280500522E-3</v>
      </c>
      <c r="J713" t="str">
        <f t="shared" si="146"/>
        <v>No Backlog</v>
      </c>
      <c r="K713" s="13">
        <f t="shared" si="147"/>
        <v>0.96685570258349085</v>
      </c>
      <c r="L713" s="13">
        <f t="shared" si="148"/>
        <v>6.7679899180844361</v>
      </c>
      <c r="M713" s="13">
        <f t="shared" si="149"/>
        <v>29.005671077504726</v>
      </c>
      <c r="N713" t="b">
        <f t="shared" si="150"/>
        <v>1</v>
      </c>
      <c r="O713">
        <f t="shared" si="151"/>
        <v>50</v>
      </c>
      <c r="P713" s="13">
        <f t="shared" si="152"/>
        <v>0.96767068894522423</v>
      </c>
      <c r="Q713" s="13">
        <f t="shared" si="153"/>
        <v>0.96685570258349085</v>
      </c>
      <c r="R713" s="15" t="b">
        <f t="shared" si="154"/>
        <v>0</v>
      </c>
      <c r="S713" s="13">
        <f t="shared" si="155"/>
        <v>2.9111531190926274E-2</v>
      </c>
    </row>
    <row r="714" spans="1:19" x14ac:dyDescent="0.3">
      <c r="A714" s="4">
        <v>46001</v>
      </c>
      <c r="B714" s="2">
        <v>26</v>
      </c>
      <c r="C714" s="2">
        <v>36</v>
      </c>
      <c r="D714" s="2">
        <v>36</v>
      </c>
      <c r="E714">
        <v>7803</v>
      </c>
      <c r="F714">
        <v>158</v>
      </c>
      <c r="G714" s="2">
        <f t="shared" si="143"/>
        <v>7839</v>
      </c>
      <c r="H714">
        <f t="shared" si="144"/>
        <v>7645</v>
      </c>
      <c r="I714" s="13">
        <f t="shared" si="145"/>
        <v>-1.2818835840418574E-2</v>
      </c>
      <c r="J714" t="str">
        <f t="shared" si="146"/>
        <v>No Backlog</v>
      </c>
      <c r="K714" s="13">
        <f t="shared" si="147"/>
        <v>0.97525194540119908</v>
      </c>
      <c r="L714" s="13">
        <f t="shared" si="148"/>
        <v>6.8267636178083935</v>
      </c>
      <c r="M714" s="13">
        <f t="shared" si="149"/>
        <v>29.257558362035972</v>
      </c>
      <c r="N714" t="b">
        <f t="shared" si="150"/>
        <v>0</v>
      </c>
      <c r="O714">
        <f t="shared" si="151"/>
        <v>50</v>
      </c>
      <c r="P714" s="13">
        <f t="shared" si="152"/>
        <v>0.96838179476167885</v>
      </c>
      <c r="Q714" s="13">
        <f t="shared" si="153"/>
        <v>0.97525194540119908</v>
      </c>
      <c r="R714" s="15" t="b">
        <f t="shared" si="154"/>
        <v>0</v>
      </c>
      <c r="S714" s="13">
        <f t="shared" si="155"/>
        <v>2.0155632095930603E-2</v>
      </c>
    </row>
    <row r="715" spans="1:19" x14ac:dyDescent="0.3">
      <c r="A715" s="4">
        <v>46002</v>
      </c>
      <c r="B715" s="2">
        <v>34</v>
      </c>
      <c r="C715" s="2">
        <v>54</v>
      </c>
      <c r="D715" s="2">
        <v>29</v>
      </c>
      <c r="E715">
        <v>7743</v>
      </c>
      <c r="F715">
        <v>196</v>
      </c>
      <c r="G715" s="2">
        <f t="shared" si="143"/>
        <v>7797</v>
      </c>
      <c r="H715">
        <f t="shared" si="144"/>
        <v>7547</v>
      </c>
      <c r="I715" s="13">
        <f t="shared" si="145"/>
        <v>-5.00861269378561E-2</v>
      </c>
      <c r="J715" t="str">
        <f t="shared" si="146"/>
        <v>No Backlog</v>
      </c>
      <c r="K715" s="13">
        <f t="shared" si="147"/>
        <v>0.96793638578940622</v>
      </c>
      <c r="L715" s="13">
        <f t="shared" si="148"/>
        <v>6.7755547005258432</v>
      </c>
      <c r="M715" s="13">
        <f t="shared" si="149"/>
        <v>29.038091573682188</v>
      </c>
      <c r="N715" t="b">
        <f t="shared" si="150"/>
        <v>1</v>
      </c>
      <c r="O715">
        <f t="shared" si="151"/>
        <v>50</v>
      </c>
      <c r="P715" s="13">
        <f t="shared" si="152"/>
        <v>0.94702907822481341</v>
      </c>
      <c r="Q715" s="13">
        <f t="shared" si="153"/>
        <v>0.96793638578940622</v>
      </c>
      <c r="R715" s="15" t="b">
        <f t="shared" si="154"/>
        <v>0</v>
      </c>
      <c r="S715" s="13">
        <f t="shared" si="155"/>
        <v>2.5137873541105554E-2</v>
      </c>
    </row>
    <row r="716" spans="1:19" x14ac:dyDescent="0.3">
      <c r="A716" s="4">
        <v>46005</v>
      </c>
      <c r="B716" s="2">
        <v>23</v>
      </c>
      <c r="C716" s="2">
        <v>45</v>
      </c>
      <c r="D716" s="2">
        <v>11</v>
      </c>
      <c r="E716">
        <v>7472</v>
      </c>
      <c r="F716">
        <v>303</v>
      </c>
      <c r="G716" s="2">
        <f t="shared" si="143"/>
        <v>7517</v>
      </c>
      <c r="H716">
        <f t="shared" si="144"/>
        <v>7169</v>
      </c>
      <c r="I716" s="13">
        <f t="shared" si="145"/>
        <v>2.6363509555028596E-2</v>
      </c>
      <c r="J716" t="str">
        <f t="shared" si="146"/>
        <v>Backlog</v>
      </c>
      <c r="K716" s="13">
        <f t="shared" si="147"/>
        <v>0.95370493547957957</v>
      </c>
      <c r="L716" s="13">
        <f t="shared" si="148"/>
        <v>6.6759345483570574</v>
      </c>
      <c r="M716" s="13">
        <f t="shared" si="149"/>
        <v>28.611148064387386</v>
      </c>
      <c r="N716" t="b">
        <f t="shared" si="150"/>
        <v>1</v>
      </c>
      <c r="O716">
        <f t="shared" si="151"/>
        <v>51</v>
      </c>
      <c r="P716" s="13">
        <f t="shared" si="152"/>
        <v>0.95370493547957957</v>
      </c>
      <c r="Q716" s="13">
        <f t="shared" si="153"/>
        <v>0.95370493547957957</v>
      </c>
      <c r="R716" s="15" t="str">
        <f t="shared" si="154"/>
        <v>STRAIN</v>
      </c>
      <c r="S716" s="13">
        <f t="shared" si="155"/>
        <v>4.0308633763469472E-2</v>
      </c>
    </row>
    <row r="717" spans="1:19" x14ac:dyDescent="0.3">
      <c r="A717" s="4">
        <v>46006</v>
      </c>
      <c r="B717" s="2">
        <v>20</v>
      </c>
      <c r="C717" s="2">
        <v>22</v>
      </c>
      <c r="D717" s="2">
        <v>41</v>
      </c>
      <c r="E717">
        <v>7538</v>
      </c>
      <c r="F717">
        <v>180</v>
      </c>
      <c r="G717" s="2">
        <f t="shared" si="143"/>
        <v>7560</v>
      </c>
      <c r="H717">
        <f t="shared" si="144"/>
        <v>7358</v>
      </c>
      <c r="I717" s="13">
        <f t="shared" si="145"/>
        <v>-1.3590649633052459E-2</v>
      </c>
      <c r="J717" t="str">
        <f t="shared" si="146"/>
        <v>No Backlog</v>
      </c>
      <c r="K717" s="13">
        <f t="shared" si="147"/>
        <v>0.9732804232804233</v>
      </c>
      <c r="L717" s="13">
        <f t="shared" si="148"/>
        <v>6.8129629629629633</v>
      </c>
      <c r="M717" s="13">
        <f t="shared" si="149"/>
        <v>29.198412698412699</v>
      </c>
      <c r="N717" t="b">
        <f t="shared" si="150"/>
        <v>0</v>
      </c>
      <c r="O717">
        <f t="shared" si="151"/>
        <v>51</v>
      </c>
      <c r="P717" s="13">
        <f t="shared" si="152"/>
        <v>0.9732804232804233</v>
      </c>
      <c r="Q717" s="13">
        <f t="shared" si="153"/>
        <v>0.9732804232804233</v>
      </c>
      <c r="R717" s="15" t="b">
        <f t="shared" si="154"/>
        <v>0</v>
      </c>
      <c r="S717" s="13">
        <f t="shared" si="155"/>
        <v>2.3809523809523808E-2</v>
      </c>
    </row>
    <row r="718" spans="1:19" x14ac:dyDescent="0.3">
      <c r="A718" s="4">
        <v>46007</v>
      </c>
      <c r="B718" s="2">
        <v>47</v>
      </c>
      <c r="C718" s="2">
        <v>42</v>
      </c>
      <c r="D718" s="2">
        <v>47</v>
      </c>
      <c r="E718">
        <v>7433</v>
      </c>
      <c r="F718">
        <v>175</v>
      </c>
      <c r="G718" s="2">
        <f t="shared" si="143"/>
        <v>7475</v>
      </c>
      <c r="H718">
        <f t="shared" si="144"/>
        <v>7258</v>
      </c>
      <c r="I718" s="13">
        <f t="shared" si="145"/>
        <v>-2.1906861394323504E-2</v>
      </c>
      <c r="J718" t="str">
        <f t="shared" si="146"/>
        <v>No Backlog</v>
      </c>
      <c r="K718" s="13">
        <f t="shared" si="147"/>
        <v>0.97096989966555181</v>
      </c>
      <c r="L718" s="13">
        <f t="shared" si="148"/>
        <v>6.7967892976588624</v>
      </c>
      <c r="M718" s="13">
        <f t="shared" si="149"/>
        <v>29.129096989966555</v>
      </c>
      <c r="N718" t="b">
        <f t="shared" si="150"/>
        <v>0</v>
      </c>
      <c r="O718">
        <f t="shared" si="151"/>
        <v>51</v>
      </c>
      <c r="P718" s="13">
        <f t="shared" si="152"/>
        <v>0.97096989966555181</v>
      </c>
      <c r="Q718" s="13">
        <f t="shared" si="153"/>
        <v>0.97096989966555181</v>
      </c>
      <c r="R718" s="15" t="b">
        <f t="shared" si="154"/>
        <v>0</v>
      </c>
      <c r="S718" s="13">
        <f t="shared" si="155"/>
        <v>2.3411371237458192E-2</v>
      </c>
    </row>
    <row r="719" spans="1:19" x14ac:dyDescent="0.3">
      <c r="A719" s="4">
        <v>46008</v>
      </c>
      <c r="B719" s="2">
        <v>32</v>
      </c>
      <c r="C719" s="2">
        <v>50</v>
      </c>
      <c r="D719" s="2">
        <v>39</v>
      </c>
      <c r="E719">
        <v>7280</v>
      </c>
      <c r="F719">
        <v>181</v>
      </c>
      <c r="G719" s="2">
        <f t="shared" si="143"/>
        <v>7330</v>
      </c>
      <c r="H719">
        <f t="shared" si="144"/>
        <v>7099</v>
      </c>
      <c r="I719" s="13">
        <f t="shared" si="145"/>
        <v>-2.8736441752359489E-2</v>
      </c>
      <c r="J719" t="str">
        <f t="shared" si="146"/>
        <v>No Backlog</v>
      </c>
      <c r="K719" s="13">
        <f t="shared" si="147"/>
        <v>0.96848567530695773</v>
      </c>
      <c r="L719" s="13">
        <f t="shared" si="148"/>
        <v>6.7793997271487036</v>
      </c>
      <c r="M719" s="13">
        <f t="shared" si="149"/>
        <v>29.054570259208731</v>
      </c>
      <c r="N719" t="b">
        <f t="shared" si="150"/>
        <v>1</v>
      </c>
      <c r="O719">
        <f t="shared" si="151"/>
        <v>51</v>
      </c>
      <c r="P719" s="13">
        <f t="shared" si="152"/>
        <v>0.96848567530695773</v>
      </c>
      <c r="Q719" s="13">
        <f t="shared" si="153"/>
        <v>0.96848567530695773</v>
      </c>
      <c r="R719" s="15" t="b">
        <f t="shared" si="154"/>
        <v>0</v>
      </c>
      <c r="S719" s="13">
        <f t="shared" si="155"/>
        <v>2.4693042291950885E-2</v>
      </c>
    </row>
    <row r="720" spans="1:19" x14ac:dyDescent="0.3">
      <c r="A720" s="4">
        <v>46009</v>
      </c>
      <c r="B720" s="2">
        <v>32</v>
      </c>
      <c r="C720" s="2">
        <v>49</v>
      </c>
      <c r="D720" s="2">
        <v>39</v>
      </c>
      <c r="E720">
        <v>7122</v>
      </c>
      <c r="F720">
        <v>227</v>
      </c>
      <c r="G720" s="2">
        <f t="shared" si="143"/>
        <v>7171</v>
      </c>
      <c r="H720">
        <f t="shared" si="144"/>
        <v>6895</v>
      </c>
      <c r="I720" s="13">
        <f t="shared" si="145"/>
        <v>-0.11094996374184192</v>
      </c>
      <c r="J720" t="str">
        <f t="shared" si="146"/>
        <v>No Backlog</v>
      </c>
      <c r="K720" s="13">
        <f t="shared" si="147"/>
        <v>0.96151164412215873</v>
      </c>
      <c r="L720" s="13">
        <f t="shared" si="148"/>
        <v>6.7305815088551109</v>
      </c>
      <c r="M720" s="13">
        <f t="shared" si="149"/>
        <v>28.845349323664763</v>
      </c>
      <c r="N720" t="b">
        <f t="shared" si="150"/>
        <v>1</v>
      </c>
      <c r="O720">
        <f t="shared" si="151"/>
        <v>51</v>
      </c>
      <c r="P720" s="13">
        <f t="shared" si="152"/>
        <v>0.96151164412215873</v>
      </c>
      <c r="Q720" s="13">
        <f t="shared" si="153"/>
        <v>0.96151164412215873</v>
      </c>
      <c r="R720" s="15" t="b">
        <f t="shared" si="154"/>
        <v>0</v>
      </c>
      <c r="S720" s="13">
        <f t="shared" si="155"/>
        <v>3.1655278203876723E-2</v>
      </c>
    </row>
    <row r="721" spans="1:19" x14ac:dyDescent="0.3">
      <c r="A721" s="4">
        <v>46012</v>
      </c>
      <c r="B721" s="2">
        <v>33</v>
      </c>
      <c r="C721" s="2">
        <v>53</v>
      </c>
      <c r="D721" s="2">
        <v>34</v>
      </c>
      <c r="E721">
        <v>6566</v>
      </c>
      <c r="F721">
        <v>436</v>
      </c>
      <c r="G721" s="2">
        <f t="shared" si="143"/>
        <v>6619</v>
      </c>
      <c r="H721">
        <f t="shared" si="144"/>
        <v>6130</v>
      </c>
      <c r="I721" s="13">
        <f t="shared" si="145"/>
        <v>-1</v>
      </c>
      <c r="J721" t="str">
        <f t="shared" si="146"/>
        <v>No Backlog</v>
      </c>
      <c r="K721" s="13">
        <f t="shared" si="147"/>
        <v>0.92612177066022061</v>
      </c>
      <c r="L721" s="13">
        <f t="shared" si="148"/>
        <v>6.4828523946215446</v>
      </c>
      <c r="M721" s="13">
        <f t="shared" si="149"/>
        <v>27.783653119806619</v>
      </c>
      <c r="N721" t="b">
        <f t="shared" si="150"/>
        <v>1</v>
      </c>
      <c r="O721">
        <f t="shared" si="151"/>
        <v>52</v>
      </c>
      <c r="P721" s="13">
        <f t="shared" si="152"/>
        <v>0.92612177066022061</v>
      </c>
      <c r="Q721" s="13">
        <f t="shared" si="153"/>
        <v>0.92612177066022061</v>
      </c>
      <c r="R721" s="15" t="b">
        <f t="shared" si="154"/>
        <v>0</v>
      </c>
      <c r="S721" s="13">
        <f t="shared" si="155"/>
        <v>6.5870977489046689E-2</v>
      </c>
    </row>
  </sheetData>
  <sortState xmlns:xlrd2="http://schemas.microsoft.com/office/spreadsheetml/2017/richdata2" ref="A2:A721">
    <sortCondition ref="A1:A721"/>
  </sortState>
  <phoneticPr fontId="18" type="noConversion"/>
  <conditionalFormatting sqref="I1:I10485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{A70CDD49-2017-4EC0-94AF-4C8E1EBE5727}</x14:id>
        </ext>
      </extLst>
    </cfRule>
  </conditionalFormatting>
  <conditionalFormatting sqref="J1:J1048576">
    <cfRule type="cellIs" dxfId="61" priority="3" operator="equal">
      <formula>"backlog"</formula>
    </cfRule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:S1 N1:N1048576">
    <cfRule type="containsText" dxfId="60" priority="5" operator="containsText" text="false">
      <formula>NOT(ISERROR(SEARCH("false",N1)))</formula>
    </cfRule>
  </conditionalFormatting>
  <conditionalFormatting sqref="S1 R1:R1048576">
    <cfRule type="cellIs" dxfId="59" priority="1" operator="equal">
      <formula>"strain"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0CDD49-2017-4EC0-94AF-4C8E1EBE57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67CB3-16E3-45E8-8FDF-403076BD7307}">
  <dimension ref="A1:F721"/>
  <sheetViews>
    <sheetView workbookViewId="0">
      <selection activeCell="I5" sqref="I5"/>
    </sheetView>
  </sheetViews>
  <sheetFormatPr defaultRowHeight="14.4" x14ac:dyDescent="0.3"/>
  <cols>
    <col min="1" max="1" width="10.5546875" style="4" bestFit="1" customWidth="1"/>
    <col min="6" max="6" width="39.5546875" bestFit="1" customWidth="1"/>
    <col min="14" max="14" width="29" bestFit="1" customWidth="1"/>
  </cols>
  <sheetData>
    <row r="1" spans="1:6" x14ac:dyDescent="0.3">
      <c r="A1" s="3" t="s">
        <v>0</v>
      </c>
    </row>
    <row r="2" spans="1:6" x14ac:dyDescent="0.3">
      <c r="A2" s="4">
        <v>44938</v>
      </c>
    </row>
    <row r="3" spans="1:6" x14ac:dyDescent="0.3">
      <c r="A3" s="4">
        <v>44948</v>
      </c>
    </row>
    <row r="4" spans="1:6" ht="17.399999999999999" x14ac:dyDescent="0.45">
      <c r="A4" s="4">
        <v>44949</v>
      </c>
      <c r="F4" s="11" t="s">
        <v>29</v>
      </c>
    </row>
    <row r="5" spans="1:6" x14ac:dyDescent="0.3">
      <c r="A5" s="4">
        <v>44950</v>
      </c>
    </row>
    <row r="6" spans="1:6" x14ac:dyDescent="0.3">
      <c r="A6" s="4">
        <v>44951</v>
      </c>
    </row>
    <row r="7" spans="1:6" x14ac:dyDescent="0.3">
      <c r="A7" s="4">
        <v>44955</v>
      </c>
    </row>
    <row r="8" spans="1:6" x14ac:dyDescent="0.3">
      <c r="A8" s="4">
        <v>44956</v>
      </c>
    </row>
    <row r="9" spans="1:6" x14ac:dyDescent="0.3">
      <c r="A9" s="4">
        <v>44957</v>
      </c>
    </row>
    <row r="10" spans="1:6" x14ac:dyDescent="0.3">
      <c r="A10" s="4">
        <v>44958</v>
      </c>
    </row>
    <row r="11" spans="1:6" x14ac:dyDescent="0.3">
      <c r="A11" s="4">
        <v>44959</v>
      </c>
    </row>
    <row r="12" spans="1:6" x14ac:dyDescent="0.3">
      <c r="A12" s="4">
        <v>44962</v>
      </c>
    </row>
    <row r="13" spans="1:6" x14ac:dyDescent="0.3">
      <c r="A13" s="4">
        <v>44963</v>
      </c>
    </row>
    <row r="14" spans="1:6" x14ac:dyDescent="0.3">
      <c r="A14" s="4">
        <v>44964</v>
      </c>
    </row>
    <row r="15" spans="1:6" x14ac:dyDescent="0.3">
      <c r="A15" s="4">
        <v>44965</v>
      </c>
    </row>
    <row r="16" spans="1:6" x14ac:dyDescent="0.3">
      <c r="A16" s="4">
        <v>44966</v>
      </c>
    </row>
    <row r="17" spans="1:6" x14ac:dyDescent="0.3">
      <c r="A17" s="4">
        <v>44969</v>
      </c>
    </row>
    <row r="18" spans="1:6" x14ac:dyDescent="0.3">
      <c r="A18" s="4">
        <v>44970</v>
      </c>
    </row>
    <row r="19" spans="1:6" x14ac:dyDescent="0.3">
      <c r="A19" s="4">
        <v>44971</v>
      </c>
    </row>
    <row r="20" spans="1:6" x14ac:dyDescent="0.3">
      <c r="A20" s="4">
        <v>44972</v>
      </c>
    </row>
    <row r="21" spans="1:6" x14ac:dyDescent="0.3">
      <c r="A21" s="4">
        <v>44973</v>
      </c>
    </row>
    <row r="22" spans="1:6" ht="17.399999999999999" x14ac:dyDescent="0.45">
      <c r="A22" s="4">
        <v>44977</v>
      </c>
      <c r="F22" s="10" t="s">
        <v>30</v>
      </c>
    </row>
    <row r="23" spans="1:6" x14ac:dyDescent="0.3">
      <c r="A23" s="4">
        <v>44978</v>
      </c>
    </row>
    <row r="24" spans="1:6" x14ac:dyDescent="0.3">
      <c r="A24" s="4">
        <v>44979</v>
      </c>
    </row>
    <row r="25" spans="1:6" x14ac:dyDescent="0.3">
      <c r="A25" s="4">
        <v>44980</v>
      </c>
    </row>
    <row r="26" spans="1:6" x14ac:dyDescent="0.3">
      <c r="A26" s="4">
        <v>44983</v>
      </c>
    </row>
    <row r="27" spans="1:6" x14ac:dyDescent="0.3">
      <c r="A27" s="4">
        <v>44984</v>
      </c>
    </row>
    <row r="28" spans="1:6" x14ac:dyDescent="0.3">
      <c r="A28" s="4">
        <v>44985</v>
      </c>
    </row>
    <row r="29" spans="1:6" x14ac:dyDescent="0.3">
      <c r="A29" s="4">
        <v>44986</v>
      </c>
    </row>
    <row r="30" spans="1:6" x14ac:dyDescent="0.3">
      <c r="A30" s="4">
        <v>44987</v>
      </c>
    </row>
    <row r="31" spans="1:6" x14ac:dyDescent="0.3">
      <c r="A31" s="4">
        <v>44992</v>
      </c>
    </row>
    <row r="32" spans="1:6" x14ac:dyDescent="0.3">
      <c r="A32" s="4">
        <v>44993</v>
      </c>
    </row>
    <row r="33" spans="1:1" x14ac:dyDescent="0.3">
      <c r="A33" s="4">
        <v>44994</v>
      </c>
    </row>
    <row r="34" spans="1:1" x14ac:dyDescent="0.3">
      <c r="A34" s="4">
        <v>44998</v>
      </c>
    </row>
    <row r="35" spans="1:1" x14ac:dyDescent="0.3">
      <c r="A35" s="4">
        <v>44999</v>
      </c>
    </row>
    <row r="36" spans="1:1" x14ac:dyDescent="0.3">
      <c r="A36" s="4">
        <v>45000</v>
      </c>
    </row>
    <row r="37" spans="1:1" x14ac:dyDescent="0.3">
      <c r="A37" s="4">
        <v>45001</v>
      </c>
    </row>
    <row r="38" spans="1:1" x14ac:dyDescent="0.3">
      <c r="A38" s="4">
        <v>45004</v>
      </c>
    </row>
    <row r="39" spans="1:1" x14ac:dyDescent="0.3">
      <c r="A39" s="4">
        <v>45005</v>
      </c>
    </row>
    <row r="40" spans="1:1" x14ac:dyDescent="0.3">
      <c r="A40" s="4">
        <v>45006</v>
      </c>
    </row>
    <row r="41" spans="1:1" x14ac:dyDescent="0.3">
      <c r="A41" s="4">
        <v>45007</v>
      </c>
    </row>
    <row r="42" spans="1:1" x14ac:dyDescent="0.3">
      <c r="A42" s="4">
        <v>45008</v>
      </c>
    </row>
    <row r="43" spans="1:1" x14ac:dyDescent="0.3">
      <c r="A43" s="4">
        <v>45011</v>
      </c>
    </row>
    <row r="44" spans="1:1" x14ac:dyDescent="0.3">
      <c r="A44" s="4">
        <v>45012</v>
      </c>
    </row>
    <row r="45" spans="1:1" x14ac:dyDescent="0.3">
      <c r="A45" s="4">
        <v>45013</v>
      </c>
    </row>
    <row r="46" spans="1:1" x14ac:dyDescent="0.3">
      <c r="A46" s="4">
        <v>45014</v>
      </c>
    </row>
    <row r="47" spans="1:1" x14ac:dyDescent="0.3">
      <c r="A47" s="4">
        <v>45015</v>
      </c>
    </row>
    <row r="48" spans="1:1" x14ac:dyDescent="0.3">
      <c r="A48" s="4">
        <v>45018</v>
      </c>
    </row>
    <row r="49" spans="1:1" x14ac:dyDescent="0.3">
      <c r="A49" s="4">
        <v>45019</v>
      </c>
    </row>
    <row r="50" spans="1:1" x14ac:dyDescent="0.3">
      <c r="A50" s="4">
        <v>45020</v>
      </c>
    </row>
    <row r="51" spans="1:1" x14ac:dyDescent="0.3">
      <c r="A51" s="4">
        <v>45021</v>
      </c>
    </row>
    <row r="52" spans="1:1" x14ac:dyDescent="0.3">
      <c r="A52" s="4">
        <v>45022</v>
      </c>
    </row>
    <row r="53" spans="1:1" x14ac:dyDescent="0.3">
      <c r="A53" s="4">
        <v>45025</v>
      </c>
    </row>
    <row r="54" spans="1:1" x14ac:dyDescent="0.3">
      <c r="A54" s="4">
        <v>45026</v>
      </c>
    </row>
    <row r="55" spans="1:1" x14ac:dyDescent="0.3">
      <c r="A55" s="4">
        <v>45027</v>
      </c>
    </row>
    <row r="56" spans="1:1" x14ac:dyDescent="0.3">
      <c r="A56" s="4">
        <v>45028</v>
      </c>
    </row>
    <row r="57" spans="1:1" x14ac:dyDescent="0.3">
      <c r="A57" s="4">
        <v>45029</v>
      </c>
    </row>
    <row r="58" spans="1:1" x14ac:dyDescent="0.3">
      <c r="A58" s="4">
        <v>45032</v>
      </c>
    </row>
    <row r="59" spans="1:1" x14ac:dyDescent="0.3">
      <c r="A59" s="4">
        <v>45033</v>
      </c>
    </row>
    <row r="60" spans="1:1" x14ac:dyDescent="0.3">
      <c r="A60" s="4">
        <v>45034</v>
      </c>
    </row>
    <row r="61" spans="1:1" x14ac:dyDescent="0.3">
      <c r="A61" s="4">
        <v>45035</v>
      </c>
    </row>
    <row r="62" spans="1:1" x14ac:dyDescent="0.3">
      <c r="A62" s="4">
        <v>45036</v>
      </c>
    </row>
    <row r="63" spans="1:1" x14ac:dyDescent="0.3">
      <c r="A63" s="4">
        <v>45039</v>
      </c>
    </row>
    <row r="64" spans="1:1" x14ac:dyDescent="0.3">
      <c r="A64" s="4">
        <v>45040</v>
      </c>
    </row>
    <row r="65" spans="1:1" x14ac:dyDescent="0.3">
      <c r="A65" s="4">
        <v>45041</v>
      </c>
    </row>
    <row r="66" spans="1:1" x14ac:dyDescent="0.3">
      <c r="A66" s="4">
        <v>45042</v>
      </c>
    </row>
    <row r="67" spans="1:1" x14ac:dyDescent="0.3">
      <c r="A67" s="4">
        <v>45043</v>
      </c>
    </row>
    <row r="68" spans="1:1" x14ac:dyDescent="0.3">
      <c r="A68" s="4">
        <v>45046</v>
      </c>
    </row>
    <row r="69" spans="1:1" x14ac:dyDescent="0.3">
      <c r="A69" s="4">
        <v>45047</v>
      </c>
    </row>
    <row r="70" spans="1:1" x14ac:dyDescent="0.3">
      <c r="A70" s="4">
        <v>45048</v>
      </c>
    </row>
    <row r="71" spans="1:1" x14ac:dyDescent="0.3">
      <c r="A71" s="4">
        <v>45049</v>
      </c>
    </row>
    <row r="72" spans="1:1" x14ac:dyDescent="0.3">
      <c r="A72" s="4">
        <v>45050</v>
      </c>
    </row>
    <row r="73" spans="1:1" x14ac:dyDescent="0.3">
      <c r="A73" s="4">
        <v>45053</v>
      </c>
    </row>
    <row r="74" spans="1:1" x14ac:dyDescent="0.3">
      <c r="A74" s="4">
        <v>45054</v>
      </c>
    </row>
    <row r="75" spans="1:1" x14ac:dyDescent="0.3">
      <c r="A75" s="4">
        <v>45055</v>
      </c>
    </row>
    <row r="76" spans="1:1" x14ac:dyDescent="0.3">
      <c r="A76" s="4">
        <v>45056</v>
      </c>
    </row>
    <row r="77" spans="1:1" x14ac:dyDescent="0.3">
      <c r="A77" s="4">
        <v>45057</v>
      </c>
    </row>
    <row r="78" spans="1:1" x14ac:dyDescent="0.3">
      <c r="A78" s="4">
        <v>45060</v>
      </c>
    </row>
    <row r="79" spans="1:1" x14ac:dyDescent="0.3">
      <c r="A79" s="4">
        <v>45061</v>
      </c>
    </row>
    <row r="80" spans="1:1" x14ac:dyDescent="0.3">
      <c r="A80" s="4">
        <v>45062</v>
      </c>
    </row>
    <row r="81" spans="1:1" x14ac:dyDescent="0.3">
      <c r="A81" s="4">
        <v>45063</v>
      </c>
    </row>
    <row r="82" spans="1:1" x14ac:dyDescent="0.3">
      <c r="A82" s="4">
        <v>45064</v>
      </c>
    </row>
    <row r="83" spans="1:1" x14ac:dyDescent="0.3">
      <c r="A83" s="4">
        <v>45067</v>
      </c>
    </row>
    <row r="84" spans="1:1" x14ac:dyDescent="0.3">
      <c r="A84" s="4">
        <v>45068</v>
      </c>
    </row>
    <row r="85" spans="1:1" x14ac:dyDescent="0.3">
      <c r="A85" s="4">
        <v>45069</v>
      </c>
    </row>
    <row r="86" spans="1:1" x14ac:dyDescent="0.3">
      <c r="A86" s="4">
        <v>45070</v>
      </c>
    </row>
    <row r="87" spans="1:1" x14ac:dyDescent="0.3">
      <c r="A87" s="4">
        <v>45071</v>
      </c>
    </row>
    <row r="88" spans="1:1" x14ac:dyDescent="0.3">
      <c r="A88" s="4">
        <v>45075</v>
      </c>
    </row>
    <row r="89" spans="1:1" x14ac:dyDescent="0.3">
      <c r="A89" s="4">
        <v>45076</v>
      </c>
    </row>
    <row r="90" spans="1:1" x14ac:dyDescent="0.3">
      <c r="A90" s="4">
        <v>45077</v>
      </c>
    </row>
    <row r="91" spans="1:1" x14ac:dyDescent="0.3">
      <c r="A91" s="4">
        <v>45078</v>
      </c>
    </row>
    <row r="92" spans="1:1" x14ac:dyDescent="0.3">
      <c r="A92" s="4">
        <v>45081</v>
      </c>
    </row>
    <row r="93" spans="1:1" x14ac:dyDescent="0.3">
      <c r="A93" s="4">
        <v>45082</v>
      </c>
    </row>
    <row r="94" spans="1:1" x14ac:dyDescent="0.3">
      <c r="A94" s="4">
        <v>45083</v>
      </c>
    </row>
    <row r="95" spans="1:1" x14ac:dyDescent="0.3">
      <c r="A95" s="4">
        <v>45084</v>
      </c>
    </row>
    <row r="96" spans="1:1" x14ac:dyDescent="0.3">
      <c r="A96" s="4">
        <v>45085</v>
      </c>
    </row>
    <row r="97" spans="1:1" x14ac:dyDescent="0.3">
      <c r="A97" s="4">
        <v>45088</v>
      </c>
    </row>
    <row r="98" spans="1:1" x14ac:dyDescent="0.3">
      <c r="A98" s="4">
        <v>45089</v>
      </c>
    </row>
    <row r="99" spans="1:1" x14ac:dyDescent="0.3">
      <c r="A99" s="4">
        <v>45090</v>
      </c>
    </row>
    <row r="100" spans="1:1" x14ac:dyDescent="0.3">
      <c r="A100" s="4">
        <v>45091</v>
      </c>
    </row>
    <row r="101" spans="1:1" x14ac:dyDescent="0.3">
      <c r="A101" s="4">
        <v>45092</v>
      </c>
    </row>
    <row r="102" spans="1:1" x14ac:dyDescent="0.3">
      <c r="A102" s="4">
        <v>45096</v>
      </c>
    </row>
    <row r="103" spans="1:1" x14ac:dyDescent="0.3">
      <c r="A103" s="4">
        <v>45097</v>
      </c>
    </row>
    <row r="104" spans="1:1" x14ac:dyDescent="0.3">
      <c r="A104" s="4">
        <v>45098</v>
      </c>
    </row>
    <row r="105" spans="1:1" x14ac:dyDescent="0.3">
      <c r="A105" s="4">
        <v>45099</v>
      </c>
    </row>
    <row r="106" spans="1:1" x14ac:dyDescent="0.3">
      <c r="A106" s="4">
        <v>45102</v>
      </c>
    </row>
    <row r="107" spans="1:1" x14ac:dyDescent="0.3">
      <c r="A107" s="4">
        <v>45103</v>
      </c>
    </row>
    <row r="108" spans="1:1" x14ac:dyDescent="0.3">
      <c r="A108" s="4">
        <v>45104</v>
      </c>
    </row>
    <row r="109" spans="1:1" x14ac:dyDescent="0.3">
      <c r="A109" s="4">
        <v>45105</v>
      </c>
    </row>
    <row r="110" spans="1:1" x14ac:dyDescent="0.3">
      <c r="A110" s="4">
        <v>45106</v>
      </c>
    </row>
    <row r="111" spans="1:1" x14ac:dyDescent="0.3">
      <c r="A111" s="4">
        <v>45109</v>
      </c>
    </row>
    <row r="112" spans="1:1" x14ac:dyDescent="0.3">
      <c r="A112" s="4">
        <v>45111</v>
      </c>
    </row>
    <row r="113" spans="1:1" x14ac:dyDescent="0.3">
      <c r="A113" s="4">
        <v>45112</v>
      </c>
    </row>
    <row r="114" spans="1:1" x14ac:dyDescent="0.3">
      <c r="A114" s="4">
        <v>45113</v>
      </c>
    </row>
    <row r="115" spans="1:1" x14ac:dyDescent="0.3">
      <c r="A115" s="4">
        <v>45116</v>
      </c>
    </row>
    <row r="116" spans="1:1" x14ac:dyDescent="0.3">
      <c r="A116" s="4">
        <v>45117</v>
      </c>
    </row>
    <row r="117" spans="1:1" x14ac:dyDescent="0.3">
      <c r="A117" s="4">
        <v>45118</v>
      </c>
    </row>
    <row r="118" spans="1:1" x14ac:dyDescent="0.3">
      <c r="A118" s="4">
        <v>45119</v>
      </c>
    </row>
    <row r="119" spans="1:1" x14ac:dyDescent="0.3">
      <c r="A119" s="4">
        <v>45120</v>
      </c>
    </row>
    <row r="120" spans="1:1" x14ac:dyDescent="0.3">
      <c r="A120" s="4">
        <v>45123</v>
      </c>
    </row>
    <row r="121" spans="1:1" x14ac:dyDescent="0.3">
      <c r="A121" s="4">
        <v>45124</v>
      </c>
    </row>
    <row r="122" spans="1:1" x14ac:dyDescent="0.3">
      <c r="A122" s="4">
        <v>45125</v>
      </c>
    </row>
    <row r="123" spans="1:1" x14ac:dyDescent="0.3">
      <c r="A123" s="4">
        <v>45126</v>
      </c>
    </row>
    <row r="124" spans="1:1" x14ac:dyDescent="0.3">
      <c r="A124" s="4">
        <v>45127</v>
      </c>
    </row>
    <row r="125" spans="1:1" x14ac:dyDescent="0.3">
      <c r="A125" s="4">
        <v>45130</v>
      </c>
    </row>
    <row r="126" spans="1:1" x14ac:dyDescent="0.3">
      <c r="A126" s="4">
        <v>45131</v>
      </c>
    </row>
    <row r="127" spans="1:1" x14ac:dyDescent="0.3">
      <c r="A127" s="4">
        <v>45132</v>
      </c>
    </row>
    <row r="128" spans="1:1" x14ac:dyDescent="0.3">
      <c r="A128" s="4">
        <v>45133</v>
      </c>
    </row>
    <row r="129" spans="1:1" x14ac:dyDescent="0.3">
      <c r="A129" s="4">
        <v>45134</v>
      </c>
    </row>
    <row r="130" spans="1:1" x14ac:dyDescent="0.3">
      <c r="A130" s="4">
        <v>45137</v>
      </c>
    </row>
    <row r="131" spans="1:1" x14ac:dyDescent="0.3">
      <c r="A131" s="4">
        <v>45138</v>
      </c>
    </row>
    <row r="132" spans="1:1" x14ac:dyDescent="0.3">
      <c r="A132" s="4">
        <v>45139</v>
      </c>
    </row>
    <row r="133" spans="1:1" x14ac:dyDescent="0.3">
      <c r="A133" s="4">
        <v>45140</v>
      </c>
    </row>
    <row r="134" spans="1:1" x14ac:dyDescent="0.3">
      <c r="A134" s="4">
        <v>45141</v>
      </c>
    </row>
    <row r="135" spans="1:1" x14ac:dyDescent="0.3">
      <c r="A135" s="4">
        <v>45144</v>
      </c>
    </row>
    <row r="136" spans="1:1" x14ac:dyDescent="0.3">
      <c r="A136" s="4">
        <v>45145</v>
      </c>
    </row>
    <row r="137" spans="1:1" x14ac:dyDescent="0.3">
      <c r="A137" s="4">
        <v>45146</v>
      </c>
    </row>
    <row r="138" spans="1:1" x14ac:dyDescent="0.3">
      <c r="A138" s="4">
        <v>45147</v>
      </c>
    </row>
    <row r="139" spans="1:1" x14ac:dyDescent="0.3">
      <c r="A139" s="4">
        <v>45148</v>
      </c>
    </row>
    <row r="140" spans="1:1" x14ac:dyDescent="0.3">
      <c r="A140" s="4">
        <v>45154</v>
      </c>
    </row>
    <row r="141" spans="1:1" x14ac:dyDescent="0.3">
      <c r="A141" s="4">
        <v>45155</v>
      </c>
    </row>
    <row r="142" spans="1:1" x14ac:dyDescent="0.3">
      <c r="A142" s="4">
        <v>45158</v>
      </c>
    </row>
    <row r="143" spans="1:1" x14ac:dyDescent="0.3">
      <c r="A143" s="4">
        <v>45159</v>
      </c>
    </row>
    <row r="144" spans="1:1" x14ac:dyDescent="0.3">
      <c r="A144" s="4">
        <v>45160</v>
      </c>
    </row>
    <row r="145" spans="1:1" x14ac:dyDescent="0.3">
      <c r="A145" s="4">
        <v>45161</v>
      </c>
    </row>
    <row r="146" spans="1:1" x14ac:dyDescent="0.3">
      <c r="A146" s="4">
        <v>45162</v>
      </c>
    </row>
    <row r="147" spans="1:1" x14ac:dyDescent="0.3">
      <c r="A147" s="4">
        <v>45165</v>
      </c>
    </row>
    <row r="148" spans="1:1" x14ac:dyDescent="0.3">
      <c r="A148" s="4">
        <v>45166</v>
      </c>
    </row>
    <row r="149" spans="1:1" x14ac:dyDescent="0.3">
      <c r="A149" s="4">
        <v>45167</v>
      </c>
    </row>
    <row r="150" spans="1:1" x14ac:dyDescent="0.3">
      <c r="A150" s="4">
        <v>45168</v>
      </c>
    </row>
    <row r="151" spans="1:1" x14ac:dyDescent="0.3">
      <c r="A151" s="4">
        <v>45169</v>
      </c>
    </row>
    <row r="152" spans="1:1" x14ac:dyDescent="0.3">
      <c r="A152" s="4">
        <v>45173</v>
      </c>
    </row>
    <row r="153" spans="1:1" x14ac:dyDescent="0.3">
      <c r="A153" s="4">
        <v>45174</v>
      </c>
    </row>
    <row r="154" spans="1:1" x14ac:dyDescent="0.3">
      <c r="A154" s="4">
        <v>45175</v>
      </c>
    </row>
    <row r="155" spans="1:1" x14ac:dyDescent="0.3">
      <c r="A155" s="4">
        <v>45176</v>
      </c>
    </row>
    <row r="156" spans="1:1" x14ac:dyDescent="0.3">
      <c r="A156" s="4">
        <v>45179</v>
      </c>
    </row>
    <row r="157" spans="1:1" x14ac:dyDescent="0.3">
      <c r="A157" s="4">
        <v>45180</v>
      </c>
    </row>
    <row r="158" spans="1:1" x14ac:dyDescent="0.3">
      <c r="A158" s="4">
        <v>45181</v>
      </c>
    </row>
    <row r="159" spans="1:1" x14ac:dyDescent="0.3">
      <c r="A159" s="4">
        <v>45182</v>
      </c>
    </row>
    <row r="160" spans="1:1" x14ac:dyDescent="0.3">
      <c r="A160" s="4">
        <v>45183</v>
      </c>
    </row>
    <row r="161" spans="1:1" x14ac:dyDescent="0.3">
      <c r="A161" s="4">
        <v>45186</v>
      </c>
    </row>
    <row r="162" spans="1:1" x14ac:dyDescent="0.3">
      <c r="A162" s="4">
        <v>45187</v>
      </c>
    </row>
    <row r="163" spans="1:1" x14ac:dyDescent="0.3">
      <c r="A163" s="4">
        <v>45188</v>
      </c>
    </row>
    <row r="164" spans="1:1" x14ac:dyDescent="0.3">
      <c r="A164" s="4">
        <v>45189</v>
      </c>
    </row>
    <row r="165" spans="1:1" x14ac:dyDescent="0.3">
      <c r="A165" s="4">
        <v>45190</v>
      </c>
    </row>
    <row r="166" spans="1:1" x14ac:dyDescent="0.3">
      <c r="A166" s="4">
        <v>45193</v>
      </c>
    </row>
    <row r="167" spans="1:1" x14ac:dyDescent="0.3">
      <c r="A167" s="4">
        <v>45194</v>
      </c>
    </row>
    <row r="168" spans="1:1" x14ac:dyDescent="0.3">
      <c r="A168" s="4">
        <v>45195</v>
      </c>
    </row>
    <row r="169" spans="1:1" x14ac:dyDescent="0.3">
      <c r="A169" s="4">
        <v>45196</v>
      </c>
    </row>
    <row r="170" spans="1:1" x14ac:dyDescent="0.3">
      <c r="A170" s="4">
        <v>45197</v>
      </c>
    </row>
    <row r="171" spans="1:1" x14ac:dyDescent="0.3">
      <c r="A171" s="4">
        <v>45200</v>
      </c>
    </row>
    <row r="172" spans="1:1" x14ac:dyDescent="0.3">
      <c r="A172" s="4">
        <v>45201</v>
      </c>
    </row>
    <row r="173" spans="1:1" x14ac:dyDescent="0.3">
      <c r="A173" s="4">
        <v>45202</v>
      </c>
    </row>
    <row r="174" spans="1:1" x14ac:dyDescent="0.3">
      <c r="A174" s="4">
        <v>45203</v>
      </c>
    </row>
    <row r="175" spans="1:1" x14ac:dyDescent="0.3">
      <c r="A175" s="4">
        <v>45204</v>
      </c>
    </row>
    <row r="176" spans="1:1" x14ac:dyDescent="0.3">
      <c r="A176" s="4">
        <v>45208</v>
      </c>
    </row>
    <row r="177" spans="1:1" x14ac:dyDescent="0.3">
      <c r="A177" s="4">
        <v>45209</v>
      </c>
    </row>
    <row r="178" spans="1:1" x14ac:dyDescent="0.3">
      <c r="A178" s="4">
        <v>45210</v>
      </c>
    </row>
    <row r="179" spans="1:1" x14ac:dyDescent="0.3">
      <c r="A179" s="4">
        <v>45211</v>
      </c>
    </row>
    <row r="180" spans="1:1" x14ac:dyDescent="0.3">
      <c r="A180" s="4">
        <v>45214</v>
      </c>
    </row>
    <row r="181" spans="1:1" x14ac:dyDescent="0.3">
      <c r="A181" s="4">
        <v>45215</v>
      </c>
    </row>
    <row r="182" spans="1:1" x14ac:dyDescent="0.3">
      <c r="A182" s="4">
        <v>45216</v>
      </c>
    </row>
    <row r="183" spans="1:1" x14ac:dyDescent="0.3">
      <c r="A183" s="4">
        <v>45217</v>
      </c>
    </row>
    <row r="184" spans="1:1" x14ac:dyDescent="0.3">
      <c r="A184" s="4">
        <v>45218</v>
      </c>
    </row>
    <row r="185" spans="1:1" x14ac:dyDescent="0.3">
      <c r="A185" s="4">
        <v>45221</v>
      </c>
    </row>
    <row r="186" spans="1:1" x14ac:dyDescent="0.3">
      <c r="A186" s="4">
        <v>45222</v>
      </c>
    </row>
    <row r="187" spans="1:1" x14ac:dyDescent="0.3">
      <c r="A187" s="4">
        <v>45223</v>
      </c>
    </row>
    <row r="188" spans="1:1" x14ac:dyDescent="0.3">
      <c r="A188" s="4">
        <v>45224</v>
      </c>
    </row>
    <row r="189" spans="1:1" x14ac:dyDescent="0.3">
      <c r="A189" s="4">
        <v>45225</v>
      </c>
    </row>
    <row r="190" spans="1:1" x14ac:dyDescent="0.3">
      <c r="A190" s="4">
        <v>45228</v>
      </c>
    </row>
    <row r="191" spans="1:1" x14ac:dyDescent="0.3">
      <c r="A191" s="4">
        <v>45229</v>
      </c>
    </row>
    <row r="192" spans="1:1" x14ac:dyDescent="0.3">
      <c r="A192" s="4">
        <v>45230</v>
      </c>
    </row>
    <row r="193" spans="1:1" x14ac:dyDescent="0.3">
      <c r="A193" s="4">
        <v>45231</v>
      </c>
    </row>
    <row r="194" spans="1:1" x14ac:dyDescent="0.3">
      <c r="A194" s="4">
        <v>45232</v>
      </c>
    </row>
    <row r="195" spans="1:1" x14ac:dyDescent="0.3">
      <c r="A195" s="4">
        <v>45235</v>
      </c>
    </row>
    <row r="196" spans="1:1" x14ac:dyDescent="0.3">
      <c r="A196" s="4">
        <v>45236</v>
      </c>
    </row>
    <row r="197" spans="1:1" x14ac:dyDescent="0.3">
      <c r="A197" s="4">
        <v>45237</v>
      </c>
    </row>
    <row r="198" spans="1:1" x14ac:dyDescent="0.3">
      <c r="A198" s="4">
        <v>45238</v>
      </c>
    </row>
    <row r="199" spans="1:1" x14ac:dyDescent="0.3">
      <c r="A199" s="4">
        <v>45242</v>
      </c>
    </row>
    <row r="200" spans="1:1" x14ac:dyDescent="0.3">
      <c r="A200" s="4">
        <v>45243</v>
      </c>
    </row>
    <row r="201" spans="1:1" x14ac:dyDescent="0.3">
      <c r="A201" s="4">
        <v>45244</v>
      </c>
    </row>
    <row r="202" spans="1:1" x14ac:dyDescent="0.3">
      <c r="A202" s="4">
        <v>45245</v>
      </c>
    </row>
    <row r="203" spans="1:1" x14ac:dyDescent="0.3">
      <c r="A203" s="4">
        <v>45246</v>
      </c>
    </row>
    <row r="204" spans="1:1" x14ac:dyDescent="0.3">
      <c r="A204" s="4">
        <v>45249</v>
      </c>
    </row>
    <row r="205" spans="1:1" x14ac:dyDescent="0.3">
      <c r="A205" s="4">
        <v>45250</v>
      </c>
    </row>
    <row r="206" spans="1:1" x14ac:dyDescent="0.3">
      <c r="A206" s="4">
        <v>45251</v>
      </c>
    </row>
    <row r="207" spans="1:1" x14ac:dyDescent="0.3">
      <c r="A207" s="4">
        <v>45253</v>
      </c>
    </row>
    <row r="208" spans="1:1" x14ac:dyDescent="0.3">
      <c r="A208" s="4">
        <v>45256</v>
      </c>
    </row>
    <row r="209" spans="1:1" x14ac:dyDescent="0.3">
      <c r="A209" s="4">
        <v>45257</v>
      </c>
    </row>
    <row r="210" spans="1:1" x14ac:dyDescent="0.3">
      <c r="A210" s="4">
        <v>45258</v>
      </c>
    </row>
    <row r="211" spans="1:1" x14ac:dyDescent="0.3">
      <c r="A211" s="4">
        <v>45259</v>
      </c>
    </row>
    <row r="212" spans="1:1" x14ac:dyDescent="0.3">
      <c r="A212" s="4">
        <v>45260</v>
      </c>
    </row>
    <row r="213" spans="1:1" x14ac:dyDescent="0.3">
      <c r="A213" s="4">
        <v>45263</v>
      </c>
    </row>
    <row r="214" spans="1:1" x14ac:dyDescent="0.3">
      <c r="A214" s="4">
        <v>45264</v>
      </c>
    </row>
    <row r="215" spans="1:1" x14ac:dyDescent="0.3">
      <c r="A215" s="4">
        <v>45265</v>
      </c>
    </row>
    <row r="216" spans="1:1" x14ac:dyDescent="0.3">
      <c r="A216" s="4">
        <v>45266</v>
      </c>
    </row>
    <row r="217" spans="1:1" x14ac:dyDescent="0.3">
      <c r="A217" s="4">
        <v>45267</v>
      </c>
    </row>
    <row r="218" spans="1:1" x14ac:dyDescent="0.3">
      <c r="A218" s="4">
        <v>45270</v>
      </c>
    </row>
    <row r="219" spans="1:1" x14ac:dyDescent="0.3">
      <c r="A219" s="4">
        <v>45271</v>
      </c>
    </row>
    <row r="220" spans="1:1" x14ac:dyDescent="0.3">
      <c r="A220" s="4">
        <v>45272</v>
      </c>
    </row>
    <row r="221" spans="1:1" x14ac:dyDescent="0.3">
      <c r="A221" s="4">
        <v>45273</v>
      </c>
    </row>
    <row r="222" spans="1:1" x14ac:dyDescent="0.3">
      <c r="A222" s="4">
        <v>45274</v>
      </c>
    </row>
    <row r="223" spans="1:1" x14ac:dyDescent="0.3">
      <c r="A223" s="4">
        <v>45277</v>
      </c>
    </row>
    <row r="224" spans="1:1" x14ac:dyDescent="0.3">
      <c r="A224" s="4">
        <v>45278</v>
      </c>
    </row>
    <row r="225" spans="1:1" x14ac:dyDescent="0.3">
      <c r="A225" s="4">
        <v>45279</v>
      </c>
    </row>
    <row r="226" spans="1:1" x14ac:dyDescent="0.3">
      <c r="A226" s="4">
        <v>45280</v>
      </c>
    </row>
    <row r="227" spans="1:1" x14ac:dyDescent="0.3">
      <c r="A227" s="4">
        <v>45281</v>
      </c>
    </row>
    <row r="228" spans="1:1" x14ac:dyDescent="0.3">
      <c r="A228" s="4">
        <v>45285</v>
      </c>
    </row>
    <row r="229" spans="1:1" x14ac:dyDescent="0.3">
      <c r="A229" s="4">
        <v>45286</v>
      </c>
    </row>
    <row r="230" spans="1:1" x14ac:dyDescent="0.3">
      <c r="A230" s="4">
        <v>45287</v>
      </c>
    </row>
    <row r="231" spans="1:1" x14ac:dyDescent="0.3">
      <c r="A231" s="4">
        <v>45288</v>
      </c>
    </row>
    <row r="232" spans="1:1" x14ac:dyDescent="0.3">
      <c r="A232" s="4">
        <v>45292</v>
      </c>
    </row>
    <row r="233" spans="1:1" x14ac:dyDescent="0.3">
      <c r="A233" s="4">
        <v>45293</v>
      </c>
    </row>
    <row r="234" spans="1:1" x14ac:dyDescent="0.3">
      <c r="A234" s="4">
        <v>45294</v>
      </c>
    </row>
    <row r="235" spans="1:1" x14ac:dyDescent="0.3">
      <c r="A235" s="4">
        <v>45295</v>
      </c>
    </row>
    <row r="236" spans="1:1" x14ac:dyDescent="0.3">
      <c r="A236" s="4">
        <v>45298</v>
      </c>
    </row>
    <row r="237" spans="1:1" x14ac:dyDescent="0.3">
      <c r="A237" s="4">
        <v>45299</v>
      </c>
    </row>
    <row r="238" spans="1:1" x14ac:dyDescent="0.3">
      <c r="A238" s="4">
        <v>45300</v>
      </c>
    </row>
    <row r="239" spans="1:1" x14ac:dyDescent="0.3">
      <c r="A239" s="4">
        <v>45301</v>
      </c>
    </row>
    <row r="240" spans="1:1" x14ac:dyDescent="0.3">
      <c r="A240" s="4">
        <v>45302</v>
      </c>
    </row>
    <row r="241" spans="1:1" x14ac:dyDescent="0.3">
      <c r="A241" s="4">
        <v>45306</v>
      </c>
    </row>
    <row r="242" spans="1:1" x14ac:dyDescent="0.3">
      <c r="A242" s="4">
        <v>45307</v>
      </c>
    </row>
    <row r="243" spans="1:1" x14ac:dyDescent="0.3">
      <c r="A243" s="4">
        <v>45308</v>
      </c>
    </row>
    <row r="244" spans="1:1" x14ac:dyDescent="0.3">
      <c r="A244" s="4">
        <v>45309</v>
      </c>
    </row>
    <row r="245" spans="1:1" x14ac:dyDescent="0.3">
      <c r="A245" s="4">
        <v>45312</v>
      </c>
    </row>
    <row r="246" spans="1:1" x14ac:dyDescent="0.3">
      <c r="A246" s="4">
        <v>45313</v>
      </c>
    </row>
    <row r="247" spans="1:1" x14ac:dyDescent="0.3">
      <c r="A247" s="4">
        <v>45314</v>
      </c>
    </row>
    <row r="248" spans="1:1" x14ac:dyDescent="0.3">
      <c r="A248" s="4">
        <v>45315</v>
      </c>
    </row>
    <row r="249" spans="1:1" x14ac:dyDescent="0.3">
      <c r="A249" s="4">
        <v>45316</v>
      </c>
    </row>
    <row r="250" spans="1:1" x14ac:dyDescent="0.3">
      <c r="A250" s="4">
        <v>45319</v>
      </c>
    </row>
    <row r="251" spans="1:1" x14ac:dyDescent="0.3">
      <c r="A251" s="4">
        <v>45320</v>
      </c>
    </row>
    <row r="252" spans="1:1" x14ac:dyDescent="0.3">
      <c r="A252" s="4">
        <v>45321</v>
      </c>
    </row>
    <row r="253" spans="1:1" x14ac:dyDescent="0.3">
      <c r="A253" s="4">
        <v>45322</v>
      </c>
    </row>
    <row r="254" spans="1:1" x14ac:dyDescent="0.3">
      <c r="A254" s="4">
        <v>45323</v>
      </c>
    </row>
    <row r="255" spans="1:1" x14ac:dyDescent="0.3">
      <c r="A255" s="4">
        <v>45326</v>
      </c>
    </row>
    <row r="256" spans="1:1" x14ac:dyDescent="0.3">
      <c r="A256" s="4">
        <v>45327</v>
      </c>
    </row>
    <row r="257" spans="1:1" x14ac:dyDescent="0.3">
      <c r="A257" s="4">
        <v>45328</v>
      </c>
    </row>
    <row r="258" spans="1:1" x14ac:dyDescent="0.3">
      <c r="A258" s="4">
        <v>45329</v>
      </c>
    </row>
    <row r="259" spans="1:1" x14ac:dyDescent="0.3">
      <c r="A259" s="4">
        <v>45330</v>
      </c>
    </row>
    <row r="260" spans="1:1" x14ac:dyDescent="0.3">
      <c r="A260" s="4">
        <v>45333</v>
      </c>
    </row>
    <row r="261" spans="1:1" x14ac:dyDescent="0.3">
      <c r="A261" s="4">
        <v>45334</v>
      </c>
    </row>
    <row r="262" spans="1:1" x14ac:dyDescent="0.3">
      <c r="A262" s="4">
        <v>45335</v>
      </c>
    </row>
    <row r="263" spans="1:1" x14ac:dyDescent="0.3">
      <c r="A263" s="4">
        <v>45336</v>
      </c>
    </row>
    <row r="264" spans="1:1" x14ac:dyDescent="0.3">
      <c r="A264" s="4">
        <v>45337</v>
      </c>
    </row>
    <row r="265" spans="1:1" x14ac:dyDescent="0.3">
      <c r="A265" s="4">
        <v>45341</v>
      </c>
    </row>
    <row r="266" spans="1:1" x14ac:dyDescent="0.3">
      <c r="A266" s="4">
        <v>45342</v>
      </c>
    </row>
    <row r="267" spans="1:1" x14ac:dyDescent="0.3">
      <c r="A267" s="4">
        <v>45343</v>
      </c>
    </row>
    <row r="268" spans="1:1" x14ac:dyDescent="0.3">
      <c r="A268" s="4">
        <v>45344</v>
      </c>
    </row>
    <row r="269" spans="1:1" x14ac:dyDescent="0.3">
      <c r="A269" s="4">
        <v>45347</v>
      </c>
    </row>
    <row r="270" spans="1:1" x14ac:dyDescent="0.3">
      <c r="A270" s="4">
        <v>45348</v>
      </c>
    </row>
    <row r="271" spans="1:1" x14ac:dyDescent="0.3">
      <c r="A271" s="4">
        <v>45349</v>
      </c>
    </row>
    <row r="272" spans="1:1" x14ac:dyDescent="0.3">
      <c r="A272" s="4">
        <v>45350</v>
      </c>
    </row>
    <row r="273" spans="1:1" x14ac:dyDescent="0.3">
      <c r="A273" s="4">
        <v>45351</v>
      </c>
    </row>
    <row r="274" spans="1:1" x14ac:dyDescent="0.3">
      <c r="A274" s="4">
        <v>45354</v>
      </c>
    </row>
    <row r="275" spans="1:1" x14ac:dyDescent="0.3">
      <c r="A275" s="4">
        <v>45355</v>
      </c>
    </row>
    <row r="276" spans="1:1" x14ac:dyDescent="0.3">
      <c r="A276" s="4">
        <v>45356</v>
      </c>
    </row>
    <row r="277" spans="1:1" x14ac:dyDescent="0.3">
      <c r="A277" s="4">
        <v>45357</v>
      </c>
    </row>
    <row r="278" spans="1:1" x14ac:dyDescent="0.3">
      <c r="A278" s="4">
        <v>45358</v>
      </c>
    </row>
    <row r="279" spans="1:1" x14ac:dyDescent="0.3">
      <c r="A279" s="4">
        <v>45361</v>
      </c>
    </row>
    <row r="280" spans="1:1" x14ac:dyDescent="0.3">
      <c r="A280" s="4">
        <v>45362</v>
      </c>
    </row>
    <row r="281" spans="1:1" x14ac:dyDescent="0.3">
      <c r="A281" s="4">
        <v>45363</v>
      </c>
    </row>
    <row r="282" spans="1:1" x14ac:dyDescent="0.3">
      <c r="A282" s="4">
        <v>45364</v>
      </c>
    </row>
    <row r="283" spans="1:1" x14ac:dyDescent="0.3">
      <c r="A283" s="4">
        <v>45365</v>
      </c>
    </row>
    <row r="284" spans="1:1" x14ac:dyDescent="0.3">
      <c r="A284" s="4">
        <v>45368</v>
      </c>
    </row>
    <row r="285" spans="1:1" x14ac:dyDescent="0.3">
      <c r="A285" s="4">
        <v>45369</v>
      </c>
    </row>
    <row r="286" spans="1:1" x14ac:dyDescent="0.3">
      <c r="A286" s="4">
        <v>45370</v>
      </c>
    </row>
    <row r="287" spans="1:1" x14ac:dyDescent="0.3">
      <c r="A287" s="4">
        <v>45371</v>
      </c>
    </row>
    <row r="288" spans="1:1" x14ac:dyDescent="0.3">
      <c r="A288" s="4">
        <v>45372</v>
      </c>
    </row>
    <row r="289" spans="1:1" x14ac:dyDescent="0.3">
      <c r="A289" s="4">
        <v>45375</v>
      </c>
    </row>
    <row r="290" spans="1:1" x14ac:dyDescent="0.3">
      <c r="A290" s="4">
        <v>45376</v>
      </c>
    </row>
    <row r="291" spans="1:1" x14ac:dyDescent="0.3">
      <c r="A291" s="4">
        <v>45377</v>
      </c>
    </row>
    <row r="292" spans="1:1" x14ac:dyDescent="0.3">
      <c r="A292" s="4">
        <v>45378</v>
      </c>
    </row>
    <row r="293" spans="1:1" x14ac:dyDescent="0.3">
      <c r="A293" s="4">
        <v>45379</v>
      </c>
    </row>
    <row r="294" spans="1:1" x14ac:dyDescent="0.3">
      <c r="A294" s="4">
        <v>45382</v>
      </c>
    </row>
    <row r="295" spans="1:1" x14ac:dyDescent="0.3">
      <c r="A295" s="4">
        <v>45383</v>
      </c>
    </row>
    <row r="296" spans="1:1" x14ac:dyDescent="0.3">
      <c r="A296" s="4">
        <v>45384</v>
      </c>
    </row>
    <row r="297" spans="1:1" x14ac:dyDescent="0.3">
      <c r="A297" s="4">
        <v>45385</v>
      </c>
    </row>
    <row r="298" spans="1:1" x14ac:dyDescent="0.3">
      <c r="A298" s="4">
        <v>45386</v>
      </c>
    </row>
    <row r="299" spans="1:1" x14ac:dyDescent="0.3">
      <c r="A299" s="4">
        <v>45389</v>
      </c>
    </row>
    <row r="300" spans="1:1" x14ac:dyDescent="0.3">
      <c r="A300" s="4">
        <v>45390</v>
      </c>
    </row>
    <row r="301" spans="1:1" x14ac:dyDescent="0.3">
      <c r="A301" s="4">
        <v>45391</v>
      </c>
    </row>
    <row r="302" spans="1:1" x14ac:dyDescent="0.3">
      <c r="A302" s="4">
        <v>45392</v>
      </c>
    </row>
    <row r="303" spans="1:1" x14ac:dyDescent="0.3">
      <c r="A303" s="4">
        <v>45393</v>
      </c>
    </row>
    <row r="304" spans="1:1" x14ac:dyDescent="0.3">
      <c r="A304" s="4">
        <v>45396</v>
      </c>
    </row>
    <row r="305" spans="1:1" x14ac:dyDescent="0.3">
      <c r="A305" s="4">
        <v>45397</v>
      </c>
    </row>
    <row r="306" spans="1:1" x14ac:dyDescent="0.3">
      <c r="A306" s="4">
        <v>45398</v>
      </c>
    </row>
    <row r="307" spans="1:1" x14ac:dyDescent="0.3">
      <c r="A307" s="4">
        <v>45399</v>
      </c>
    </row>
    <row r="308" spans="1:1" x14ac:dyDescent="0.3">
      <c r="A308" s="4">
        <v>45400</v>
      </c>
    </row>
    <row r="309" spans="1:1" x14ac:dyDescent="0.3">
      <c r="A309" s="4">
        <v>45403</v>
      </c>
    </row>
    <row r="310" spans="1:1" x14ac:dyDescent="0.3">
      <c r="A310" s="4">
        <v>45404</v>
      </c>
    </row>
    <row r="311" spans="1:1" x14ac:dyDescent="0.3">
      <c r="A311" s="4">
        <v>45405</v>
      </c>
    </row>
    <row r="312" spans="1:1" x14ac:dyDescent="0.3">
      <c r="A312" s="4">
        <v>45406</v>
      </c>
    </row>
    <row r="313" spans="1:1" x14ac:dyDescent="0.3">
      <c r="A313" s="4">
        <v>45407</v>
      </c>
    </row>
    <row r="314" spans="1:1" x14ac:dyDescent="0.3">
      <c r="A314" s="4">
        <v>45410</v>
      </c>
    </row>
    <row r="315" spans="1:1" x14ac:dyDescent="0.3">
      <c r="A315" s="4">
        <v>45411</v>
      </c>
    </row>
    <row r="316" spans="1:1" x14ac:dyDescent="0.3">
      <c r="A316" s="4">
        <v>45412</v>
      </c>
    </row>
    <row r="317" spans="1:1" x14ac:dyDescent="0.3">
      <c r="A317" s="4">
        <v>45413</v>
      </c>
    </row>
    <row r="318" spans="1:1" x14ac:dyDescent="0.3">
      <c r="A318" s="4">
        <v>45414</v>
      </c>
    </row>
    <row r="319" spans="1:1" x14ac:dyDescent="0.3">
      <c r="A319" s="4">
        <v>45417</v>
      </c>
    </row>
    <row r="320" spans="1:1" x14ac:dyDescent="0.3">
      <c r="A320" s="4">
        <v>45418</v>
      </c>
    </row>
    <row r="321" spans="1:1" x14ac:dyDescent="0.3">
      <c r="A321" s="4">
        <v>45419</v>
      </c>
    </row>
    <row r="322" spans="1:1" x14ac:dyDescent="0.3">
      <c r="A322" s="4">
        <v>45420</v>
      </c>
    </row>
    <row r="323" spans="1:1" x14ac:dyDescent="0.3">
      <c r="A323" s="4">
        <v>45421</v>
      </c>
    </row>
    <row r="324" spans="1:1" x14ac:dyDescent="0.3">
      <c r="A324" s="4">
        <v>45424</v>
      </c>
    </row>
    <row r="325" spans="1:1" x14ac:dyDescent="0.3">
      <c r="A325" s="4">
        <v>45425</v>
      </c>
    </row>
    <row r="326" spans="1:1" x14ac:dyDescent="0.3">
      <c r="A326" s="4">
        <v>45426</v>
      </c>
    </row>
    <row r="327" spans="1:1" x14ac:dyDescent="0.3">
      <c r="A327" s="4">
        <v>45427</v>
      </c>
    </row>
    <row r="328" spans="1:1" x14ac:dyDescent="0.3">
      <c r="A328" s="4">
        <v>45428</v>
      </c>
    </row>
    <row r="329" spans="1:1" x14ac:dyDescent="0.3">
      <c r="A329" s="4">
        <v>45431</v>
      </c>
    </row>
    <row r="330" spans="1:1" x14ac:dyDescent="0.3">
      <c r="A330" s="4">
        <v>45432</v>
      </c>
    </row>
    <row r="331" spans="1:1" x14ac:dyDescent="0.3">
      <c r="A331" s="4">
        <v>45433</v>
      </c>
    </row>
    <row r="332" spans="1:1" x14ac:dyDescent="0.3">
      <c r="A332" s="4">
        <v>45434</v>
      </c>
    </row>
    <row r="333" spans="1:1" x14ac:dyDescent="0.3">
      <c r="A333" s="4">
        <v>45435</v>
      </c>
    </row>
    <row r="334" spans="1:1" x14ac:dyDescent="0.3">
      <c r="A334" s="4">
        <v>45439</v>
      </c>
    </row>
    <row r="335" spans="1:1" x14ac:dyDescent="0.3">
      <c r="A335" s="4">
        <v>45440</v>
      </c>
    </row>
    <row r="336" spans="1:1" x14ac:dyDescent="0.3">
      <c r="A336" s="4">
        <v>45441</v>
      </c>
    </row>
    <row r="337" spans="1:1" x14ac:dyDescent="0.3">
      <c r="A337" s="4">
        <v>45442</v>
      </c>
    </row>
    <row r="338" spans="1:1" x14ac:dyDescent="0.3">
      <c r="A338" s="4">
        <v>45445</v>
      </c>
    </row>
    <row r="339" spans="1:1" x14ac:dyDescent="0.3">
      <c r="A339" s="4">
        <v>45446</v>
      </c>
    </row>
    <row r="340" spans="1:1" x14ac:dyDescent="0.3">
      <c r="A340" s="4">
        <v>45447</v>
      </c>
    </row>
    <row r="341" spans="1:1" x14ac:dyDescent="0.3">
      <c r="A341" s="4">
        <v>45448</v>
      </c>
    </row>
    <row r="342" spans="1:1" x14ac:dyDescent="0.3">
      <c r="A342" s="4">
        <v>45449</v>
      </c>
    </row>
    <row r="343" spans="1:1" x14ac:dyDescent="0.3">
      <c r="A343" s="4">
        <v>45452</v>
      </c>
    </row>
    <row r="344" spans="1:1" x14ac:dyDescent="0.3">
      <c r="A344" s="4">
        <v>45453</v>
      </c>
    </row>
    <row r="345" spans="1:1" x14ac:dyDescent="0.3">
      <c r="A345" s="4">
        <v>45454</v>
      </c>
    </row>
    <row r="346" spans="1:1" x14ac:dyDescent="0.3">
      <c r="A346" s="4">
        <v>45455</v>
      </c>
    </row>
    <row r="347" spans="1:1" x14ac:dyDescent="0.3">
      <c r="A347" s="4">
        <v>45456</v>
      </c>
    </row>
    <row r="348" spans="1:1" x14ac:dyDescent="0.3">
      <c r="A348" s="4">
        <v>45459</v>
      </c>
    </row>
    <row r="349" spans="1:1" x14ac:dyDescent="0.3">
      <c r="A349" s="4">
        <v>45460</v>
      </c>
    </row>
    <row r="350" spans="1:1" x14ac:dyDescent="0.3">
      <c r="A350" s="4">
        <v>45461</v>
      </c>
    </row>
    <row r="351" spans="1:1" x14ac:dyDescent="0.3">
      <c r="A351" s="4">
        <v>45462</v>
      </c>
    </row>
    <row r="352" spans="1:1" x14ac:dyDescent="0.3">
      <c r="A352" s="4">
        <v>45463</v>
      </c>
    </row>
    <row r="353" spans="1:1" x14ac:dyDescent="0.3">
      <c r="A353" s="4">
        <v>45466</v>
      </c>
    </row>
    <row r="354" spans="1:1" x14ac:dyDescent="0.3">
      <c r="A354" s="4">
        <v>45467</v>
      </c>
    </row>
    <row r="355" spans="1:1" x14ac:dyDescent="0.3">
      <c r="A355" s="4">
        <v>45468</v>
      </c>
    </row>
    <row r="356" spans="1:1" x14ac:dyDescent="0.3">
      <c r="A356" s="4">
        <v>45469</v>
      </c>
    </row>
    <row r="357" spans="1:1" x14ac:dyDescent="0.3">
      <c r="A357" s="4">
        <v>45470</v>
      </c>
    </row>
    <row r="358" spans="1:1" x14ac:dyDescent="0.3">
      <c r="A358" s="4">
        <v>45473</v>
      </c>
    </row>
    <row r="359" spans="1:1" x14ac:dyDescent="0.3">
      <c r="A359" s="4">
        <v>45474</v>
      </c>
    </row>
    <row r="360" spans="1:1" x14ac:dyDescent="0.3">
      <c r="A360" s="4">
        <v>45475</v>
      </c>
    </row>
    <row r="361" spans="1:1" x14ac:dyDescent="0.3">
      <c r="A361" s="4">
        <v>45477</v>
      </c>
    </row>
    <row r="362" spans="1:1" x14ac:dyDescent="0.3">
      <c r="A362" s="4">
        <v>45480</v>
      </c>
    </row>
    <row r="363" spans="1:1" x14ac:dyDescent="0.3">
      <c r="A363" s="4">
        <v>45481</v>
      </c>
    </row>
    <row r="364" spans="1:1" x14ac:dyDescent="0.3">
      <c r="A364" s="4">
        <v>45482</v>
      </c>
    </row>
    <row r="365" spans="1:1" x14ac:dyDescent="0.3">
      <c r="A365" s="4">
        <v>45483</v>
      </c>
    </row>
    <row r="366" spans="1:1" x14ac:dyDescent="0.3">
      <c r="A366" s="4">
        <v>45484</v>
      </c>
    </row>
    <row r="367" spans="1:1" x14ac:dyDescent="0.3">
      <c r="A367" s="4">
        <v>45487</v>
      </c>
    </row>
    <row r="368" spans="1:1" x14ac:dyDescent="0.3">
      <c r="A368" s="4">
        <v>45488</v>
      </c>
    </row>
    <row r="369" spans="1:1" x14ac:dyDescent="0.3">
      <c r="A369" s="4">
        <v>45489</v>
      </c>
    </row>
    <row r="370" spans="1:1" x14ac:dyDescent="0.3">
      <c r="A370" s="4">
        <v>45490</v>
      </c>
    </row>
    <row r="371" spans="1:1" x14ac:dyDescent="0.3">
      <c r="A371" s="4">
        <v>45494</v>
      </c>
    </row>
    <row r="372" spans="1:1" x14ac:dyDescent="0.3">
      <c r="A372" s="4">
        <v>45495</v>
      </c>
    </row>
    <row r="373" spans="1:1" x14ac:dyDescent="0.3">
      <c r="A373" s="4">
        <v>45496</v>
      </c>
    </row>
    <row r="374" spans="1:1" x14ac:dyDescent="0.3">
      <c r="A374" s="4">
        <v>45497</v>
      </c>
    </row>
    <row r="375" spans="1:1" x14ac:dyDescent="0.3">
      <c r="A375" s="4">
        <v>45498</v>
      </c>
    </row>
    <row r="376" spans="1:1" x14ac:dyDescent="0.3">
      <c r="A376" s="4">
        <v>45501</v>
      </c>
    </row>
    <row r="377" spans="1:1" x14ac:dyDescent="0.3">
      <c r="A377" s="4">
        <v>45502</v>
      </c>
    </row>
    <row r="378" spans="1:1" x14ac:dyDescent="0.3">
      <c r="A378" s="4">
        <v>45503</v>
      </c>
    </row>
    <row r="379" spans="1:1" x14ac:dyDescent="0.3">
      <c r="A379" s="4">
        <v>45504</v>
      </c>
    </row>
    <row r="380" spans="1:1" x14ac:dyDescent="0.3">
      <c r="A380" s="4">
        <v>45505</v>
      </c>
    </row>
    <row r="381" spans="1:1" x14ac:dyDescent="0.3">
      <c r="A381" s="4">
        <v>45508</v>
      </c>
    </row>
    <row r="382" spans="1:1" x14ac:dyDescent="0.3">
      <c r="A382" s="4">
        <v>45509</v>
      </c>
    </row>
    <row r="383" spans="1:1" x14ac:dyDescent="0.3">
      <c r="A383" s="4">
        <v>45510</v>
      </c>
    </row>
    <row r="384" spans="1:1" x14ac:dyDescent="0.3">
      <c r="A384" s="4">
        <v>45511</v>
      </c>
    </row>
    <row r="385" spans="1:1" x14ac:dyDescent="0.3">
      <c r="A385" s="4">
        <v>45512</v>
      </c>
    </row>
    <row r="386" spans="1:1" x14ac:dyDescent="0.3">
      <c r="A386" s="4">
        <v>45515</v>
      </c>
    </row>
    <row r="387" spans="1:1" x14ac:dyDescent="0.3">
      <c r="A387" s="4">
        <v>45516</v>
      </c>
    </row>
    <row r="388" spans="1:1" x14ac:dyDescent="0.3">
      <c r="A388" s="4">
        <v>45517</v>
      </c>
    </row>
    <row r="389" spans="1:1" x14ac:dyDescent="0.3">
      <c r="A389" s="4">
        <v>45518</v>
      </c>
    </row>
    <row r="390" spans="1:1" x14ac:dyDescent="0.3">
      <c r="A390" s="4">
        <v>45519</v>
      </c>
    </row>
    <row r="391" spans="1:1" x14ac:dyDescent="0.3">
      <c r="A391" s="4">
        <v>45522</v>
      </c>
    </row>
    <row r="392" spans="1:1" x14ac:dyDescent="0.3">
      <c r="A392" s="4">
        <v>45523</v>
      </c>
    </row>
    <row r="393" spans="1:1" x14ac:dyDescent="0.3">
      <c r="A393" s="4">
        <v>45524</v>
      </c>
    </row>
    <row r="394" spans="1:1" x14ac:dyDescent="0.3">
      <c r="A394" s="4">
        <v>45525</v>
      </c>
    </row>
    <row r="395" spans="1:1" x14ac:dyDescent="0.3">
      <c r="A395" s="4">
        <v>45526</v>
      </c>
    </row>
    <row r="396" spans="1:1" x14ac:dyDescent="0.3">
      <c r="A396" s="4">
        <v>45531</v>
      </c>
    </row>
    <row r="397" spans="1:1" x14ac:dyDescent="0.3">
      <c r="A397" s="4">
        <v>45532</v>
      </c>
    </row>
    <row r="398" spans="1:1" x14ac:dyDescent="0.3">
      <c r="A398" s="4">
        <v>45533</v>
      </c>
    </row>
    <row r="399" spans="1:1" x14ac:dyDescent="0.3">
      <c r="A399" s="4">
        <v>45537</v>
      </c>
    </row>
    <row r="400" spans="1:1" x14ac:dyDescent="0.3">
      <c r="A400" s="4">
        <v>45538</v>
      </c>
    </row>
    <row r="401" spans="1:1" x14ac:dyDescent="0.3">
      <c r="A401" s="4">
        <v>45539</v>
      </c>
    </row>
    <row r="402" spans="1:1" x14ac:dyDescent="0.3">
      <c r="A402" s="4">
        <v>45540</v>
      </c>
    </row>
    <row r="403" spans="1:1" x14ac:dyDescent="0.3">
      <c r="A403" s="4">
        <v>45543</v>
      </c>
    </row>
    <row r="404" spans="1:1" x14ac:dyDescent="0.3">
      <c r="A404" s="4">
        <v>45544</v>
      </c>
    </row>
    <row r="405" spans="1:1" x14ac:dyDescent="0.3">
      <c r="A405" s="4">
        <v>45545</v>
      </c>
    </row>
    <row r="406" spans="1:1" x14ac:dyDescent="0.3">
      <c r="A406" s="4">
        <v>45546</v>
      </c>
    </row>
    <row r="407" spans="1:1" x14ac:dyDescent="0.3">
      <c r="A407" s="4">
        <v>45547</v>
      </c>
    </row>
    <row r="408" spans="1:1" x14ac:dyDescent="0.3">
      <c r="A408" s="4">
        <v>45548</v>
      </c>
    </row>
    <row r="409" spans="1:1" x14ac:dyDescent="0.3">
      <c r="A409" s="4">
        <v>45550</v>
      </c>
    </row>
    <row r="410" spans="1:1" x14ac:dyDescent="0.3">
      <c r="A410" s="4">
        <v>45551</v>
      </c>
    </row>
    <row r="411" spans="1:1" x14ac:dyDescent="0.3">
      <c r="A411" s="4">
        <v>45552</v>
      </c>
    </row>
    <row r="412" spans="1:1" x14ac:dyDescent="0.3">
      <c r="A412" s="4">
        <v>45553</v>
      </c>
    </row>
    <row r="413" spans="1:1" x14ac:dyDescent="0.3">
      <c r="A413" s="4">
        <v>45554</v>
      </c>
    </row>
    <row r="414" spans="1:1" x14ac:dyDescent="0.3">
      <c r="A414" s="4">
        <v>45557</v>
      </c>
    </row>
    <row r="415" spans="1:1" x14ac:dyDescent="0.3">
      <c r="A415" s="4">
        <v>45558</v>
      </c>
    </row>
    <row r="416" spans="1:1" x14ac:dyDescent="0.3">
      <c r="A416" s="4">
        <v>45559</v>
      </c>
    </row>
    <row r="417" spans="1:1" x14ac:dyDescent="0.3">
      <c r="A417" s="4">
        <v>45560</v>
      </c>
    </row>
    <row r="418" spans="1:1" x14ac:dyDescent="0.3">
      <c r="A418" s="4">
        <v>45561</v>
      </c>
    </row>
    <row r="419" spans="1:1" x14ac:dyDescent="0.3">
      <c r="A419" s="4">
        <v>45564</v>
      </c>
    </row>
    <row r="420" spans="1:1" x14ac:dyDescent="0.3">
      <c r="A420" s="4">
        <v>45565</v>
      </c>
    </row>
    <row r="421" spans="1:1" x14ac:dyDescent="0.3">
      <c r="A421" s="4">
        <v>45566</v>
      </c>
    </row>
    <row r="422" spans="1:1" x14ac:dyDescent="0.3">
      <c r="A422" s="4">
        <v>45567</v>
      </c>
    </row>
    <row r="423" spans="1:1" x14ac:dyDescent="0.3">
      <c r="A423" s="4">
        <v>45568</v>
      </c>
    </row>
    <row r="424" spans="1:1" x14ac:dyDescent="0.3">
      <c r="A424" s="4">
        <v>45572</v>
      </c>
    </row>
    <row r="425" spans="1:1" x14ac:dyDescent="0.3">
      <c r="A425" s="4">
        <v>45573</v>
      </c>
    </row>
    <row r="426" spans="1:1" x14ac:dyDescent="0.3">
      <c r="A426" s="4">
        <v>45574</v>
      </c>
    </row>
    <row r="427" spans="1:1" x14ac:dyDescent="0.3">
      <c r="A427" s="4">
        <v>45575</v>
      </c>
    </row>
    <row r="428" spans="1:1" x14ac:dyDescent="0.3">
      <c r="A428" s="4">
        <v>45578</v>
      </c>
    </row>
    <row r="429" spans="1:1" x14ac:dyDescent="0.3">
      <c r="A429" s="4">
        <v>45579</v>
      </c>
    </row>
    <row r="430" spans="1:1" x14ac:dyDescent="0.3">
      <c r="A430" s="4">
        <v>45580</v>
      </c>
    </row>
    <row r="431" spans="1:1" x14ac:dyDescent="0.3">
      <c r="A431" s="4">
        <v>45581</v>
      </c>
    </row>
    <row r="432" spans="1:1" x14ac:dyDescent="0.3">
      <c r="A432" s="4">
        <v>45582</v>
      </c>
    </row>
    <row r="433" spans="1:1" x14ac:dyDescent="0.3">
      <c r="A433" s="4">
        <v>45585</v>
      </c>
    </row>
    <row r="434" spans="1:1" x14ac:dyDescent="0.3">
      <c r="A434" s="4">
        <v>45586</v>
      </c>
    </row>
    <row r="435" spans="1:1" x14ac:dyDescent="0.3">
      <c r="A435" s="4">
        <v>45587</v>
      </c>
    </row>
    <row r="436" spans="1:1" x14ac:dyDescent="0.3">
      <c r="A436" s="4">
        <v>45588</v>
      </c>
    </row>
    <row r="437" spans="1:1" x14ac:dyDescent="0.3">
      <c r="A437" s="4">
        <v>45592</v>
      </c>
    </row>
    <row r="438" spans="1:1" x14ac:dyDescent="0.3">
      <c r="A438" s="4">
        <v>45593</v>
      </c>
    </row>
    <row r="439" spans="1:1" x14ac:dyDescent="0.3">
      <c r="A439" s="4">
        <v>45594</v>
      </c>
    </row>
    <row r="440" spans="1:1" x14ac:dyDescent="0.3">
      <c r="A440" s="4">
        <v>45595</v>
      </c>
    </row>
    <row r="441" spans="1:1" x14ac:dyDescent="0.3">
      <c r="A441" s="4">
        <v>45596</v>
      </c>
    </row>
    <row r="442" spans="1:1" x14ac:dyDescent="0.3">
      <c r="A442" s="4">
        <v>45599</v>
      </c>
    </row>
    <row r="443" spans="1:1" x14ac:dyDescent="0.3">
      <c r="A443" s="4">
        <v>45600</v>
      </c>
    </row>
    <row r="444" spans="1:1" x14ac:dyDescent="0.3">
      <c r="A444" s="4">
        <v>45601</v>
      </c>
    </row>
    <row r="445" spans="1:1" x14ac:dyDescent="0.3">
      <c r="A445" s="4">
        <v>45602</v>
      </c>
    </row>
    <row r="446" spans="1:1" x14ac:dyDescent="0.3">
      <c r="A446" s="4">
        <v>45603</v>
      </c>
    </row>
    <row r="447" spans="1:1" x14ac:dyDescent="0.3">
      <c r="A447" s="4">
        <v>45607</v>
      </c>
    </row>
    <row r="448" spans="1:1" x14ac:dyDescent="0.3">
      <c r="A448" s="4">
        <v>45608</v>
      </c>
    </row>
    <row r="449" spans="1:1" x14ac:dyDescent="0.3">
      <c r="A449" s="4">
        <v>45609</v>
      </c>
    </row>
    <row r="450" spans="1:1" x14ac:dyDescent="0.3">
      <c r="A450" s="4">
        <v>45610</v>
      </c>
    </row>
    <row r="451" spans="1:1" x14ac:dyDescent="0.3">
      <c r="A451" s="4">
        <v>45613</v>
      </c>
    </row>
    <row r="452" spans="1:1" x14ac:dyDescent="0.3">
      <c r="A452" s="4">
        <v>45614</v>
      </c>
    </row>
    <row r="453" spans="1:1" x14ac:dyDescent="0.3">
      <c r="A453" s="4">
        <v>45615</v>
      </c>
    </row>
    <row r="454" spans="1:1" x14ac:dyDescent="0.3">
      <c r="A454" s="4">
        <v>45616</v>
      </c>
    </row>
    <row r="455" spans="1:1" x14ac:dyDescent="0.3">
      <c r="A455" s="4">
        <v>45617</v>
      </c>
    </row>
    <row r="456" spans="1:1" x14ac:dyDescent="0.3">
      <c r="A456" s="4">
        <v>45620</v>
      </c>
    </row>
    <row r="457" spans="1:1" x14ac:dyDescent="0.3">
      <c r="A457" s="4">
        <v>45621</v>
      </c>
    </row>
    <row r="458" spans="1:1" x14ac:dyDescent="0.3">
      <c r="A458" s="4">
        <v>45622</v>
      </c>
    </row>
    <row r="459" spans="1:1" x14ac:dyDescent="0.3">
      <c r="A459" s="4">
        <v>45623</v>
      </c>
    </row>
    <row r="460" spans="1:1" x14ac:dyDescent="0.3">
      <c r="A460" s="4">
        <v>45624</v>
      </c>
    </row>
    <row r="461" spans="1:1" x14ac:dyDescent="0.3">
      <c r="A461" s="4">
        <v>45627</v>
      </c>
    </row>
    <row r="462" spans="1:1" x14ac:dyDescent="0.3">
      <c r="A462" s="4">
        <v>45628</v>
      </c>
    </row>
    <row r="463" spans="1:1" x14ac:dyDescent="0.3">
      <c r="A463" s="4">
        <v>45629</v>
      </c>
    </row>
    <row r="464" spans="1:1" x14ac:dyDescent="0.3">
      <c r="A464" s="4">
        <v>45630</v>
      </c>
    </row>
    <row r="465" spans="1:1" x14ac:dyDescent="0.3">
      <c r="A465" s="4">
        <v>45631</v>
      </c>
    </row>
    <row r="466" spans="1:1" x14ac:dyDescent="0.3">
      <c r="A466" s="4">
        <v>45634</v>
      </c>
    </row>
    <row r="467" spans="1:1" x14ac:dyDescent="0.3">
      <c r="A467" s="4">
        <v>45635</v>
      </c>
    </row>
    <row r="468" spans="1:1" x14ac:dyDescent="0.3">
      <c r="A468" s="4">
        <v>45636</v>
      </c>
    </row>
    <row r="469" spans="1:1" x14ac:dyDescent="0.3">
      <c r="A469" s="4">
        <v>45637</v>
      </c>
    </row>
    <row r="470" spans="1:1" x14ac:dyDescent="0.3">
      <c r="A470" s="4">
        <v>45638</v>
      </c>
    </row>
    <row r="471" spans="1:1" x14ac:dyDescent="0.3">
      <c r="A471" s="4">
        <v>45641</v>
      </c>
    </row>
    <row r="472" spans="1:1" x14ac:dyDescent="0.3">
      <c r="A472" s="4">
        <v>45642</v>
      </c>
    </row>
    <row r="473" spans="1:1" x14ac:dyDescent="0.3">
      <c r="A473" s="4">
        <v>45643</v>
      </c>
    </row>
    <row r="474" spans="1:1" x14ac:dyDescent="0.3">
      <c r="A474" s="4">
        <v>45644</v>
      </c>
    </row>
    <row r="475" spans="1:1" x14ac:dyDescent="0.3">
      <c r="A475" s="4">
        <v>45645</v>
      </c>
    </row>
    <row r="476" spans="1:1" x14ac:dyDescent="0.3">
      <c r="A476" s="4">
        <v>45648</v>
      </c>
    </row>
    <row r="477" spans="1:1" x14ac:dyDescent="0.3">
      <c r="A477" s="4">
        <v>45649</v>
      </c>
    </row>
    <row r="478" spans="1:1" x14ac:dyDescent="0.3">
      <c r="A478" s="4">
        <v>45650</v>
      </c>
    </row>
    <row r="479" spans="1:1" x14ac:dyDescent="0.3">
      <c r="A479" s="4">
        <v>45651</v>
      </c>
    </row>
    <row r="480" spans="1:1" x14ac:dyDescent="0.3">
      <c r="A480" s="4">
        <v>45652</v>
      </c>
    </row>
    <row r="481" spans="1:1" x14ac:dyDescent="0.3">
      <c r="A481" s="4">
        <v>45655</v>
      </c>
    </row>
    <row r="482" spans="1:1" x14ac:dyDescent="0.3">
      <c r="A482" s="4">
        <v>45656</v>
      </c>
    </row>
    <row r="483" spans="1:1" x14ac:dyDescent="0.3">
      <c r="A483" s="4">
        <v>45658</v>
      </c>
    </row>
    <row r="484" spans="1:1" x14ac:dyDescent="0.3">
      <c r="A484" s="4">
        <v>45659</v>
      </c>
    </row>
    <row r="485" spans="1:1" x14ac:dyDescent="0.3">
      <c r="A485" s="4">
        <v>45662</v>
      </c>
    </row>
    <row r="486" spans="1:1" x14ac:dyDescent="0.3">
      <c r="A486" s="4">
        <v>45663</v>
      </c>
    </row>
    <row r="487" spans="1:1" x14ac:dyDescent="0.3">
      <c r="A487" s="4">
        <v>45664</v>
      </c>
    </row>
    <row r="488" spans="1:1" x14ac:dyDescent="0.3">
      <c r="A488" s="4">
        <v>45665</v>
      </c>
    </row>
    <row r="489" spans="1:1" x14ac:dyDescent="0.3">
      <c r="A489" s="4">
        <v>45666</v>
      </c>
    </row>
    <row r="490" spans="1:1" x14ac:dyDescent="0.3">
      <c r="A490" s="4">
        <v>45669</v>
      </c>
    </row>
    <row r="491" spans="1:1" x14ac:dyDescent="0.3">
      <c r="A491" s="4">
        <v>45670</v>
      </c>
    </row>
    <row r="492" spans="1:1" x14ac:dyDescent="0.3">
      <c r="A492" s="4">
        <v>45671</v>
      </c>
    </row>
    <row r="493" spans="1:1" x14ac:dyDescent="0.3">
      <c r="A493" s="4">
        <v>45672</v>
      </c>
    </row>
    <row r="494" spans="1:1" x14ac:dyDescent="0.3">
      <c r="A494" s="4">
        <v>45673</v>
      </c>
    </row>
    <row r="495" spans="1:1" x14ac:dyDescent="0.3">
      <c r="A495" s="4">
        <v>45676</v>
      </c>
    </row>
    <row r="496" spans="1:1" x14ac:dyDescent="0.3">
      <c r="A496" s="4">
        <v>45677</v>
      </c>
    </row>
    <row r="497" spans="1:1" x14ac:dyDescent="0.3">
      <c r="A497" s="4">
        <v>45678</v>
      </c>
    </row>
    <row r="498" spans="1:1" x14ac:dyDescent="0.3">
      <c r="A498" s="4">
        <v>45679</v>
      </c>
    </row>
    <row r="499" spans="1:1" x14ac:dyDescent="0.3">
      <c r="A499" s="4">
        <v>45680</v>
      </c>
    </row>
    <row r="500" spans="1:1" x14ac:dyDescent="0.3">
      <c r="A500" s="4">
        <v>45683</v>
      </c>
    </row>
    <row r="501" spans="1:1" x14ac:dyDescent="0.3">
      <c r="A501" s="4">
        <v>45684</v>
      </c>
    </row>
    <row r="502" spans="1:1" x14ac:dyDescent="0.3">
      <c r="A502" s="4">
        <v>45685</v>
      </c>
    </row>
    <row r="503" spans="1:1" x14ac:dyDescent="0.3">
      <c r="A503" s="4">
        <v>45686</v>
      </c>
    </row>
    <row r="504" spans="1:1" x14ac:dyDescent="0.3">
      <c r="A504" s="4">
        <v>45687</v>
      </c>
    </row>
    <row r="505" spans="1:1" x14ac:dyDescent="0.3">
      <c r="A505" s="4">
        <v>45690</v>
      </c>
    </row>
    <row r="506" spans="1:1" x14ac:dyDescent="0.3">
      <c r="A506" s="4">
        <v>45691</v>
      </c>
    </row>
    <row r="507" spans="1:1" x14ac:dyDescent="0.3">
      <c r="A507" s="4">
        <v>45692</v>
      </c>
    </row>
    <row r="508" spans="1:1" x14ac:dyDescent="0.3">
      <c r="A508" s="4">
        <v>45693</v>
      </c>
    </row>
    <row r="509" spans="1:1" x14ac:dyDescent="0.3">
      <c r="A509" s="4">
        <v>45694</v>
      </c>
    </row>
    <row r="510" spans="1:1" x14ac:dyDescent="0.3">
      <c r="A510" s="4">
        <v>45697</v>
      </c>
    </row>
    <row r="511" spans="1:1" x14ac:dyDescent="0.3">
      <c r="A511" s="4">
        <v>45698</v>
      </c>
    </row>
    <row r="512" spans="1:1" x14ac:dyDescent="0.3">
      <c r="A512" s="4">
        <v>45699</v>
      </c>
    </row>
    <row r="513" spans="1:1" x14ac:dyDescent="0.3">
      <c r="A513" s="4">
        <v>45700</v>
      </c>
    </row>
    <row r="514" spans="1:1" x14ac:dyDescent="0.3">
      <c r="A514" s="4">
        <v>45701</v>
      </c>
    </row>
    <row r="515" spans="1:1" x14ac:dyDescent="0.3">
      <c r="A515" s="4">
        <v>45705</v>
      </c>
    </row>
    <row r="516" spans="1:1" x14ac:dyDescent="0.3">
      <c r="A516" s="4">
        <v>45706</v>
      </c>
    </row>
    <row r="517" spans="1:1" x14ac:dyDescent="0.3">
      <c r="A517" s="4">
        <v>45707</v>
      </c>
    </row>
    <row r="518" spans="1:1" x14ac:dyDescent="0.3">
      <c r="A518" s="4">
        <v>45708</v>
      </c>
    </row>
    <row r="519" spans="1:1" x14ac:dyDescent="0.3">
      <c r="A519" s="4">
        <v>45711</v>
      </c>
    </row>
    <row r="520" spans="1:1" x14ac:dyDescent="0.3">
      <c r="A520" s="4">
        <v>45712</v>
      </c>
    </row>
    <row r="521" spans="1:1" x14ac:dyDescent="0.3">
      <c r="A521" s="4">
        <v>45713</v>
      </c>
    </row>
    <row r="522" spans="1:1" x14ac:dyDescent="0.3">
      <c r="A522" s="4">
        <v>45714</v>
      </c>
    </row>
    <row r="523" spans="1:1" x14ac:dyDescent="0.3">
      <c r="A523" s="4">
        <v>45715</v>
      </c>
    </row>
    <row r="524" spans="1:1" x14ac:dyDescent="0.3">
      <c r="A524" s="4">
        <v>45718</v>
      </c>
    </row>
    <row r="525" spans="1:1" x14ac:dyDescent="0.3">
      <c r="A525" s="4">
        <v>45719</v>
      </c>
    </row>
    <row r="526" spans="1:1" x14ac:dyDescent="0.3">
      <c r="A526" s="4">
        <v>45720</v>
      </c>
    </row>
    <row r="527" spans="1:1" x14ac:dyDescent="0.3">
      <c r="A527" s="4">
        <v>45721</v>
      </c>
    </row>
    <row r="528" spans="1:1" x14ac:dyDescent="0.3">
      <c r="A528" s="4">
        <v>45722</v>
      </c>
    </row>
    <row r="529" spans="1:1" x14ac:dyDescent="0.3">
      <c r="A529" s="4">
        <v>45725</v>
      </c>
    </row>
    <row r="530" spans="1:1" x14ac:dyDescent="0.3">
      <c r="A530" s="4">
        <v>45726</v>
      </c>
    </row>
    <row r="531" spans="1:1" x14ac:dyDescent="0.3">
      <c r="A531" s="4">
        <v>45727</v>
      </c>
    </row>
    <row r="532" spans="1:1" x14ac:dyDescent="0.3">
      <c r="A532" s="4">
        <v>45728</v>
      </c>
    </row>
    <row r="533" spans="1:1" x14ac:dyDescent="0.3">
      <c r="A533" s="4">
        <v>45729</v>
      </c>
    </row>
    <row r="534" spans="1:1" x14ac:dyDescent="0.3">
      <c r="A534" s="4">
        <v>45732</v>
      </c>
    </row>
    <row r="535" spans="1:1" x14ac:dyDescent="0.3">
      <c r="A535" s="4">
        <v>45733</v>
      </c>
    </row>
    <row r="536" spans="1:1" x14ac:dyDescent="0.3">
      <c r="A536" s="4">
        <v>45734</v>
      </c>
    </row>
    <row r="537" spans="1:1" x14ac:dyDescent="0.3">
      <c r="A537" s="4">
        <v>45735</v>
      </c>
    </row>
    <row r="538" spans="1:1" x14ac:dyDescent="0.3">
      <c r="A538" s="4">
        <v>45736</v>
      </c>
    </row>
    <row r="539" spans="1:1" x14ac:dyDescent="0.3">
      <c r="A539" s="4">
        <v>45739</v>
      </c>
    </row>
    <row r="540" spans="1:1" x14ac:dyDescent="0.3">
      <c r="A540" s="4">
        <v>45740</v>
      </c>
    </row>
    <row r="541" spans="1:1" x14ac:dyDescent="0.3">
      <c r="A541" s="4">
        <v>45741</v>
      </c>
    </row>
    <row r="542" spans="1:1" x14ac:dyDescent="0.3">
      <c r="A542" s="4">
        <v>45742</v>
      </c>
    </row>
    <row r="543" spans="1:1" x14ac:dyDescent="0.3">
      <c r="A543" s="4">
        <v>45743</v>
      </c>
    </row>
    <row r="544" spans="1:1" x14ac:dyDescent="0.3">
      <c r="A544" s="4">
        <v>45746</v>
      </c>
    </row>
    <row r="545" spans="1:1" x14ac:dyDescent="0.3">
      <c r="A545" s="4">
        <v>45747</v>
      </c>
    </row>
    <row r="546" spans="1:1" x14ac:dyDescent="0.3">
      <c r="A546" s="4">
        <v>45748</v>
      </c>
    </row>
    <row r="547" spans="1:1" x14ac:dyDescent="0.3">
      <c r="A547" s="4">
        <v>45749</v>
      </c>
    </row>
    <row r="548" spans="1:1" x14ac:dyDescent="0.3">
      <c r="A548" s="4">
        <v>45750</v>
      </c>
    </row>
    <row r="549" spans="1:1" x14ac:dyDescent="0.3">
      <c r="A549" s="4">
        <v>45753</v>
      </c>
    </row>
    <row r="550" spans="1:1" x14ac:dyDescent="0.3">
      <c r="A550" s="4">
        <v>45754</v>
      </c>
    </row>
    <row r="551" spans="1:1" x14ac:dyDescent="0.3">
      <c r="A551" s="4">
        <v>45755</v>
      </c>
    </row>
    <row r="552" spans="1:1" x14ac:dyDescent="0.3">
      <c r="A552" s="4">
        <v>45756</v>
      </c>
    </row>
    <row r="553" spans="1:1" x14ac:dyDescent="0.3">
      <c r="A553" s="4">
        <v>45757</v>
      </c>
    </row>
    <row r="554" spans="1:1" x14ac:dyDescent="0.3">
      <c r="A554" s="4">
        <v>45758</v>
      </c>
    </row>
    <row r="555" spans="1:1" x14ac:dyDescent="0.3">
      <c r="A555" s="4">
        <v>45760</v>
      </c>
    </row>
    <row r="556" spans="1:1" x14ac:dyDescent="0.3">
      <c r="A556" s="4">
        <v>45761</v>
      </c>
    </row>
    <row r="557" spans="1:1" x14ac:dyDescent="0.3">
      <c r="A557" s="4">
        <v>45762</v>
      </c>
    </row>
    <row r="558" spans="1:1" x14ac:dyDescent="0.3">
      <c r="A558" s="4">
        <v>45763</v>
      </c>
    </row>
    <row r="559" spans="1:1" x14ac:dyDescent="0.3">
      <c r="A559" s="4">
        <v>45764</v>
      </c>
    </row>
    <row r="560" spans="1:1" x14ac:dyDescent="0.3">
      <c r="A560" s="4">
        <v>45767</v>
      </c>
    </row>
    <row r="561" spans="1:1" x14ac:dyDescent="0.3">
      <c r="A561" s="4">
        <v>45768</v>
      </c>
    </row>
    <row r="562" spans="1:1" x14ac:dyDescent="0.3">
      <c r="A562" s="4">
        <v>45769</v>
      </c>
    </row>
    <row r="563" spans="1:1" x14ac:dyDescent="0.3">
      <c r="A563" s="4">
        <v>45770</v>
      </c>
    </row>
    <row r="564" spans="1:1" x14ac:dyDescent="0.3">
      <c r="A564" s="4">
        <v>45771</v>
      </c>
    </row>
    <row r="565" spans="1:1" x14ac:dyDescent="0.3">
      <c r="A565" s="4">
        <v>45774</v>
      </c>
    </row>
    <row r="566" spans="1:1" x14ac:dyDescent="0.3">
      <c r="A566" s="4">
        <v>45775</v>
      </c>
    </row>
    <row r="567" spans="1:1" x14ac:dyDescent="0.3">
      <c r="A567" s="4">
        <v>45776</v>
      </c>
    </row>
    <row r="568" spans="1:1" x14ac:dyDescent="0.3">
      <c r="A568" s="4">
        <v>45777</v>
      </c>
    </row>
    <row r="569" spans="1:1" x14ac:dyDescent="0.3">
      <c r="A569" s="4">
        <v>45778</v>
      </c>
    </row>
    <row r="570" spans="1:1" x14ac:dyDescent="0.3">
      <c r="A570" s="4">
        <v>45781</v>
      </c>
    </row>
    <row r="571" spans="1:1" x14ac:dyDescent="0.3">
      <c r="A571" s="4">
        <v>45782</v>
      </c>
    </row>
    <row r="572" spans="1:1" x14ac:dyDescent="0.3">
      <c r="A572" s="4">
        <v>45783</v>
      </c>
    </row>
    <row r="573" spans="1:1" x14ac:dyDescent="0.3">
      <c r="A573" s="4">
        <v>45784</v>
      </c>
    </row>
    <row r="574" spans="1:1" x14ac:dyDescent="0.3">
      <c r="A574" s="4">
        <v>45785</v>
      </c>
    </row>
    <row r="575" spans="1:1" x14ac:dyDescent="0.3">
      <c r="A575" s="4">
        <v>45788</v>
      </c>
    </row>
    <row r="576" spans="1:1" x14ac:dyDescent="0.3">
      <c r="A576" s="4">
        <v>45789</v>
      </c>
    </row>
    <row r="577" spans="1:1" x14ac:dyDescent="0.3">
      <c r="A577" s="4">
        <v>45790</v>
      </c>
    </row>
    <row r="578" spans="1:1" x14ac:dyDescent="0.3">
      <c r="A578" s="4">
        <v>45791</v>
      </c>
    </row>
    <row r="579" spans="1:1" x14ac:dyDescent="0.3">
      <c r="A579" s="4">
        <v>45792</v>
      </c>
    </row>
    <row r="580" spans="1:1" x14ac:dyDescent="0.3">
      <c r="A580" s="4">
        <v>45795</v>
      </c>
    </row>
    <row r="581" spans="1:1" x14ac:dyDescent="0.3">
      <c r="A581" s="4">
        <v>45796</v>
      </c>
    </row>
    <row r="582" spans="1:1" x14ac:dyDescent="0.3">
      <c r="A582" s="4">
        <v>45798</v>
      </c>
    </row>
    <row r="583" spans="1:1" x14ac:dyDescent="0.3">
      <c r="A583" s="4">
        <v>45799</v>
      </c>
    </row>
    <row r="584" spans="1:1" x14ac:dyDescent="0.3">
      <c r="A584" s="4">
        <v>45804</v>
      </c>
    </row>
    <row r="585" spans="1:1" x14ac:dyDescent="0.3">
      <c r="A585" s="4">
        <v>45805</v>
      </c>
    </row>
    <row r="586" spans="1:1" x14ac:dyDescent="0.3">
      <c r="A586" s="4">
        <v>45806</v>
      </c>
    </row>
    <row r="587" spans="1:1" x14ac:dyDescent="0.3">
      <c r="A587" s="4">
        <v>45809</v>
      </c>
    </row>
    <row r="588" spans="1:1" x14ac:dyDescent="0.3">
      <c r="A588" s="4">
        <v>45810</v>
      </c>
    </row>
    <row r="589" spans="1:1" x14ac:dyDescent="0.3">
      <c r="A589" s="4">
        <v>45811</v>
      </c>
    </row>
    <row r="590" spans="1:1" x14ac:dyDescent="0.3">
      <c r="A590" s="4">
        <v>45812</v>
      </c>
    </row>
    <row r="591" spans="1:1" x14ac:dyDescent="0.3">
      <c r="A591" s="4">
        <v>45813</v>
      </c>
    </row>
    <row r="592" spans="1:1" x14ac:dyDescent="0.3">
      <c r="A592" s="4">
        <v>45816</v>
      </c>
    </row>
    <row r="593" spans="1:1" x14ac:dyDescent="0.3">
      <c r="A593" s="4">
        <v>45817</v>
      </c>
    </row>
    <row r="594" spans="1:1" x14ac:dyDescent="0.3">
      <c r="A594" s="4">
        <v>45818</v>
      </c>
    </row>
    <row r="595" spans="1:1" x14ac:dyDescent="0.3">
      <c r="A595" s="4">
        <v>45825</v>
      </c>
    </row>
    <row r="596" spans="1:1" x14ac:dyDescent="0.3">
      <c r="A596" s="4">
        <v>45827</v>
      </c>
    </row>
    <row r="597" spans="1:1" x14ac:dyDescent="0.3">
      <c r="A597" s="4">
        <v>45830</v>
      </c>
    </row>
    <row r="598" spans="1:1" x14ac:dyDescent="0.3">
      <c r="A598" s="4">
        <v>45831</v>
      </c>
    </row>
    <row r="599" spans="1:1" x14ac:dyDescent="0.3">
      <c r="A599" s="4">
        <v>45832</v>
      </c>
    </row>
    <row r="600" spans="1:1" x14ac:dyDescent="0.3">
      <c r="A600" s="4">
        <v>45833</v>
      </c>
    </row>
    <row r="601" spans="1:1" x14ac:dyDescent="0.3">
      <c r="A601" s="4">
        <v>45834</v>
      </c>
    </row>
    <row r="602" spans="1:1" x14ac:dyDescent="0.3">
      <c r="A602" s="4">
        <v>45837</v>
      </c>
    </row>
    <row r="603" spans="1:1" x14ac:dyDescent="0.3">
      <c r="A603" s="4">
        <v>45838</v>
      </c>
    </row>
    <row r="604" spans="1:1" x14ac:dyDescent="0.3">
      <c r="A604" s="4">
        <v>45839</v>
      </c>
    </row>
    <row r="605" spans="1:1" x14ac:dyDescent="0.3">
      <c r="A605" s="4">
        <v>45840</v>
      </c>
    </row>
    <row r="606" spans="1:1" x14ac:dyDescent="0.3">
      <c r="A606" s="4">
        <v>45844</v>
      </c>
    </row>
    <row r="607" spans="1:1" x14ac:dyDescent="0.3">
      <c r="A607" s="4">
        <v>45845</v>
      </c>
    </row>
    <row r="608" spans="1:1" x14ac:dyDescent="0.3">
      <c r="A608" s="4">
        <v>45846</v>
      </c>
    </row>
    <row r="609" spans="1:1" x14ac:dyDescent="0.3">
      <c r="A609" s="4">
        <v>45847</v>
      </c>
    </row>
    <row r="610" spans="1:1" x14ac:dyDescent="0.3">
      <c r="A610" s="4">
        <v>45848</v>
      </c>
    </row>
    <row r="611" spans="1:1" x14ac:dyDescent="0.3">
      <c r="A611" s="4">
        <v>45851</v>
      </c>
    </row>
    <row r="612" spans="1:1" x14ac:dyDescent="0.3">
      <c r="A612" s="4">
        <v>45852</v>
      </c>
    </row>
    <row r="613" spans="1:1" x14ac:dyDescent="0.3">
      <c r="A613" s="4">
        <v>45853</v>
      </c>
    </row>
    <row r="614" spans="1:1" x14ac:dyDescent="0.3">
      <c r="A614" s="4">
        <v>45854</v>
      </c>
    </row>
    <row r="615" spans="1:1" x14ac:dyDescent="0.3">
      <c r="A615" s="4">
        <v>45855</v>
      </c>
    </row>
    <row r="616" spans="1:1" x14ac:dyDescent="0.3">
      <c r="A616" s="4">
        <v>45859</v>
      </c>
    </row>
    <row r="617" spans="1:1" x14ac:dyDescent="0.3">
      <c r="A617" s="4">
        <v>45860</v>
      </c>
    </row>
    <row r="618" spans="1:1" x14ac:dyDescent="0.3">
      <c r="A618" s="4">
        <v>45861</v>
      </c>
    </row>
    <row r="619" spans="1:1" x14ac:dyDescent="0.3">
      <c r="A619" s="4">
        <v>45862</v>
      </c>
    </row>
    <row r="620" spans="1:1" x14ac:dyDescent="0.3">
      <c r="A620" s="4">
        <v>45865</v>
      </c>
    </row>
    <row r="621" spans="1:1" x14ac:dyDescent="0.3">
      <c r="A621" s="4">
        <v>45866</v>
      </c>
    </row>
    <row r="622" spans="1:1" x14ac:dyDescent="0.3">
      <c r="A622" s="4">
        <v>45867</v>
      </c>
    </row>
    <row r="623" spans="1:1" x14ac:dyDescent="0.3">
      <c r="A623" s="4">
        <v>45868</v>
      </c>
    </row>
    <row r="624" spans="1:1" x14ac:dyDescent="0.3">
      <c r="A624" s="4">
        <v>45869</v>
      </c>
    </row>
    <row r="625" spans="1:1" x14ac:dyDescent="0.3">
      <c r="A625" s="4">
        <v>45872</v>
      </c>
    </row>
    <row r="626" spans="1:1" x14ac:dyDescent="0.3">
      <c r="A626" s="4">
        <v>45873</v>
      </c>
    </row>
    <row r="627" spans="1:1" x14ac:dyDescent="0.3">
      <c r="A627" s="4">
        <v>45874</v>
      </c>
    </row>
    <row r="628" spans="1:1" x14ac:dyDescent="0.3">
      <c r="A628" s="4">
        <v>45875</v>
      </c>
    </row>
    <row r="629" spans="1:1" x14ac:dyDescent="0.3">
      <c r="A629" s="4">
        <v>45876</v>
      </c>
    </row>
    <row r="630" spans="1:1" x14ac:dyDescent="0.3">
      <c r="A630" s="4">
        <v>45879</v>
      </c>
    </row>
    <row r="631" spans="1:1" x14ac:dyDescent="0.3">
      <c r="A631" s="4">
        <v>45880</v>
      </c>
    </row>
    <row r="632" spans="1:1" x14ac:dyDescent="0.3">
      <c r="A632" s="4">
        <v>45881</v>
      </c>
    </row>
    <row r="633" spans="1:1" x14ac:dyDescent="0.3">
      <c r="A633" s="4">
        <v>45882</v>
      </c>
    </row>
    <row r="634" spans="1:1" x14ac:dyDescent="0.3">
      <c r="A634" s="4">
        <v>45883</v>
      </c>
    </row>
    <row r="635" spans="1:1" x14ac:dyDescent="0.3">
      <c r="A635" s="4">
        <v>45886</v>
      </c>
    </row>
    <row r="636" spans="1:1" x14ac:dyDescent="0.3">
      <c r="A636" s="4">
        <v>45887</v>
      </c>
    </row>
    <row r="637" spans="1:1" x14ac:dyDescent="0.3">
      <c r="A637" s="4">
        <v>45888</v>
      </c>
    </row>
    <row r="638" spans="1:1" x14ac:dyDescent="0.3">
      <c r="A638" s="4">
        <v>45889</v>
      </c>
    </row>
    <row r="639" spans="1:1" x14ac:dyDescent="0.3">
      <c r="A639" s="4">
        <v>45890</v>
      </c>
    </row>
    <row r="640" spans="1:1" x14ac:dyDescent="0.3">
      <c r="A640" s="4">
        <v>45893</v>
      </c>
    </row>
    <row r="641" spans="1:1" x14ac:dyDescent="0.3">
      <c r="A641" s="4">
        <v>45894</v>
      </c>
    </row>
    <row r="642" spans="1:1" x14ac:dyDescent="0.3">
      <c r="A642" s="4">
        <v>45895</v>
      </c>
    </row>
    <row r="643" spans="1:1" x14ac:dyDescent="0.3">
      <c r="A643" s="4">
        <v>45896</v>
      </c>
    </row>
    <row r="644" spans="1:1" x14ac:dyDescent="0.3">
      <c r="A644" s="4">
        <v>45897</v>
      </c>
    </row>
    <row r="645" spans="1:1" x14ac:dyDescent="0.3">
      <c r="A645" s="4">
        <v>45901</v>
      </c>
    </row>
    <row r="646" spans="1:1" x14ac:dyDescent="0.3">
      <c r="A646" s="4">
        <v>45902</v>
      </c>
    </row>
    <row r="647" spans="1:1" x14ac:dyDescent="0.3">
      <c r="A647" s="4">
        <v>45903</v>
      </c>
    </row>
    <row r="648" spans="1:1" x14ac:dyDescent="0.3">
      <c r="A648" s="4">
        <v>45904</v>
      </c>
    </row>
    <row r="649" spans="1:1" x14ac:dyDescent="0.3">
      <c r="A649" s="4">
        <v>45907</v>
      </c>
    </row>
    <row r="650" spans="1:1" x14ac:dyDescent="0.3">
      <c r="A650" s="4">
        <v>45908</v>
      </c>
    </row>
    <row r="651" spans="1:1" x14ac:dyDescent="0.3">
      <c r="A651" s="4">
        <v>45909</v>
      </c>
    </row>
    <row r="652" spans="1:1" x14ac:dyDescent="0.3">
      <c r="A652" s="4">
        <v>45910</v>
      </c>
    </row>
    <row r="653" spans="1:1" x14ac:dyDescent="0.3">
      <c r="A653" s="4">
        <v>45911</v>
      </c>
    </row>
    <row r="654" spans="1:1" x14ac:dyDescent="0.3">
      <c r="A654" s="4">
        <v>45914</v>
      </c>
    </row>
    <row r="655" spans="1:1" x14ac:dyDescent="0.3">
      <c r="A655" s="4">
        <v>45915</v>
      </c>
    </row>
    <row r="656" spans="1:1" x14ac:dyDescent="0.3">
      <c r="A656" s="4">
        <v>45916</v>
      </c>
    </row>
    <row r="657" spans="1:1" x14ac:dyDescent="0.3">
      <c r="A657" s="4">
        <v>45917</v>
      </c>
    </row>
    <row r="658" spans="1:1" x14ac:dyDescent="0.3">
      <c r="A658" s="4">
        <v>45918</v>
      </c>
    </row>
    <row r="659" spans="1:1" x14ac:dyDescent="0.3">
      <c r="A659" s="4">
        <v>45921</v>
      </c>
    </row>
    <row r="660" spans="1:1" x14ac:dyDescent="0.3">
      <c r="A660" s="4">
        <v>45922</v>
      </c>
    </row>
    <row r="661" spans="1:1" x14ac:dyDescent="0.3">
      <c r="A661" s="4">
        <v>45923</v>
      </c>
    </row>
    <row r="662" spans="1:1" x14ac:dyDescent="0.3">
      <c r="A662" s="4">
        <v>45924</v>
      </c>
    </row>
    <row r="663" spans="1:1" x14ac:dyDescent="0.3">
      <c r="A663" s="4">
        <v>45925</v>
      </c>
    </row>
    <row r="664" spans="1:1" x14ac:dyDescent="0.3">
      <c r="A664" s="4">
        <v>45928</v>
      </c>
    </row>
    <row r="665" spans="1:1" x14ac:dyDescent="0.3">
      <c r="A665" s="4">
        <v>45929</v>
      </c>
    </row>
    <row r="666" spans="1:1" x14ac:dyDescent="0.3">
      <c r="A666" s="4">
        <v>45930</v>
      </c>
    </row>
    <row r="667" spans="1:1" x14ac:dyDescent="0.3">
      <c r="A667" s="4">
        <v>45931</v>
      </c>
    </row>
    <row r="668" spans="1:1" x14ac:dyDescent="0.3">
      <c r="A668" s="4">
        <v>45932</v>
      </c>
    </row>
    <row r="669" spans="1:1" x14ac:dyDescent="0.3">
      <c r="A669" s="4">
        <v>45935</v>
      </c>
    </row>
    <row r="670" spans="1:1" x14ac:dyDescent="0.3">
      <c r="A670" s="4">
        <v>45936</v>
      </c>
    </row>
    <row r="671" spans="1:1" x14ac:dyDescent="0.3">
      <c r="A671" s="4">
        <v>45937</v>
      </c>
    </row>
    <row r="672" spans="1:1" x14ac:dyDescent="0.3">
      <c r="A672" s="4">
        <v>45938</v>
      </c>
    </row>
    <row r="673" spans="1:1" x14ac:dyDescent="0.3">
      <c r="A673" s="4">
        <v>45939</v>
      </c>
    </row>
    <row r="674" spans="1:1" x14ac:dyDescent="0.3">
      <c r="A674" s="4">
        <v>45943</v>
      </c>
    </row>
    <row r="675" spans="1:1" x14ac:dyDescent="0.3">
      <c r="A675" s="4">
        <v>45944</v>
      </c>
    </row>
    <row r="676" spans="1:1" x14ac:dyDescent="0.3">
      <c r="A676" s="4">
        <v>45945</v>
      </c>
    </row>
    <row r="677" spans="1:1" x14ac:dyDescent="0.3">
      <c r="A677" s="4">
        <v>45946</v>
      </c>
    </row>
    <row r="678" spans="1:1" x14ac:dyDescent="0.3">
      <c r="A678" s="4">
        <v>45949</v>
      </c>
    </row>
    <row r="679" spans="1:1" x14ac:dyDescent="0.3">
      <c r="A679" s="4">
        <v>45950</v>
      </c>
    </row>
    <row r="680" spans="1:1" x14ac:dyDescent="0.3">
      <c r="A680" s="4">
        <v>45951</v>
      </c>
    </row>
    <row r="681" spans="1:1" x14ac:dyDescent="0.3">
      <c r="A681" s="4">
        <v>45952</v>
      </c>
    </row>
    <row r="682" spans="1:1" x14ac:dyDescent="0.3">
      <c r="A682" s="4">
        <v>45953</v>
      </c>
    </row>
    <row r="683" spans="1:1" x14ac:dyDescent="0.3">
      <c r="A683" s="4">
        <v>45956</v>
      </c>
    </row>
    <row r="684" spans="1:1" x14ac:dyDescent="0.3">
      <c r="A684" s="4">
        <v>45957</v>
      </c>
    </row>
    <row r="685" spans="1:1" x14ac:dyDescent="0.3">
      <c r="A685" s="4">
        <v>45958</v>
      </c>
    </row>
    <row r="686" spans="1:1" x14ac:dyDescent="0.3">
      <c r="A686" s="4">
        <v>45959</v>
      </c>
    </row>
    <row r="687" spans="1:1" x14ac:dyDescent="0.3">
      <c r="A687" s="4">
        <v>45960</v>
      </c>
    </row>
    <row r="688" spans="1:1" x14ac:dyDescent="0.3">
      <c r="A688" s="4">
        <v>45963</v>
      </c>
    </row>
    <row r="689" spans="1:1" x14ac:dyDescent="0.3">
      <c r="A689" s="4">
        <v>45964</v>
      </c>
    </row>
    <row r="690" spans="1:1" x14ac:dyDescent="0.3">
      <c r="A690" s="4">
        <v>45965</v>
      </c>
    </row>
    <row r="691" spans="1:1" x14ac:dyDescent="0.3">
      <c r="A691" s="4">
        <v>45966</v>
      </c>
    </row>
    <row r="692" spans="1:1" x14ac:dyDescent="0.3">
      <c r="A692" s="4">
        <v>45967</v>
      </c>
    </row>
    <row r="693" spans="1:1" x14ac:dyDescent="0.3">
      <c r="A693" s="4">
        <v>45970</v>
      </c>
    </row>
    <row r="694" spans="1:1" x14ac:dyDescent="0.3">
      <c r="A694" s="4">
        <v>45972</v>
      </c>
    </row>
    <row r="695" spans="1:1" x14ac:dyDescent="0.3">
      <c r="A695" s="4">
        <v>45973</v>
      </c>
    </row>
    <row r="696" spans="1:1" x14ac:dyDescent="0.3">
      <c r="A696" s="4">
        <v>45974</v>
      </c>
    </row>
    <row r="697" spans="1:1" x14ac:dyDescent="0.3">
      <c r="A697" s="4">
        <v>45977</v>
      </c>
    </row>
    <row r="698" spans="1:1" x14ac:dyDescent="0.3">
      <c r="A698" s="4">
        <v>45978</v>
      </c>
    </row>
    <row r="699" spans="1:1" x14ac:dyDescent="0.3">
      <c r="A699" s="4">
        <v>45979</v>
      </c>
    </row>
    <row r="700" spans="1:1" x14ac:dyDescent="0.3">
      <c r="A700" s="4">
        <v>45980</v>
      </c>
    </row>
    <row r="701" spans="1:1" x14ac:dyDescent="0.3">
      <c r="A701" s="4">
        <v>45981</v>
      </c>
    </row>
    <row r="702" spans="1:1" x14ac:dyDescent="0.3">
      <c r="A702" s="4">
        <v>45984</v>
      </c>
    </row>
    <row r="703" spans="1:1" x14ac:dyDescent="0.3">
      <c r="A703" s="4">
        <v>45985</v>
      </c>
    </row>
    <row r="704" spans="1:1" x14ac:dyDescent="0.3">
      <c r="A704" s="4">
        <v>45986</v>
      </c>
    </row>
    <row r="705" spans="1:1" x14ac:dyDescent="0.3">
      <c r="A705" s="4">
        <v>45988</v>
      </c>
    </row>
    <row r="706" spans="1:1" x14ac:dyDescent="0.3">
      <c r="A706" s="4">
        <v>45991</v>
      </c>
    </row>
    <row r="707" spans="1:1" x14ac:dyDescent="0.3">
      <c r="A707" s="4">
        <v>45992</v>
      </c>
    </row>
    <row r="708" spans="1:1" x14ac:dyDescent="0.3">
      <c r="A708" s="4">
        <v>45993</v>
      </c>
    </row>
    <row r="709" spans="1:1" x14ac:dyDescent="0.3">
      <c r="A709" s="4">
        <v>45994</v>
      </c>
    </row>
    <row r="710" spans="1:1" x14ac:dyDescent="0.3">
      <c r="A710" s="4">
        <v>45995</v>
      </c>
    </row>
    <row r="711" spans="1:1" x14ac:dyDescent="0.3">
      <c r="A711" s="4">
        <v>45998</v>
      </c>
    </row>
    <row r="712" spans="1:1" x14ac:dyDescent="0.3">
      <c r="A712" s="4">
        <v>45999</v>
      </c>
    </row>
    <row r="713" spans="1:1" x14ac:dyDescent="0.3">
      <c r="A713" s="4">
        <v>46000</v>
      </c>
    </row>
    <row r="714" spans="1:1" x14ac:dyDescent="0.3">
      <c r="A714" s="4">
        <v>46001</v>
      </c>
    </row>
    <row r="715" spans="1:1" x14ac:dyDescent="0.3">
      <c r="A715" s="4">
        <v>46002</v>
      </c>
    </row>
    <row r="716" spans="1:1" x14ac:dyDescent="0.3">
      <c r="A716" s="4">
        <v>46005</v>
      </c>
    </row>
    <row r="717" spans="1:1" x14ac:dyDescent="0.3">
      <c r="A717" s="4">
        <v>46006</v>
      </c>
    </row>
    <row r="718" spans="1:1" x14ac:dyDescent="0.3">
      <c r="A718" s="4">
        <v>46007</v>
      </c>
    </row>
    <row r="719" spans="1:1" x14ac:dyDescent="0.3">
      <c r="A719" s="4">
        <v>46008</v>
      </c>
    </row>
    <row r="720" spans="1:1" x14ac:dyDescent="0.3">
      <c r="A720" s="4">
        <v>46009</v>
      </c>
    </row>
    <row r="721" spans="1:1" x14ac:dyDescent="0.3">
      <c r="A721" s="4">
        <v>46012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Date loads</vt:lpstr>
      <vt:lpstr>Total loads</vt:lpstr>
      <vt:lpstr>weekly, monthly intakes</vt:lpstr>
      <vt:lpstr>Bar graph</vt:lpstr>
      <vt:lpstr>HHS_Unaccompanied_Alien_Childre</vt:lpstr>
      <vt:lpstr>Daily Care 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Jijin Jacob</dc:creator>
  <cp:lastModifiedBy>Jijin Jacob</cp:lastModifiedBy>
  <dcterms:created xsi:type="dcterms:W3CDTF">2026-06-01T08:08:13Z</dcterms:created>
  <dcterms:modified xsi:type="dcterms:W3CDTF">2026-06-02T16:25:35Z</dcterms:modified>
</cp:coreProperties>
</file>